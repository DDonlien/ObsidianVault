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引用数据库" sheetId="2" r:id="rId5"/>
    <sheet name="模型资产表" sheetId="3" r:id="rId6"/>
    <sheet name="关卡程序命名" sheetId="4" r:id="rId7"/>
    <sheet name="关卡配置" sheetId="5" r:id="rId8"/>
    <sheet name="关卡统计" sheetId="6" r:id="rId9"/>
    <sheet name="关卡奖励设计" sheetId="7" r:id="rId10"/>
    <sheet name="关卡经济设计" sheetId="8" r:id="rId11"/>
    <sheet name="武器打印机掉率" sheetId="9" r:id="rId12"/>
    <sheet name="安全屋打印机掉率" sheetId="10" r:id="rId13"/>
    <sheet name="武器经济计算" sheetId="11" r:id="rId14"/>
    <sheet name="敌人配置" sheetId="12" r:id="rId15"/>
    <sheet name="关卡叙事设计" sheetId="13" r:id="rId16"/>
    <sheet name="爽感节奏" sheetId="14" r:id="rId17"/>
    <sheet name="敌人属性" sheetId="15" r:id="rId18"/>
    <sheet name="废弃模型" sheetId="16" r:id="rId19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5" authorId="0" shapeId="0" xr:uid="{d6746aa2-0497-4891-b00a-a7f4abb0d562}">
      <text>
        <r>
          <t xml:space="preserve">A：黄色警示线隔开，可以躲开墙壁遮挡
B：黄色警示线不隔开，会被墙壁遮挡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<sst xmlns="http://schemas.openxmlformats.org/spreadsheetml/2006/main" count="29" uniqueCount="29">
  <si>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  </t>
  </si>
  <si>
    <t/>
    <r>
      <rPr>
        <sz val="9.75"/>
        <color rgb="FFD83931"/>
        <rFont val="Calibri"/>
        <family val="2"/>
      </rPr>
      <t>PosX</t>
    </r>
    <r>
      <rPr>
        <sz val="9.75"/>
        <color rgb="FF7F3BF5"/>
        <rFont val="Calibri"/>
        <family val="2"/>
      </rPr>
      <t>NagY</t>
    </r>
  </si>
  <si>
    <t/>
    <r>
      <rPr>
        <sz val="9.75"/>
        <color rgb="FF4E83FD"/>
        <rFont val="Calibri"/>
        <family val="2"/>
      </rPr>
      <t>PosY</t>
    </r>
    <r>
      <rPr>
        <sz val="9.75"/>
        <color rgb="FF7F3BF5"/>
        <rFont val="Calibri"/>
        <family val="2"/>
      </rPr>
      <t>NagY</t>
    </r>
  </si>
  <si>
    <t/>
    <r>
      <rPr>
        <sz val="9.75"/>
        <color rgb="FF34C724"/>
        <rFont val="Calibri"/>
        <family val="2"/>
      </rPr>
      <t>NagX</t>
    </r>
    <r>
      <rPr>
        <sz val="9.75"/>
        <color rgb="FF7F3BF5"/>
        <rFont val="Calibri"/>
        <family val="2"/>
      </rPr>
      <t>NagY</t>
    </r>
  </si>
  <si>
    <t/>
    <r>
      <rPr>
        <sz val="9.75"/>
        <color rgb="FF000000"/>
        <rFont val="Calibri"/>
        <family val="2"/>
      </rPr>
      <t>Initial</t>
    </r>
    <r>
      <rPr>
        <sz val="9.75"/>
        <color rgb="FF7F3BF5"/>
        <rFont val="Calibri"/>
        <family val="2"/>
      </rPr>
      <t>NagY</t>
    </r>
  </si>
  <si>
    <t/>
    <r>
      <rPr>
        <sz val="9.75"/>
        <color rgb="FF4E83FD"/>
        <rFont val="Calibri"/>
        <family val="2"/>
      </rPr>
      <t>PosY</t>
    </r>
    <r>
      <rPr>
        <sz val="9.75"/>
        <color rgb="FF34C724"/>
        <rFont val="Calibri"/>
        <family val="2"/>
      </rPr>
      <t>NagX</t>
    </r>
  </si>
  <si>
    <t/>
    <r>
      <rPr>
        <sz val="9.75"/>
        <color rgb="FF7F3BF5"/>
        <rFont val="Calibri"/>
        <family val="2"/>
      </rPr>
      <t>NagY</t>
    </r>
    <r>
      <rPr>
        <sz val="9.75"/>
        <color rgb="FF34C724"/>
        <rFont val="Calibri"/>
        <family val="2"/>
      </rPr>
      <t>NagX</t>
    </r>
  </si>
  <si>
    <t/>
    <r>
      <rPr>
        <sz val="9.75"/>
        <color rgb="FFD83931"/>
        <rFont val="Calibri"/>
        <family val="2"/>
      </rPr>
      <t>PosX</t>
    </r>
    <r>
      <rPr>
        <sz val="9.75"/>
        <color rgb="FF34C724"/>
        <rFont val="Calibri"/>
        <family val="2"/>
      </rPr>
      <t>NagX</t>
    </r>
  </si>
  <si>
    <t/>
    <r>
      <rPr>
        <sz val="9.75"/>
        <color rgb="FF4E83FD"/>
        <rFont val="Calibri"/>
        <family val="2"/>
      </rPr>
      <t>PosY</t>
    </r>
    <r>
      <rPr>
        <sz val="9.75"/>
        <color rgb="FF1F2329"/>
        <rFont val="Calibri"/>
        <family val="2"/>
      </rPr>
      <t>PosY</t>
    </r>
  </si>
  <si>
    <t/>
    <r>
      <rPr>
        <sz val="9.75"/>
        <color rgb="FF34C724"/>
        <rFont val="Calibri"/>
        <family val="2"/>
      </rPr>
      <t>NagX</t>
    </r>
    <r>
      <rPr>
        <sz val="9.75"/>
        <color rgb="FF4E83FD"/>
        <rFont val="Calibri"/>
        <family val="2"/>
      </rPr>
      <t>PosY</t>
    </r>
  </si>
  <si>
    <t/>
    <r>
      <rPr>
        <sz val="9.75"/>
        <color rgb="FF7F3BF5"/>
        <rFont val="Calibri"/>
        <family val="2"/>
      </rPr>
      <t>NagY</t>
    </r>
    <r>
      <rPr>
        <sz val="9.75"/>
        <color rgb="FF4E83FD"/>
        <rFont val="Calibri"/>
        <family val="2"/>
      </rPr>
      <t>PosY</t>
    </r>
  </si>
  <si>
    <t/>
    <r>
      <rPr>
        <sz val="9.75"/>
        <color rgb="FFD83931"/>
        <rFont val="Calibri"/>
        <family val="2"/>
      </rPr>
      <t>PosX</t>
    </r>
    <r>
      <rPr>
        <sz val="9.75"/>
        <color rgb="FF4E83FD"/>
        <rFont val="Calibri"/>
        <family val="2"/>
      </rPr>
      <t>PosY</t>
    </r>
  </si>
  <si>
    <t/>
    <r>
      <rPr>
        <sz val="9.75"/>
        <color rgb="FF4E83FD"/>
        <rFont val="Calibri"/>
        <family val="2"/>
      </rPr>
      <t>PosY</t>
    </r>
    <r>
      <rPr>
        <sz val="9.75"/>
        <color rgb="FFF54A45"/>
        <rFont val="Calibri"/>
        <family val="2"/>
      </rPr>
      <t>PosX</t>
    </r>
  </si>
  <si>
    <t/>
    <r>
      <rPr>
        <sz val="9.75"/>
        <color rgb="FF34C724"/>
        <rFont val="Calibri"/>
        <family val="2"/>
      </rPr>
      <t>NagX</t>
    </r>
    <r>
      <rPr>
        <sz val="9.75"/>
        <color rgb="FFF54A45"/>
        <rFont val="Calibri"/>
        <family val="2"/>
      </rPr>
      <t>PosX</t>
    </r>
  </si>
  <si>
    <t/>
    <r>
      <rPr>
        <sz val="9.75"/>
        <color rgb="FF7F3BF5"/>
        <rFont val="Calibri"/>
        <family val="2"/>
      </rPr>
      <t>NagY</t>
    </r>
    <r>
      <rPr>
        <sz val="9.75"/>
        <color rgb="FFF54A45"/>
        <rFont val="Calibri"/>
        <family val="2"/>
      </rPr>
      <t>PosX</t>
    </r>
  </si>
  <si>
    <t/>
    <r>
      <t>普通</t>
    </r>
    <r>
      <rPr>
        <b/>
        <u/>
        <sz val="9.75"/>
        <color theme="10"/>
        <rFont val="Calibri"/>
        <family val="2"/>
      </rPr>
      <t>钉枪工（Boltspitter）</t>
    </r>
  </si>
  <si>
    <t/>
    <r>
      <t>普通</t>
    </r>
    <r>
      <rPr>
        <b/>
        <u/>
        <sz val="9.75"/>
        <color theme="10"/>
        <rFont val="Calibri"/>
        <family val="2"/>
      </rPr>
      <t>机修工（Greasehand）</t>
    </r>
  </si>
  <si>
    <t/>
    <r>
      <t>精英</t>
    </r>
    <r>
      <rPr>
        <b/>
        <u/>
        <sz val="9.75"/>
        <color theme="10"/>
        <rFont val="Calibri"/>
        <family val="2"/>
      </rPr>
      <t xml:space="preserve">重装工头（Steel Foreman）</t>
    </r>
  </si>
  <si>
    <t/>
    <r>
      <t>精英</t>
    </r>
    <r>
      <rPr>
        <b/>
        <u/>
        <sz val="9.75"/>
        <color theme="10"/>
        <rFont val="Calibri"/>
        <family val="2"/>
      </rPr>
      <t>管线技师（Pipewright）</t>
    </r>
  </si>
  <si>
    <t/>
    <r>
      <t>普通</t>
    </r>
    <r>
      <rPr>
        <b/>
        <u/>
        <sz val="9.75"/>
        <color theme="10"/>
        <rFont val="Calibri"/>
        <family val="2"/>
      </rPr>
      <t xml:space="preserve">重装工头（Steel Foreman）</t>
    </r>
  </si>
  <si>
    <t/>
    <r>
      <t>精英</t>
    </r>
    <r>
      <rPr>
        <b/>
        <u/>
        <sz val="9.75"/>
        <color theme="10"/>
        <rFont val="Calibri"/>
        <family val="2"/>
      </rPr>
      <t>挖掘工（Tunnelrat）</t>
    </r>
  </si>
  <si>
    <t/>
    <r>
      <t>普通</t>
    </r>
    <r>
      <rPr>
        <b/>
        <u/>
        <sz val="9.75"/>
        <color theme="10"/>
        <rFont val="Calibri"/>
        <family val="2"/>
      </rPr>
      <t>管线技师（Pipewright）</t>
    </r>
  </si>
  <si>
    <t/>
    <r>
      <t>精英</t>
    </r>
    <r>
      <rPr>
        <b/>
        <u/>
        <sz val="9.75"/>
        <color theme="10"/>
        <rFont val="Calibri"/>
        <family val="2"/>
      </rPr>
      <t>钉枪工（Boltspitter）</t>
    </r>
  </si>
  <si>
    <t/>
    <r>
      <t>普通</t>
    </r>
    <r>
      <rPr>
        <b/>
        <u/>
        <sz val="9.75"/>
        <color theme="10"/>
        <rFont val="Calibri"/>
        <family val="2"/>
      </rPr>
      <t>挖掘工（Tunnelrat）</t>
    </r>
  </si>
  <si>
    <t/>
    <r>
      <t>精英</t>
    </r>
    <r>
      <rPr>
        <b/>
        <u/>
        <sz val="9.75"/>
        <color theme="10"/>
        <rFont val="Calibri"/>
        <family val="2"/>
      </rPr>
      <t>机修工（Greasehand）</t>
    </r>
  </si>
  <si>
    <t/>
    <r>
      <rPr>
        <sz val="9.75"/>
        <color rgb="FF34C724"/>
        <rFont val="Calibri"/>
        <family val="2"/>
      </rPr>
      <t>绿色</t>
    </r>
    <r>
      <rPr>
        <sz val="9.75"/>
        <color rgb="FF000000"/>
        <rFont val="Calibri"/>
        <family val="2"/>
      </rPr>
      <t>+</t>
    </r>
    <r>
      <rPr>
        <sz val="9.75"/>
        <color rgb="FFFFC60A"/>
        <rFont val="Calibri"/>
        <family val="2"/>
      </rPr>
      <t>黄色</t>
    </r>
  </si>
  <si>
    <t/>
    <r>
      <rPr>
        <sz val="9.75"/>
        <color rgb="FF8F959E"/>
        <rFont val="Calibri"/>
        <family val="2"/>
      </rPr>
      <t>灰色</t>
    </r>
    <r>
      <rPr>
        <sz val="9.75"/>
        <color rgb="FF000000"/>
        <rFont val="Calibri"/>
        <family val="2"/>
      </rPr>
      <t>+</t>
    </r>
    <r>
      <rPr>
        <sz val="9.75"/>
        <color rgb="FFFFC60A"/>
        <rFont val="Calibri"/>
        <family val="2"/>
      </rPr>
      <t>黄色</t>
    </r>
  </si>
  <si>
    <t/>
    <r>
      <rPr>
        <sz val="9.75"/>
        <color rgb="FFFF8800"/>
        <rFont val="Calibri"/>
        <family val="2"/>
      </rPr>
      <t>橙色</t>
    </r>
    <r>
      <rPr>
        <sz val="9.75"/>
        <color rgb="FF000000"/>
        <rFont val="Calibri"/>
        <family val="2"/>
      </rPr>
      <t>+</t>
    </r>
    <r>
      <rPr>
        <sz val="9.75"/>
        <color rgb="FFFFC60A"/>
        <rFont val="Calibri"/>
        <family val="2"/>
      </rPr>
      <t>黄色</t>
    </r>
  </si>
  <si>
    <t/>
    <r>
      <rPr>
        <sz val="9.75"/>
        <color rgb="FF4E83FD"/>
        <rFont val="Calibri"/>
        <family val="2"/>
      </rPr>
      <t>蓝色</t>
    </r>
    <r>
      <rPr>
        <sz val="9.75"/>
        <color rgb="FF1F2329"/>
        <rFont val="Calibri"/>
        <family val="2"/>
      </rPr>
      <t>+</t>
    </r>
    <r>
      <rPr>
        <sz val="9.75"/>
        <color rgb="FFFFC60A"/>
        <rFont val="Calibri"/>
        <family val="2"/>
      </rPr>
      <t>黄色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</si>
</sst>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2">
    <numFmt numFmtId="164" formatCode="@"/>
    <numFmt numFmtId="165" formatCode="@"/>
    <numFmt numFmtId="166" formatCode="@"/>
    <numFmt numFmtId="167" formatCode="0.0%"/>
    <numFmt numFmtId="168" formatCode="0"/>
    <numFmt numFmtId="169" formatCode="0.0%"/>
    <numFmt numFmtId="170" formatCode="General"/>
    <numFmt numFmtId="171" formatCode="0.0%"/>
    <numFmt numFmtId="172" formatCode="@"/>
    <numFmt numFmtId="173" formatCode="0"/>
    <numFmt numFmtId="174" formatCode="General"/>
    <numFmt numFmtId="175" formatCode="0.00%"/>
    <numFmt numFmtId="176" formatCode="0.00%"/>
    <numFmt numFmtId="177" formatCode="0.00%"/>
    <numFmt numFmtId="178" formatCode="0.00%"/>
    <numFmt numFmtId="179" formatCode="0.00%"/>
    <numFmt numFmtId="180" formatCode="0"/>
    <numFmt numFmtId="181" formatCode="0%"/>
    <numFmt numFmtId="182" formatCode="General"/>
    <numFmt numFmtId="183" formatCode="0.00%"/>
    <numFmt numFmtId="184" formatCode="0.00%"/>
    <numFmt numFmtId="185" formatCode="0.00%"/>
    <numFmt numFmtId="186" formatCode="0.00%"/>
    <numFmt numFmtId="187" formatCode="0.00%"/>
    <numFmt numFmtId="188" formatCode="0.00"/>
    <numFmt numFmtId="189" formatCode="#,##0.00"/>
    <numFmt numFmtId="190" formatCode="#,##0"/>
    <numFmt numFmtId="191" formatCode="0"/>
    <numFmt numFmtId="192" formatCode="0.00"/>
    <numFmt numFmtId="193" formatCode="0.00"/>
    <numFmt numFmtId="194" formatCode="#,##0.00"/>
    <numFmt numFmtId="195" formatCode="#,##0"/>
    <numFmt numFmtId="196" formatCode="0"/>
    <numFmt numFmtId="197" formatCode="0.00"/>
    <numFmt numFmtId="198" formatCode="#,##0.00"/>
    <numFmt numFmtId="199" formatCode="#,##0"/>
    <numFmt numFmtId="200" formatCode="0"/>
    <numFmt numFmtId="201" formatCode="0.00%"/>
    <numFmt numFmtId="202" formatCode="0.00%"/>
    <numFmt numFmtId="203" formatCode="0.00%"/>
    <numFmt numFmtId="204" formatCode="0.00%"/>
    <numFmt numFmtId="205" formatCode="0.00%"/>
    <numFmt numFmtId="206" formatCode="0.00"/>
    <numFmt numFmtId="207" formatCode="#,##0"/>
    <numFmt numFmtId="208" formatCode="#,##0"/>
    <numFmt numFmtId="209" formatCode="0.00%"/>
    <numFmt numFmtId="210" formatCode="0.00%"/>
    <numFmt numFmtId="211" formatCode="0"/>
    <numFmt numFmtId="212" formatCode="#,##0"/>
    <numFmt numFmtId="213" formatCode="0.0%"/>
    <numFmt numFmtId="214" formatCode="0.0%"/>
    <numFmt numFmtId="215" formatCode="0.0%"/>
    <numFmt numFmtId="216" formatCode="General"/>
    <numFmt numFmtId="217" formatCode="0.00"/>
    <numFmt numFmtId="218" formatCode="0%"/>
    <numFmt numFmtId="219" formatCode="0.00"/>
    <numFmt numFmtId="220" formatCode="0%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</numFmts>
  <fonts count="2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D8393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7F3BF5"/>
      <name val="Calibri"/>
      <family val="2"/>
      <scheme val="minor"/>
    </font>
    <font>
      <sz val="9.75"/>
      <color rgb="FF34C724"/>
      <name val="Calibri"/>
      <family val="2"/>
      <scheme val="minor"/>
    </font>
    <font>
      <sz val="9.75"/>
      <color rgb="FF1F1F1F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sz val="9.75"/>
      <color rgb="FF383A42"/>
      <name val="Calibri"/>
      <family val="2"/>
      <scheme val="minor"/>
    </font>
    <font>
      <sz val="9.75"/>
      <color rgb="FF060607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.75"/>
      <color rgb="FFFF8800"/>
      <name val="Calibri"/>
      <family val="2"/>
      <scheme val="minor"/>
    </font>
    <font>
      <sz val="9.75"/>
      <color rgb="FF8F959E"/>
      <name val="Calibri"/>
      <family val="2"/>
      <scheme val="minor"/>
    </font>
    <font>
      <sz val="9.75"/>
      <color rgb="FFFFC60A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F54A45"/>
      <name val="Calibri"/>
      <family val="2"/>
      <scheme val="minor"/>
    </font>
  </fonts>
  <fills count="8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BBFBC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F8F9FA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AF1D1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ECE2FE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ECE2FE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ECE2FE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</fills>
  <borders count="17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center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4" numFmtId="0" xfId="0">
      <alignment horizontal="left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 wrapText="true"/>
    </xf>
    <xf applyAlignment="true" applyBorder="false" applyFill="false" applyFont="true" applyNumberFormat="true" applyProtection="false" borderId="11" fillId="0" fontId="1" numFmtId="164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true" applyProtection="false" borderId="13" fillId="0" fontId="2" numFmtId="165" xfId="0">
      <alignment vertical="center"/>
    </xf>
    <xf applyAlignment="true" applyBorder="false" applyFill="true" applyFont="true" applyNumberFormat="false" applyProtection="false" borderId="14" fillId="2" fontId="4" numFmtId="0" xfId="0">
      <alignment horizontal="left" vertical="center" wrapText="true"/>
    </xf>
    <xf applyAlignment="true" applyBorder="false" applyFill="true" applyFont="true" applyNumberFormat="false" applyProtection="false" borderId="15" fillId="3" fontId="3" numFmtId="0" xfId="0">
      <alignment horizontal="left" vertical="center" wrapText="true"/>
    </xf>
    <xf applyAlignment="true" applyBorder="false" applyFill="false" applyFont="true" applyNumberFormat="false" applyProtection="false" borderId="16" fillId="0" fontId="3" numFmtId="0" xfId="0">
      <alignment horizontal="left" vertical="center" wrapText="true"/>
    </xf>
    <xf applyAlignment="true" applyBorder="false" applyFill="true" applyFont="true" applyNumberFormat="false" applyProtection="false" borderId="17" fillId="4" fontId="3" numFmtId="0" xfId="0">
      <alignment horizontal="left" vertical="center"/>
    </xf>
    <xf applyAlignment="false" applyBorder="false" applyFill="true" applyFont="false" applyNumberFormat="false" applyProtection="false" borderId="18" fillId="5" fontId="0" numFmtId="0" xfId="0">
      <alignment/>
    </xf>
    <xf applyAlignment="true" applyBorder="false" applyFill="false" applyFont="true" applyNumberFormat="true" applyProtection="false" borderId="19" fillId="0" fontId="2" numFmtId="166" xfId="0">
      <alignment horizontal="left" vertical="center"/>
    </xf>
    <xf applyAlignment="true" applyBorder="false" applyFill="false" applyFont="true" applyNumberFormat="true" applyProtection="false" borderId="20" fillId="0" fontId="5" numFmtId="167" xfId="0">
      <alignment horizontal="left" vertical="bottom"/>
    </xf>
    <xf applyAlignment="true" applyBorder="false" applyFill="false" applyFont="true" applyNumberFormat="true" applyProtection="false" borderId="21" fillId="0" fontId="2" numFmtId="168" xfId="0">
      <alignment horizontal="left" vertical="center"/>
    </xf>
    <xf applyAlignment="true" applyBorder="false" applyFill="false" applyFont="true" applyNumberFormat="true" applyProtection="false" borderId="22" fillId="0" fontId="1" numFmtId="169" xfId="0">
      <alignment horizontal="left" vertical="center"/>
    </xf>
    <xf applyAlignment="true" applyBorder="false" applyFill="false" applyFont="true" applyNumberFormat="false" applyProtection="false" borderId="23" fillId="0" fontId="4" numFmtId="0" xfId="0">
      <alignment vertical="center"/>
    </xf>
    <xf applyAlignment="true" applyBorder="false" applyFill="false" applyFont="true" applyNumberFormat="true" applyProtection="false" borderId="24" fillId="0" fontId="3" numFmtId="170" xfId="0">
      <alignment horizontal="left" vertical="center"/>
    </xf>
    <xf applyAlignment="true" applyBorder="false" applyFill="false" applyFont="true" applyNumberFormat="true" applyProtection="false" borderId="25" fillId="0" fontId="3" numFmtId="171" xfId="0">
      <alignment horizontal="left" vertical="center"/>
    </xf>
    <xf applyAlignment="true" applyBorder="false" applyFill="false" applyFont="true" applyNumberFormat="true" applyProtection="false" borderId="26" fillId="0" fontId="4" numFmtId="172" xfId="0">
      <alignment horizontal="left" vertical="center"/>
    </xf>
    <xf applyAlignment="true" applyBorder="false" applyFill="false" applyFont="true" applyNumberFormat="true" applyProtection="false" borderId="27" fillId="0" fontId="1" numFmtId="173" xfId="0">
      <alignment horizontal="left" vertical="center"/>
    </xf>
    <xf applyAlignment="false" applyBorder="false" applyFill="true" applyFont="false" applyNumberFormat="false" applyProtection="false" borderId="28" fillId="6" fontId="0" numFmtId="0" xfId="0">
      <alignment/>
    </xf>
    <xf applyAlignment="true" applyBorder="false" applyFill="false" applyFont="true" applyNumberFormat="true" applyProtection="false" borderId="29" fillId="0" fontId="1" numFmtId="174" xfId="0">
      <alignment horizontal="left" vertical="center"/>
    </xf>
    <xf applyAlignment="true" applyBorder="false" applyFill="false" applyFont="true" applyNumberFormat="false" applyProtection="false" borderId="30" fillId="0" fontId="2" numFmtId="0" xfId="0">
      <alignment vertical="bottom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6" numFmtId="0" xfId="0">
      <alignment horizontal="left" vertical="center"/>
    </xf>
    <xf applyAlignment="true" applyBorder="false" applyFill="false" applyFont="true" applyNumberFormat="true" applyProtection="false" borderId="33" fillId="0" fontId="1" numFmtId="175" xfId="0">
      <alignment horizontal="center" vertical="center"/>
    </xf>
    <xf applyAlignment="true" applyBorder="false" applyFill="false" applyFont="true" applyNumberFormat="true" applyProtection="false" borderId="34" fillId="0" fontId="1" numFmtId="176" xfId="0">
      <alignment vertical="center"/>
    </xf>
    <xf applyAlignment="true" applyBorder="false" applyFill="false" applyFont="true" applyNumberFormat="true" applyProtection="false" borderId="35" fillId="0" fontId="1" numFmtId="177" xfId="0">
      <alignment horizontal="left" vertical="center"/>
    </xf>
    <xf applyAlignment="true" applyBorder="false" applyFill="false" applyFont="true" applyNumberFormat="false" applyProtection="false" borderId="36" fillId="0" fontId="7" numFmtId="0" xfId="0">
      <alignment horizontal="left" vertical="center"/>
    </xf>
    <xf applyAlignment="true" applyBorder="false" applyFill="false" applyFont="true" applyNumberFormat="false" applyProtection="false" borderId="37" fillId="0" fontId="8" numFmtId="0" xfId="0">
      <alignment vertical="center"/>
    </xf>
    <xf applyAlignment="true" applyBorder="false" applyFill="false" applyFont="true" applyNumberFormat="false" applyProtection="false" borderId="38" fillId="0" fontId="3" numFmtId="0" xfId="0">
      <alignment horizontal="center" vertical="center"/>
    </xf>
    <xf applyAlignment="true" applyBorder="false" applyFill="false" applyFont="true" applyNumberFormat="false" applyProtection="false" borderId="39" fillId="0" fontId="9" numFmtId="0" xfId="0">
      <alignment horizontal="left" vertical="center"/>
    </xf>
    <xf applyAlignment="true" applyBorder="false" applyFill="false" applyFont="true" applyNumberFormat="true" applyProtection="false" borderId="40" fillId="0" fontId="1" numFmtId="178" xfId="0">
      <alignment horizontal="center" vertical="center" wrapText="true"/>
    </xf>
    <xf applyAlignment="true" applyBorder="false" applyFill="false" applyFont="true" applyNumberFormat="true" applyProtection="false" borderId="41" fillId="0" fontId="1" numFmtId="179" xfId="0">
      <alignment horizontal="right" vertical="top"/>
    </xf>
    <xf applyAlignment="true" applyBorder="false" applyFill="false" applyFont="true" applyNumberFormat="false" applyProtection="false" borderId="42" fillId="0" fontId="1" numFmtId="0" xfId="0">
      <alignment horizontal="center" vertical="top"/>
    </xf>
    <xf applyAlignment="true" applyBorder="false" applyFill="false" applyFont="true" applyNumberFormat="false" applyProtection="false" borderId="43" fillId="0" fontId="1" numFmtId="0" xfId="0">
      <alignment horizontal="right" vertical="top"/>
    </xf>
    <xf applyAlignment="true" applyBorder="false" applyFill="true" applyFont="true" applyNumberFormat="false" applyProtection="false" borderId="44" fillId="7" fontId="1" numFmtId="0" xfId="0">
      <alignment horizontal="right" vertical="center"/>
    </xf>
    <xf applyAlignment="true" applyBorder="false" applyFill="true" applyFont="true" applyNumberFormat="false" applyProtection="false" borderId="45" fillId="8" fontId="1" numFmtId="0" xfId="0">
      <alignment horizontal="right" vertical="center"/>
    </xf>
    <xf applyAlignment="true" applyBorder="false" applyFill="false" applyFont="true" applyNumberFormat="false" applyProtection="false" borderId="46" fillId="0" fontId="1" numFmtId="0" xfId="0">
      <alignment horizontal="left" vertical="top"/>
    </xf>
    <xf applyAlignment="true" applyBorder="false" applyFill="true" applyFont="true" applyNumberFormat="false" applyProtection="false" borderId="47" fillId="9" fontId="1" numFmtId="0" xfId="0">
      <alignment horizontal="right" vertical="center"/>
    </xf>
    <xf applyAlignment="true" applyBorder="false" applyFill="false" applyFont="true" applyNumberFormat="false" applyProtection="false" borderId="48" fillId="0" fontId="2" numFmtId="0" xfId="0">
      <alignment vertical="top"/>
    </xf>
    <xf applyAlignment="true" applyBorder="false" applyFill="false" applyFont="true" applyNumberFormat="true" applyProtection="false" borderId="49" fillId="0" fontId="1" numFmtId="180" xfId="0">
      <alignment horizontal="right" vertical="top"/>
    </xf>
    <xf applyAlignment="true" applyBorder="false" applyFill="false" applyFont="true" applyNumberFormat="true" applyProtection="false" borderId="50" fillId="0" fontId="1" numFmtId="181" xfId="0">
      <alignment horizontal="center" vertical="top"/>
    </xf>
    <xf applyAlignment="true" applyBorder="false" applyFill="false" applyFont="true" applyNumberFormat="true" applyProtection="false" borderId="51" fillId="0" fontId="1" numFmtId="182" xfId="0">
      <alignment horizontal="right" vertical="top"/>
    </xf>
    <xf applyAlignment="true" applyBorder="false" applyFill="false" applyFont="true" applyNumberFormat="false" applyProtection="false" borderId="52" fillId="0" fontId="1" numFmtId="0" xfId="0">
      <alignment horizontal="right" vertical="center"/>
    </xf>
    <xf applyAlignment="true" applyBorder="false" applyFill="true" applyFont="true" applyNumberFormat="true" applyProtection="false" borderId="53" fillId="10" fontId="3" numFmtId="183" xfId="0">
      <alignment horizontal="center" vertical="center"/>
    </xf>
    <xf applyAlignment="true" applyBorder="false" applyFill="false" applyFont="true" applyNumberFormat="true" applyProtection="false" borderId="54" fillId="0" fontId="3" numFmtId="184" xfId="0">
      <alignment horizontal="center" vertical="top"/>
    </xf>
    <xf applyAlignment="true" applyBorder="false" applyFill="false" applyFont="true" applyNumberFormat="true" applyProtection="false" borderId="55" fillId="0" fontId="3" numFmtId="185" xfId="0">
      <alignment horizontal="center" vertical="center"/>
    </xf>
    <xf applyAlignment="true" applyBorder="false" applyFill="true" applyFont="true" applyNumberFormat="false" applyProtection="false" borderId="56" fillId="11" fontId="3" numFmtId="0" xfId="0">
      <alignment horizontal="center" vertical="center"/>
    </xf>
    <xf applyAlignment="true" applyBorder="false" applyFill="true" applyFont="true" applyNumberFormat="true" applyProtection="false" borderId="57" fillId="12" fontId="3" numFmtId="186" xfId="0">
      <alignment horizontal="center" vertical="center"/>
    </xf>
    <xf applyAlignment="true" applyBorder="false" applyFill="true" applyFont="true" applyNumberFormat="false" applyProtection="false" borderId="58" fillId="13" fontId="3" numFmtId="0" xfId="0">
      <alignment horizontal="center" vertical="center"/>
    </xf>
    <xf applyAlignment="true" applyBorder="false" applyFill="true" applyFont="true" applyNumberFormat="false" applyProtection="false" borderId="59" fillId="14" fontId="3" numFmtId="0" xfId="0">
      <alignment horizontal="center" vertical="center"/>
    </xf>
    <xf applyAlignment="true" applyBorder="false" applyFill="true" applyFont="true" applyNumberFormat="true" applyProtection="false" borderId="60" fillId="15" fontId="3" numFmtId="187" xfId="0">
      <alignment horizontal="center" vertical="center"/>
    </xf>
    <xf applyAlignment="true" applyBorder="false" applyFill="false" applyFont="true" applyNumberFormat="true" applyProtection="false" borderId="61" fillId="0" fontId="1" numFmtId="188" xfId="0">
      <alignment vertical="center"/>
    </xf>
    <xf applyAlignment="true" applyBorder="false" applyFill="false" applyFont="true" applyNumberFormat="true" applyProtection="false" borderId="62" fillId="0" fontId="1" numFmtId="189" xfId="0">
      <alignment vertical="center"/>
    </xf>
    <xf applyAlignment="true" applyBorder="false" applyFill="false" applyFont="true" applyNumberFormat="true" applyProtection="false" borderId="63" fillId="0" fontId="1" numFmtId="190" xfId="0">
      <alignment vertical="center"/>
    </xf>
    <xf applyAlignment="true" applyBorder="false" applyFill="false" applyFont="true" applyNumberFormat="true" applyProtection="false" borderId="64" fillId="0" fontId="1" numFmtId="191" xfId="0">
      <alignment vertical="center"/>
    </xf>
    <xf applyAlignment="true" applyBorder="false" applyFill="false" applyFont="true" applyNumberFormat="true" applyProtection="false" borderId="65" fillId="0" fontId="2" numFmtId="192" xfId="0">
      <alignment vertical="center"/>
    </xf>
    <xf applyAlignment="true" applyBorder="false" applyFill="true" applyFont="true" applyNumberFormat="true" applyProtection="false" borderId="66" fillId="16" fontId="1" numFmtId="193" xfId="0">
      <alignment vertical="center"/>
    </xf>
    <xf applyAlignment="true" applyBorder="false" applyFill="true" applyFont="true" applyNumberFormat="false" applyProtection="false" borderId="67" fillId="17" fontId="1" numFmtId="0" xfId="0">
      <alignment vertical="center"/>
    </xf>
    <xf applyAlignment="true" applyBorder="false" applyFill="true" applyFont="true" applyNumberFormat="true" applyProtection="false" borderId="68" fillId="18" fontId="1" numFmtId="194" xfId="0">
      <alignment vertical="center"/>
    </xf>
    <xf applyAlignment="true" applyBorder="false" applyFill="true" applyFont="true" applyNumberFormat="true" applyProtection="false" borderId="69" fillId="19" fontId="1" numFmtId="195" xfId="0">
      <alignment vertical="center"/>
    </xf>
    <xf applyAlignment="true" applyBorder="false" applyFill="true" applyFont="true" applyNumberFormat="true" applyProtection="false" borderId="70" fillId="20" fontId="1" numFmtId="196" xfId="0">
      <alignment vertical="center"/>
    </xf>
    <xf applyAlignment="true" applyBorder="false" applyFill="false" applyFont="true" applyNumberFormat="true" applyProtection="false" borderId="71" fillId="0" fontId="3" numFmtId="197" xfId="0">
      <alignment vertical="center"/>
    </xf>
    <xf applyAlignment="true" applyBorder="false" applyFill="false" applyFont="true" applyNumberFormat="true" applyProtection="false" borderId="72" fillId="0" fontId="3" numFmtId="198" xfId="0">
      <alignment vertical="center"/>
    </xf>
    <xf applyAlignment="true" applyBorder="false" applyFill="false" applyFont="true" applyNumberFormat="true" applyProtection="false" borderId="73" fillId="0" fontId="3" numFmtId="199" xfId="0">
      <alignment vertical="center"/>
    </xf>
    <xf applyAlignment="true" applyBorder="false" applyFill="false" applyFont="true" applyNumberFormat="true" applyProtection="false" borderId="74" fillId="0" fontId="2" numFmtId="200" xfId="0">
      <alignment vertical="center"/>
    </xf>
    <xf applyAlignment="true" applyBorder="false" applyFill="false" applyFont="true" applyNumberFormat="true" applyProtection="false" borderId="75" fillId="0" fontId="10" numFmtId="201" xfId="0">
      <alignment vertical="center" wrapText="true"/>
    </xf>
    <xf applyAlignment="true" applyBorder="false" applyFill="false" applyFont="true" applyNumberFormat="false" applyProtection="false" borderId="76" fillId="0" fontId="10" numFmtId="0" xfId="0">
      <alignment vertical="center" wrapText="true"/>
    </xf>
    <xf applyAlignment="true" applyBorder="false" applyFill="false" applyFont="true" applyNumberFormat="true" applyProtection="false" borderId="77" fillId="0" fontId="2" numFmtId="202" xfId="0">
      <alignment vertical="center"/>
    </xf>
    <xf applyAlignment="true" applyBorder="false" applyFill="true" applyFont="true" applyNumberFormat="true" applyProtection="false" borderId="78" fillId="21" fontId="10" numFmtId="203" xfId="0">
      <alignment vertical="center" wrapText="true"/>
    </xf>
    <xf applyAlignment="true" applyBorder="false" applyFill="true" applyFont="true" applyNumberFormat="true" applyProtection="false" borderId="79" fillId="22" fontId="11" numFmtId="204" xfId="0">
      <alignment vertical="center" wrapText="true"/>
    </xf>
    <xf applyAlignment="true" applyBorder="false" applyFill="true" applyFont="true" applyNumberFormat="false" applyProtection="false" borderId="80" fillId="23" fontId="10" numFmtId="0" xfId="0">
      <alignment vertical="center" wrapText="true"/>
    </xf>
    <xf applyAlignment="true" applyBorder="false" applyFill="true" applyFont="true" applyNumberFormat="false" applyProtection="false" borderId="81" fillId="24" fontId="2" numFmtId="0" xfId="0">
      <alignment vertical="center"/>
    </xf>
    <xf applyAlignment="true" applyBorder="false" applyFill="false" applyFont="true" applyNumberFormat="true" applyProtection="false" borderId="82" fillId="0" fontId="11" numFmtId="205" xfId="0">
      <alignment vertical="center" wrapText="true"/>
    </xf>
    <xf applyAlignment="true" applyBorder="false" applyFill="false" applyFont="true" applyNumberFormat="false" applyProtection="false" borderId="83" fillId="0" fontId="11" numFmtId="0" xfId="0">
      <alignment vertical="center" wrapText="true"/>
    </xf>
    <xf applyAlignment="true" applyBorder="false" applyFill="true" applyFont="true" applyNumberFormat="false" applyProtection="false" borderId="84" fillId="25" fontId="1" numFmtId="0" xfId="0">
      <alignment vertical="center"/>
    </xf>
    <xf applyAlignment="true" applyBorder="false" applyFill="true" applyFont="true" applyNumberFormat="false" applyProtection="false" borderId="85" fillId="26" fontId="1" numFmtId="0" xfId="0">
      <alignment vertical="center"/>
    </xf>
    <xf applyAlignment="true" applyBorder="false" applyFill="true" applyFont="true" applyNumberFormat="false" applyProtection="false" borderId="86" fillId="27" fontId="2" numFmtId="0" xfId="0">
      <alignment vertical="center"/>
    </xf>
    <xf applyAlignment="true" applyBorder="false" applyFill="true" applyFont="true" applyNumberFormat="false" applyProtection="false" borderId="87" fillId="28" fontId="1" numFmtId="0" xfId="0">
      <alignment vertical="center"/>
    </xf>
    <xf applyAlignment="true" applyBorder="false" applyFill="true" applyFont="true" applyNumberFormat="true" applyProtection="false" borderId="88" fillId="29" fontId="1" numFmtId="206" xfId="0">
      <alignment vertical="center"/>
    </xf>
    <xf applyAlignment="true" applyBorder="false" applyFill="false" applyFont="true" applyNumberFormat="true" applyProtection="false" borderId="89" fillId="0" fontId="2" numFmtId="207" xfId="0">
      <alignment vertical="center"/>
    </xf>
    <xf applyAlignment="true" applyBorder="false" applyFill="true" applyFont="true" applyNumberFormat="true" applyProtection="false" borderId="90" fillId="30" fontId="2" numFmtId="208" xfId="0">
      <alignment vertical="center"/>
    </xf>
    <xf applyAlignment="true" applyBorder="false" applyFill="true" applyFont="true" applyNumberFormat="true" applyProtection="false" borderId="91" fillId="31" fontId="2" numFmtId="209" xfId="0">
      <alignment vertical="center"/>
    </xf>
    <xf applyAlignment="true" applyBorder="false" applyFill="true" applyFont="true" applyNumberFormat="true" applyProtection="false" borderId="92" fillId="32" fontId="1" numFmtId="210" xfId="0">
      <alignment vertical="center"/>
    </xf>
    <xf applyAlignment="true" applyBorder="false" applyFill="true" applyFont="true" applyNumberFormat="true" applyProtection="false" borderId="93" fillId="33" fontId="1" numFmtId="211" xfId="0">
      <alignment vertical="center"/>
    </xf>
    <xf applyAlignment="true" applyBorder="false" applyFill="true" applyFont="true" applyNumberFormat="true" applyProtection="false" borderId="94" fillId="34" fontId="1" numFmtId="212" xfId="0">
      <alignment vertical="center"/>
    </xf>
    <xf applyAlignment="true" applyBorder="false" applyFill="true" applyFont="true" applyNumberFormat="true" applyProtection="false" borderId="95" fillId="35" fontId="2" numFmtId="213" xfId="0">
      <alignment vertical="center"/>
    </xf>
    <xf applyAlignment="true" applyBorder="false" applyFill="true" applyFont="true" applyNumberFormat="true" applyProtection="false" borderId="96" fillId="36" fontId="1" numFmtId="214" xfId="0">
      <alignment vertical="center"/>
    </xf>
    <xf applyAlignment="true" applyBorder="false" applyFill="true" applyFont="true" applyNumberFormat="true" applyProtection="false" borderId="97" fillId="37" fontId="1" numFmtId="215" xfId="0">
      <alignment vertical="center"/>
    </xf>
    <xf applyAlignment="true" applyBorder="false" applyFill="true" applyFont="true" applyNumberFormat="true" applyProtection="false" borderId="98" fillId="38" fontId="2" numFmtId="216" xfId="0">
      <alignment vertical="center"/>
    </xf>
    <xf applyAlignment="true" applyBorder="false" applyFill="true" applyFont="true" applyNumberFormat="true" applyProtection="false" borderId="99" fillId="39" fontId="2" numFmtId="217" xfId="0">
      <alignment vertical="center"/>
    </xf>
    <xf applyAlignment="true" applyBorder="false" applyFill="false" applyFont="true" applyNumberFormat="true" applyProtection="false" borderId="100" fillId="0" fontId="2" numFmtId="218" xfId="0">
      <alignment vertical="center"/>
    </xf>
    <xf applyAlignment="true" applyBorder="false" applyFill="true" applyFont="true" applyNumberFormat="false" applyProtection="false" borderId="101" fillId="40" fontId="3" numFmtId="0" xfId="0">
      <alignment vertical="center"/>
    </xf>
    <xf applyAlignment="true" applyBorder="false" applyFill="true" applyFont="true" applyNumberFormat="false" applyProtection="false" borderId="102" fillId="41" fontId="4" numFmtId="0" xfId="0">
      <alignment vertical="center"/>
    </xf>
    <xf applyAlignment="true" applyBorder="false" applyFill="true" applyFont="true" applyNumberFormat="false" applyProtection="false" borderId="103" fillId="42" fontId="3" numFmtId="0" xfId="0">
      <alignment vertical="center"/>
    </xf>
    <xf applyAlignment="true" applyBorder="false" applyFill="true" applyFont="true" applyNumberFormat="true" applyProtection="false" borderId="104" fillId="43" fontId="3" numFmtId="219" xfId="0">
      <alignment vertical="center"/>
    </xf>
    <xf applyAlignment="true" applyBorder="false" applyFill="true" applyFont="true" applyNumberFormat="false" applyProtection="false" borderId="105" fillId="44" fontId="3" numFmtId="0" xfId="0">
      <alignment vertical="center"/>
    </xf>
    <xf applyAlignment="true" applyBorder="false" applyFill="false" applyFont="true" applyNumberFormat="true" applyProtection="false" borderId="106" fillId="0" fontId="1" numFmtId="220" xfId="0">
      <alignment horizontal="center" vertical="center"/>
    </xf>
    <xf applyAlignment="true" applyBorder="false" applyFill="false" applyFont="true" applyNumberFormat="false" applyProtection="false" borderId="107" fillId="0" fontId="2" numFmtId="0" xfId="0">
      <alignment horizontal="center" vertical="center"/>
    </xf>
    <xf applyAlignment="true" applyBorder="false" applyFill="true" applyFont="true" applyNumberFormat="false" applyProtection="false" borderId="108" fillId="45" fontId="2" numFmtId="0" xfId="0">
      <alignment horizontal="center" vertical="center"/>
    </xf>
    <xf applyAlignment="true" applyBorder="false" applyFill="true" applyFont="true" applyNumberFormat="true" applyProtection="false" borderId="109" fillId="46" fontId="1" numFmtId="221" xfId="0">
      <alignment horizontal="center" vertical="center"/>
    </xf>
    <xf applyAlignment="true" applyBorder="false" applyFill="true" applyFont="true" applyNumberFormat="false" applyProtection="false" borderId="110" fillId="47" fontId="12" numFmtId="0" xfId="0">
      <alignment horizontal="center" vertical="center"/>
    </xf>
    <xf applyAlignment="true" applyBorder="false" applyFill="true" applyFont="true" applyNumberFormat="true" applyProtection="false" borderId="111" fillId="48" fontId="1" numFmtId="222" xfId="0">
      <alignment horizontal="center" vertical="center"/>
    </xf>
    <xf applyAlignment="true" applyBorder="false" applyFill="true" applyFont="true" applyNumberFormat="true" applyProtection="false" borderId="112" fillId="49" fontId="1" numFmtId="223" xfId="0">
      <alignment horizontal="center" vertical="center"/>
    </xf>
    <xf applyAlignment="true" applyBorder="false" applyFill="false" applyFont="true" applyNumberFormat="true" applyProtection="false" borderId="113" fillId="0" fontId="1" numFmtId="224" xfId="0">
      <alignment horizontal="center" vertical="center"/>
    </xf>
    <xf applyAlignment="true" applyBorder="false" applyFill="false" applyFont="true" applyNumberFormat="true" applyProtection="false" borderId="114" fillId="0" fontId="1" numFmtId="225" xfId="0">
      <alignment horizontal="center" vertical="center"/>
    </xf>
    <xf applyAlignment="true" applyBorder="false" applyFill="false" applyFont="true" applyNumberFormat="true" applyProtection="false" borderId="115" fillId="0" fontId="1" numFmtId="226" xfId="0">
      <alignment horizontal="center" vertical="center"/>
    </xf>
    <xf applyAlignment="true" applyBorder="false" applyFill="false" applyFont="true" applyNumberFormat="false" applyProtection="false" borderId="116" fillId="0" fontId="1" numFmtId="0" xfId="0">
      <alignment horizontal="center" vertical="center"/>
    </xf>
    <xf applyAlignment="true" applyBorder="false" applyFill="false" applyFont="true" applyNumberFormat="false" applyProtection="false" borderId="117" fillId="0" fontId="1" numFmtId="0" xfId="0">
      <alignment horizontal="center" vertical="center"/>
    </xf>
    <xf applyAlignment="true" applyBorder="false" applyFill="true" applyFont="true" applyNumberFormat="true" applyProtection="false" borderId="118" fillId="50" fontId="1" numFmtId="227" xfId="0">
      <alignment horizontal="center" vertical="center"/>
    </xf>
    <xf applyAlignment="true" applyBorder="false" applyFill="true" applyFont="true" applyNumberFormat="false" applyProtection="false" borderId="119" fillId="51" fontId="2" numFmtId="0" xfId="0">
      <alignment horizontal="center" vertical="center"/>
    </xf>
    <xf applyAlignment="true" applyBorder="false" applyFill="true" applyFont="true" applyNumberFormat="true" applyProtection="false" borderId="120" fillId="52" fontId="1" numFmtId="228" xfId="0">
      <alignment horizontal="center" vertical="center"/>
    </xf>
    <xf applyAlignment="true" applyBorder="false" applyFill="true" applyFont="true" applyNumberFormat="false" applyProtection="false" borderId="121" fillId="53" fontId="13" numFmtId="0" xfId="0">
      <alignment horizontal="center" vertical="bottom"/>
    </xf>
    <xf applyAlignment="true" applyBorder="false" applyFill="true" applyFont="true" applyNumberFormat="true" applyProtection="false" borderId="122" fillId="54" fontId="1" numFmtId="229" xfId="0">
      <alignment horizontal="center" vertical="center"/>
    </xf>
    <xf applyAlignment="true" applyBorder="false" applyFill="true" applyFont="true" applyNumberFormat="false" applyProtection="false" borderId="123" fillId="55" fontId="2" numFmtId="0" xfId="0">
      <alignment horizontal="center" vertical="center"/>
    </xf>
    <xf applyAlignment="true" applyBorder="false" applyFill="true" applyFont="true" applyNumberFormat="false" applyProtection="false" borderId="124" fillId="56" fontId="13" numFmtId="0" xfId="0">
      <alignment horizontal="center" vertical="bottom"/>
    </xf>
    <xf applyAlignment="true" applyBorder="false" applyFill="true" applyFont="true" applyNumberFormat="true" applyProtection="false" borderId="125" fillId="57" fontId="1" numFmtId="230" xfId="0">
      <alignment horizontal="center" vertical="center"/>
    </xf>
    <xf applyAlignment="true" applyBorder="false" applyFill="true" applyFont="true" applyNumberFormat="true" applyProtection="false" borderId="126" fillId="58" fontId="1" numFmtId="231" xfId="0">
      <alignment horizontal="center" vertical="center"/>
    </xf>
    <xf applyAlignment="true" applyBorder="false" applyFill="true" applyFont="true" applyNumberFormat="true" applyProtection="false" borderId="127" fillId="59" fontId="1" numFmtId="232" xfId="0">
      <alignment horizontal="center" vertical="center"/>
    </xf>
    <xf applyAlignment="true" applyBorder="false" applyFill="true" applyFont="true" applyNumberFormat="true" applyProtection="false" borderId="128" fillId="60" fontId="13" numFmtId="233" xfId="0">
      <alignment horizontal="center" vertical="bottom"/>
    </xf>
    <xf applyAlignment="true" applyBorder="false" applyFill="true" applyFont="true" applyNumberFormat="false" applyProtection="false" borderId="129" fillId="61" fontId="13" numFmtId="0" xfId="0">
      <alignment horizontal="center" vertical="bottom"/>
    </xf>
    <xf applyAlignment="true" applyBorder="false" applyFill="true" applyFont="true" applyNumberFormat="true" applyProtection="false" borderId="130" fillId="62" fontId="1" numFmtId="234" xfId="0">
      <alignment horizontal="center" vertical="center"/>
    </xf>
    <xf applyAlignment="true" applyBorder="false" applyFill="true" applyFont="true" applyNumberFormat="false" applyProtection="false" borderId="131" fillId="63" fontId="2" numFmtId="0" xfId="0">
      <alignment horizontal="center" vertical="center"/>
    </xf>
    <xf applyAlignment="true" applyBorder="false" applyFill="true" applyFont="true" applyNumberFormat="true" applyProtection="false" borderId="132" fillId="64" fontId="1" numFmtId="235" xfId="0">
      <alignment horizontal="center" vertical="center"/>
    </xf>
    <xf applyAlignment="true" applyBorder="false" applyFill="true" applyFont="true" applyNumberFormat="true" applyProtection="false" borderId="133" fillId="65" fontId="1" numFmtId="236" xfId="0">
      <alignment horizontal="center" vertical="center"/>
    </xf>
    <xf applyAlignment="true" applyBorder="false" applyFill="true" applyFont="true" applyNumberFormat="false" applyProtection="false" borderId="134" fillId="66" fontId="2" numFmtId="0" xfId="0">
      <alignment horizontal="center" vertical="center"/>
    </xf>
    <xf applyAlignment="true" applyBorder="false" applyFill="true" applyFont="true" applyNumberFormat="true" applyProtection="false" borderId="135" fillId="67" fontId="1" numFmtId="237" xfId="0">
      <alignment horizontal="center" vertical="center"/>
    </xf>
    <xf applyAlignment="true" applyBorder="false" applyFill="true" applyFont="true" applyNumberFormat="true" applyProtection="false" borderId="136" fillId="68" fontId="1" numFmtId="238" xfId="0">
      <alignment horizontal="center" vertical="center"/>
    </xf>
    <xf applyAlignment="true" applyBorder="false" applyFill="true" applyFont="true" applyNumberFormat="false" applyProtection="false" borderId="137" fillId="69" fontId="13" numFmtId="0" xfId="0">
      <alignment horizontal="center" vertical="bottom"/>
    </xf>
    <xf applyAlignment="true" applyBorder="false" applyFill="true" applyFont="true" applyNumberFormat="true" applyProtection="false" borderId="138" fillId="70" fontId="1" numFmtId="239" xfId="0">
      <alignment horizontal="center" vertical="center"/>
    </xf>
    <xf applyAlignment="true" applyBorder="false" applyFill="false" applyFont="true" applyNumberFormat="false" applyProtection="false" borderId="139" fillId="0" fontId="2" numFmtId="0" xfId="0">
      <alignment horizontal="left" vertical="bottom"/>
    </xf>
    <xf applyAlignment="true" applyBorder="false" applyFill="false" applyFont="true" applyNumberFormat="true" applyProtection="false" borderId="140" fillId="0" fontId="2" numFmtId="240" xfId="0">
      <alignment horizontal="center" vertical="center"/>
    </xf>
    <xf applyAlignment="true" applyBorder="false" applyFill="true" applyFont="true" applyNumberFormat="false" applyProtection="false" borderId="141" fillId="71" fontId="2" numFmtId="0" xfId="0">
      <alignment horizontal="center" vertical="center"/>
    </xf>
    <xf applyAlignment="true" applyBorder="false" applyFill="true" applyFont="true" applyNumberFormat="true" applyProtection="false" borderId="142" fillId="72" fontId="1" numFmtId="241" xfId="0">
      <alignment horizontal="center" vertical="center"/>
    </xf>
    <xf applyAlignment="true" applyBorder="false" applyFill="true" applyFont="true" applyNumberFormat="true" applyProtection="false" borderId="143" fillId="73" fontId="1" numFmtId="242" xfId="0">
      <alignment horizontal="center" vertical="center"/>
    </xf>
    <xf applyAlignment="true" applyBorder="false" applyFill="true" applyFont="true" applyNumberFormat="false" applyProtection="false" borderId="144" fillId="74" fontId="13" numFmtId="0" xfId="0">
      <alignment horizontal="center" vertical="bottom"/>
    </xf>
    <xf applyAlignment="true" applyBorder="false" applyFill="true" applyFont="true" applyNumberFormat="true" applyProtection="false" borderId="145" fillId="75" fontId="1" numFmtId="243" xfId="0">
      <alignment horizontal="center" vertical="center"/>
    </xf>
    <xf applyAlignment="true" applyBorder="false" applyFill="true" applyFont="true" applyNumberFormat="false" applyProtection="false" borderId="146" fillId="76" fontId="13" numFmtId="0" xfId="0">
      <alignment horizontal="center" vertical="bottom"/>
    </xf>
    <xf applyAlignment="true" applyBorder="false" applyFill="false" applyFont="true" applyNumberFormat="true" applyProtection="false" borderId="147" fillId="0" fontId="1" numFmtId="244" xfId="0">
      <alignment horizontal="center" vertical="center"/>
    </xf>
    <xf applyAlignment="true" applyBorder="false" applyFill="false" applyFont="true" applyNumberFormat="false" applyProtection="false" borderId="148" fillId="0" fontId="1" numFmtId="0" xfId="0">
      <alignment horizontal="center" vertical="center"/>
    </xf>
    <xf applyAlignment="true" applyBorder="false" applyFill="false" applyFont="true" applyNumberFormat="false" applyProtection="false" borderId="149" fillId="0" fontId="2" numFmtId="0" xfId="0">
      <alignment horizontal="center" vertical="center"/>
    </xf>
    <xf applyAlignment="true" applyBorder="false" applyFill="false" applyFont="true" applyNumberFormat="false" applyProtection="false" borderId="150" fillId="0" fontId="1" numFmtId="0" xfId="0">
      <alignment horizontal="center" vertical="center"/>
    </xf>
    <xf applyAlignment="true" applyBorder="false" applyFill="false" applyFont="true" applyNumberFormat="false" applyProtection="false" borderId="151" fillId="0" fontId="4" numFmtId="0" xfId="0">
      <alignment horizontal="center" vertical="center"/>
    </xf>
    <xf applyAlignment="true" applyBorder="false" applyFill="false" applyFont="true" applyNumberFormat="true" applyProtection="false" borderId="152" fillId="0" fontId="3" numFmtId="245" xfId="0">
      <alignment horizontal="center" vertical="center"/>
    </xf>
    <xf applyAlignment="true" applyBorder="false" applyFill="false" applyFont="true" applyNumberFormat="false" applyProtection="false" borderId="153" fillId="0" fontId="4" numFmtId="0" xfId="0">
      <alignment horizontal="center" vertical="center"/>
    </xf>
    <xf applyAlignment="true" applyBorder="false" applyFill="false" applyFont="true" applyNumberFormat="false" applyProtection="false" borderId="154" fillId="0" fontId="4" numFmtId="0" xfId="0">
      <alignment horizontal="center" vertical="center" wrapText="true"/>
    </xf>
    <xf applyAlignment="true" applyBorder="false" applyFill="false" applyFont="true" applyNumberFormat="false" applyProtection="false" borderId="155" fillId="0" fontId="14" numFmtId="0" xfId="0">
      <alignment horizontal="center" vertical="center"/>
    </xf>
    <xf applyAlignment="true" applyBorder="false" applyFill="false" applyFont="true" applyNumberFormat="false" applyProtection="false" borderId="156" fillId="0" fontId="14" numFmtId="0" xfId="0">
      <alignment horizontal="left" vertical="center"/>
    </xf>
    <xf applyAlignment="true" applyBorder="false" applyFill="false" applyFont="true" applyNumberFormat="false" applyProtection="false" borderId="157" fillId="0" fontId="2" numFmtId="0" xfId="0">
      <alignment vertical="top" wrapText="true"/>
    </xf>
    <xf applyAlignment="true" applyBorder="false" applyFill="false" applyFont="true" applyNumberFormat="false" applyProtection="false" borderId="158" fillId="0" fontId="2" numFmtId="0" xfId="0">
      <alignment horizontal="right" vertical="center"/>
    </xf>
    <xf applyAlignment="true" applyBorder="false" applyFill="false" applyFont="true" applyNumberFormat="false" applyProtection="false" borderId="159" fillId="0" fontId="15" numFmtId="0" xfId="0">
      <alignment vertical="top" wrapText="true"/>
    </xf>
    <xf applyAlignment="true" applyBorder="false" applyFill="false" applyFont="true" applyNumberFormat="false" applyProtection="false" borderId="160" fillId="0" fontId="2" numFmtId="0" xfId="0">
      <alignment horizontal="center" vertical="top" wrapText="true"/>
    </xf>
    <xf applyAlignment="true" applyBorder="false" applyFill="false" applyFont="true" applyNumberFormat="false" applyProtection="false" borderId="161" fillId="0" fontId="16" numFmtId="0" xfId="0">
      <alignment vertical="top" wrapText="true"/>
    </xf>
    <xf applyAlignment="true" applyBorder="false" applyFill="false" applyFont="true" applyNumberFormat="false" applyProtection="false" borderId="162" fillId="0" fontId="17" numFmtId="0" xfId="0">
      <alignment vertical="top" wrapText="true"/>
    </xf>
    <xf applyAlignment="true" applyBorder="false" applyFill="false" applyFont="true" applyNumberFormat="false" applyProtection="false" borderId="163" fillId="0" fontId="9" numFmtId="0" xfId="0">
      <alignment vertical="top" wrapText="true"/>
    </xf>
    <xf applyAlignment="true" applyBorder="false" applyFill="false" applyFont="true" applyNumberFormat="false" applyProtection="false" borderId="164" fillId="0" fontId="18" numFmtId="0" xfId="0">
      <alignment vertical="top" wrapText="true"/>
    </xf>
    <xf applyAlignment="true" applyBorder="false" applyFill="true" applyFont="true" applyNumberFormat="false" applyProtection="false" borderId="165" fillId="77" fontId="1" numFmtId="0" xfId="0">
      <alignment horizontal="center" vertical="center"/>
    </xf>
    <xf applyAlignment="true" applyBorder="false" applyFill="true" applyFont="true" applyNumberFormat="false" applyProtection="false" borderId="166" fillId="78" fontId="1" numFmtId="0" xfId="0">
      <alignment horizontal="left" vertical="center"/>
    </xf>
    <xf applyAlignment="true" applyBorder="false" applyFill="true" applyFont="true" applyNumberFormat="false" applyProtection="false" borderId="167" fillId="79" fontId="1" numFmtId="0" xfId="0">
      <alignment vertical="center"/>
    </xf>
    <xf applyAlignment="true" applyBorder="false" applyFill="true" applyFont="true" applyNumberFormat="false" applyProtection="false" borderId="168" fillId="80" fontId="3" numFmtId="0" xfId="0">
      <alignment horizontal="center" vertical="center"/>
    </xf>
    <xf applyAlignment="true" applyBorder="false" applyFill="false" applyFont="true" applyNumberFormat="false" applyProtection="false" borderId="169" fillId="0" fontId="4" numFmtId="0" xfId="0">
      <alignment horizontal="center" vertical="top" wrapText="true"/>
    </xf>
    <xf applyAlignment="true" applyBorder="false" applyFill="false" applyFont="true" applyNumberFormat="false" applyProtection="false" borderId="170" fillId="0" fontId="19" numFmtId="0" xfId="0">
      <alignment vertical="top" wrapText="true"/>
    </xf>
  </cellXfs>
  <cellStyles count="1">
    <cellStyle builtinId="0" name="Normal" xfId="0"/>
  </cellStyles>
  <dxfs count="5"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持续时长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'关卡叙事设计'!$H$1</f>
            </strRef>
          </tx>
          <spPr>
            <a:solidFill>
              <a:srgbClr val="5383F1"/>
            </a:solidFill>
            <a:ln w="19050">
              <a:solidFill>
                <a:srgbClr val="5383F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383F1"/>
              </a:solidFill>
              <a:ln>
                <a:noFill> </a:noFill>
              </a:ln>
            </spPr>
          </marker>
          <invertIfNegative val="false"/>
          <val>
            <numRef>
              <f>'关卡叙事设计'!$H$2:$H$61</f>
            </numRef>
          </val>
          <smooth val="false"/>
        </ser>
        <ser>
          <idx val="1"/>
          <order val="1"/>
          <tx>
            <strRef>
              <f>'关卡叙事设计'!$F$1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val>
            <numRef>
              <f>'关卡叙事设计'!$F$2:$F$61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时间/玩家强度关系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'爽感节奏'!$B$1</f>
            </strRef>
          </tx>
          <spPr>
            <a:solidFill>
              <a:srgbClr val="5383F1"/>
            </a:solidFill>
            <a:ln w="19050">
              <a:solidFill>
                <a:srgbClr val="5383F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383F1"/>
              </a:solidFill>
              <a:ln>
                <a:noFill> </a:noFill>
              </a:ln>
            </spPr>
          </marker>
          <invertIfNegative val="false"/>
          <val>
            <numRef>
              <f>'爽感节奏'!$B$2:$B$200</f>
            </numRef>
          </val>
          <smooth val="false"/>
        </ser>
        <ser>
          <idx val="1"/>
          <order val="1"/>
          <tx>
            <strRef>
              <f>'爽感节奏'!$C$1</f>
            </strRef>
          </tx>
          <spPr>
            <a:solidFill>
              <a:srgbClr val="55C6EF"/>
            </a:solidFill>
            <a:ln w="19050">
              <a:solidFill>
                <a:srgbClr val="55C6EF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marker>
            <symbol val="none"/>
            <size val="5"/>
            <spPr>
              <a:solidFill>
                <a:srgbClr val="55C6EF"/>
              </a:solidFill>
              <a:ln>
                <a:noFill> </a:noFill>
              </a:ln>
            </spPr>
          </marker>
          <invertIfNegative val="false"/>
          <val>
            <numRef>
              <f>'爽感节奏'!$C$2:$C$200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_rels/drawing2.xml.rels><?xml version="1.0" encoding="UTF-8" standalone="yes"?>
<Relationships xmlns="http://schemas.openxmlformats.org/package/2006/relationships"><Relationship Id="rId1" Target="../charts/chart2.xml" Type="http://schemas.openxmlformats.org/officeDocument/2006/relationships/chart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95250</xdr:colOff>
      <xdr:row>1</xdr:row>
      <xdr:rowOff>66675</xdr:rowOff>
    </xdr:from>
    <xdr:to>
      <xdr:col>13</xdr:col>
      <xdr:colOff>866775</xdr:colOff>
      <xdr:row>15</xdr:row>
      <xdr:rowOff>190500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200025</xdr:colOff>
      <xdr:row>3</xdr:row>
      <xdr:rowOff>190500</xdr:rowOff>
    </xdr:from>
    <xdr:to>
      <xdr:col>7</xdr:col>
      <xdr:colOff>971550</xdr:colOff>
      <xdr:row>18</xdr:row>
      <xdr:rowOff>47625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38100</xdr:colOff>
      <xdr:row>3</xdr:row>
      <xdr:rowOff>38100</xdr:rowOff>
    </xdr:from>
    <xdr:to>
      <xdr:col>10</xdr:col>
      <xdr:colOff>-38100</xdr:colOff>
      <xdr:row>4</xdr:row>
      <xdr:rowOff>-38100</xdr:rowOff>
    </xdr:to>
    <xdr:pic>
      <xdr:nvPicPr>
        <xdr:cNvPr id="2" name="Picture 2" descr="bvuCJ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3" name="Picture 3" descr="QphXtA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4</xdr:row>
      <xdr:rowOff>38100</xdr:rowOff>
    </xdr:from>
    <xdr:to>
      <xdr:col>10</xdr:col>
      <xdr:colOff>-38100</xdr:colOff>
      <xdr:row>5</xdr:row>
      <xdr:rowOff>-38100</xdr:rowOff>
    </xdr:to>
    <xdr:pic>
      <xdr:nvPicPr>
        <xdr:cNvPr id="4" name="Picture 4" descr="yAyiV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1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1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15.xml.rels><?xml version="1.0" encoding="UTF-8" standalone="yes"?>
<Relationships xmlns="http://schemas.openxmlformats.org/package/2006/relationships"><Relationship Id="rId1" Target="https://dikpa4hrtn9.feishu.cn/wiki/XZGcwhQmtiTeSEkUVobcSBirnVb" Type="http://schemas.openxmlformats.org/officeDocument/2006/relationships/hyperlink" TargetMode="External"></Relationship><Relationship Id="rId2" Target="https://dikpa4hrtn9.feishu.cn/wiki/XZGcwhQmtiTeSEkUVobcSBirnVb" Type="http://schemas.openxmlformats.org/officeDocument/2006/relationships/hyperlink" TargetMode="External"></Relationship><Relationship Id="rId3" Target="https://dikpa4hrtn9.feishu.cn/wiki/T6Xxwn6znil39mkZCHfcWzAdn4e" Type="http://schemas.openxmlformats.org/officeDocument/2006/relationships/hyperlink" TargetMode="External"></Relationship><Relationship Id="rId4" Target="https://dikpa4hrtn9.feishu.cn/wiki/T6Xxwn6znil39mkZCHfcWzAdn4e" Type="http://schemas.openxmlformats.org/officeDocument/2006/relationships/hyperlink" TargetMode="External"></Relationship><Relationship Id="rId5" Target="https://dikpa4hrtn9.feishu.cn/wiki/QPi2wYE7wiEAEUkbXaDcU1PynPg" Type="http://schemas.openxmlformats.org/officeDocument/2006/relationships/hyperlink" TargetMode="External"></Relationship><Relationship Id="rId6" Target="https://dikpa4hrtn9.feishu.cn/wiki/IJLewOMbviq66jk1Ky0ckbe6nje" Type="http://schemas.openxmlformats.org/officeDocument/2006/relationships/hyperlink" TargetMode="External"></Relationship><Relationship Id="rId7" Target="https://dikpa4hrtn9.feishu.cn/wiki/QPi2wYE7wiEAEUkbXaDcU1PynPg" Type="http://schemas.openxmlformats.org/officeDocument/2006/relationships/hyperlink" TargetMode="External"></Relationship><Relationship Id="rId8" Target="https://dikpa4hrtn9.feishu.cn/wiki/IJLewOMbviq66jk1Ky0ckbe6nje" Type="http://schemas.openxmlformats.org/officeDocument/2006/relationships/hyperlink" TargetMode="External"></Relationship><Relationship Id="rId9" Target="https://dikpa4hrtn9.feishu.cn/wiki/XcKfwMDrAixfZZkMLXucOaa3nXe" Type="http://schemas.openxmlformats.org/officeDocument/2006/relationships/hyperlink" TargetMode="External"></Relationship><Relationship Id="rId10" Target="https://dikpa4hrtn9.feishu.cn/wiki/XcKfwMDrAixfZZkMLXucOaa3nXe" Type="http://schemas.openxmlformats.org/officeDocument/2006/relationships/hyperlink" TargetMode="External"></Relationship></Relationships>
</file>

<file path=xl/worksheets/_rels/sheet16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8"/>
  </cols>
  <sheetData>
    <row r="1">
      <c r="A1" s="7" t="str">
        <v>Party</v>
      </c>
      <c r="B1" s="6" t="str">
        <v>阵营</v>
      </c>
      <c r="C1" s="7" t="str">
        <v>模型资产命名</v>
      </c>
      <c r="D1" s="7" t="str">
        <v>模型资产描述</v>
      </c>
      <c r="E1" s="7" t="str">
        <v>模型注释A命名</v>
      </c>
      <c r="F1" s="7" t="str">
        <v>模型注释A描述</v>
      </c>
      <c r="G1" s="7" t="str">
        <v>模型注释B命名</v>
      </c>
      <c r="H1" s="7" t="str">
        <v>模型注释B描述</v>
      </c>
    </row>
    <row customHeight="true" ht="19" r="2">
      <c r="A2" s="2" t="str">
        <v>Generic</v>
      </c>
      <c r="B2" s="3" t="str">
        <v>通用</v>
      </c>
      <c r="C2" t="str">
        <v>Wall</v>
      </c>
      <c r="D2" s="2" t="str">
        <v>墙壁</v>
      </c>
      <c r="E2" t="str">
        <v>Single</v>
      </c>
      <c r="F2" s="2" t="str">
        <v>单体</v>
      </c>
      <c r="G2" s="5" t="str">
        <v>Side</v>
      </c>
      <c r="H2" s="2" t="str">
        <v>侧边</v>
      </c>
    </row>
    <row r="3">
      <c r="A3" s="2" t="str">
        <v>Prototype</v>
      </c>
      <c r="B3" s="2" t="str">
        <v>白模</v>
      </c>
      <c r="C3" t="str">
        <v>Window</v>
      </c>
      <c r="D3" s="2" t="str">
        <v>带窗墙壁</v>
      </c>
      <c r="E3" t="str">
        <v>Small</v>
      </c>
      <c r="F3" s="2" t="str">
        <v>小型</v>
      </c>
      <c r="G3" s="5" t="str">
        <v>Center</v>
      </c>
      <c r="H3" s="2" t="str">
        <v>中央</v>
      </c>
    </row>
    <row r="4">
      <c r="A4" s="2" t="str">
        <v>Monument</v>
      </c>
      <c r="B4" s="3" t="str">
        <v>纪念碑</v>
      </c>
      <c r="C4" t="str">
        <v>Floor</v>
      </c>
      <c r="D4" s="2" t="str">
        <v>地板</v>
      </c>
      <c r="E4" t="str">
        <v>Mid</v>
      </c>
      <c r="F4" s="2" t="str">
        <v>中型</v>
      </c>
      <c r="G4" s="5" t="str">
        <v>HalfThick</v>
      </c>
      <c r="H4" s="2" t="str">
        <v>半厚</v>
      </c>
    </row>
    <row r="5">
      <c r="A5" s="2" t="str">
        <v>WildWatch</v>
      </c>
      <c r="B5" s="3" t="str">
        <v>野望</v>
      </c>
      <c r="C5" t="str">
        <v>Door</v>
      </c>
      <c r="D5" s="2" t="str">
        <v>门</v>
      </c>
      <c r="E5" t="str">
        <v>Big</v>
      </c>
      <c r="F5" s="2" t="str">
        <v>大型</v>
      </c>
      <c r="G5" s="2" t="str">
        <v>Left</v>
      </c>
      <c r="H5" s="2" t="str">
        <v>左侧</v>
      </c>
    </row>
    <row r="6">
      <c r="A6" s="2" t="str">
        <v>Labor</v>
      </c>
      <c r="B6" s="3" t="str">
        <v>劳旅</v>
      </c>
      <c r="C6" t="str">
        <v>DoorFrame</v>
      </c>
      <c r="D6" s="2" t="str">
        <v>门框</v>
      </c>
      <c r="E6" t="str">
        <v>Large</v>
      </c>
      <c r="F6" s="2" t="str">
        <v>巨型</v>
      </c>
      <c r="G6" s="2" t="str">
        <v>Right</v>
      </c>
      <c r="H6" s="2" t="str">
        <v>右侧</v>
      </c>
    </row>
    <row r="7">
      <c r="A7" s="2" t="str">
        <v>SynPu</v>
      </c>
      <c r="B7" s="3" t="str">
        <v>新浦会</v>
      </c>
      <c r="C7" t="str">
        <v>DoorWall</v>
      </c>
      <c r="D7" s="2" t="str">
        <v>带门洞墙壁</v>
      </c>
      <c r="E7" t="str">
        <v>Square</v>
      </c>
      <c r="F7" s="2" t="str">
        <v>矩形</v>
      </c>
      <c r="G7" s="2" t="str">
        <v>SingleFace</v>
      </c>
      <c r="H7" s="2" t="str">
        <v>单面</v>
      </c>
    </row>
    <row r="8">
      <c r="A8" s="2" t="str">
        <v>LockHeader</v>
      </c>
      <c r="B8" s="3" t="str">
        <v>洛克海德</v>
      </c>
      <c r="C8" s="2" t="str">
        <v>Arch</v>
      </c>
      <c r="D8" s="2" t="str">
        <v>拱门</v>
      </c>
      <c r="E8" t="str">
        <v>Triangle</v>
      </c>
      <c r="F8" s="2" t="str">
        <v>三角形</v>
      </c>
      <c r="G8" s="2" t="str">
        <v>DoubleFace</v>
      </c>
      <c r="H8" s="2" t="str">
        <v>双面</v>
      </c>
    </row>
    <row r="9">
      <c r="B9" s="3" t="str">
        <v>寰宇</v>
      </c>
      <c r="C9" s="2" t="str">
        <v>Deco</v>
      </c>
      <c r="D9" s="2" t="str">
        <v>装饰</v>
      </c>
      <c r="E9" s="4" t="str">
        <v>LevelControl</v>
      </c>
      <c r="F9" s="2" t="str">
        <v>关卡切换</v>
      </c>
      <c r="G9" s="2" t="str">
        <v>InDoor</v>
      </c>
      <c r="H9" s="2" t="str">
        <v>室内</v>
      </c>
    </row>
    <row r="10">
      <c r="B10" s="3" t="str">
        <v>东海工业</v>
      </c>
      <c r="C10" s="2" t="str">
        <v>Block</v>
      </c>
      <c r="D10" s="2" t="str">
        <v>障碍</v>
      </c>
      <c r="E10" t="str">
        <v>Escape</v>
      </c>
      <c r="F10" s="2" t="str">
        <v>逃生</v>
      </c>
      <c r="G10" s="2" t="str">
        <v>OutDoor</v>
      </c>
      <c r="H10" s="2" t="str">
        <v>室外</v>
      </c>
    </row>
    <row r="11">
      <c r="B11" s="3" t="str">
        <v>耶利哥</v>
      </c>
      <c r="C11" t="str">
        <v>Lift</v>
      </c>
      <c r="D11" s="2" t="str">
        <v>电梯</v>
      </c>
      <c r="E11" t="str">
        <v>Normal</v>
      </c>
      <c r="F11" s="2" t="str">
        <v>普通</v>
      </c>
      <c r="G11" s="2" t="str">
        <v>BulletProof</v>
      </c>
      <c r="H11" s="2" t="str">
        <v>不可破坏</v>
      </c>
    </row>
    <row r="12">
      <c r="B12" s="3" t="str">
        <v>律动智能</v>
      </c>
      <c r="C12" t="str">
        <v>Balcony</v>
      </c>
      <c r="D12" s="2" t="str">
        <v>阳台</v>
      </c>
      <c r="E12" t="str">
        <v>AmmoVEM</v>
      </c>
      <c r="F12" s="2" t="str">
        <v>子弹</v>
      </c>
    </row>
    <row r="13">
      <c r="B13" s="3" t="str">
        <v>致远生物</v>
      </c>
      <c r="C13" t="str">
        <v>Reward</v>
      </c>
      <c r="D13" s="2" t="str">
        <v>奖励</v>
      </c>
      <c r="E13" t="str">
        <v>WeaponPrinter</v>
      </c>
      <c r="F13" s="2" t="str">
        <v>武器</v>
      </c>
    </row>
    <row r="14">
      <c r="B14" s="1"/>
      <c r="C14" s="2" t="str">
        <v>SectionGate</v>
      </c>
      <c r="D14" s="2" t="str">
        <v>区域门</v>
      </c>
      <c r="E14" s="2" t="str">
        <v>Low</v>
      </c>
      <c r="F14" s="2" t="str">
        <v>矮</v>
      </c>
    </row>
    <row r="15">
      <c r="B15" s="1"/>
      <c r="C15" s="2" t="str">
        <v>Pillar</v>
      </c>
      <c r="D15" s="2" t="str">
        <v>支柱</v>
      </c>
      <c r="E15" s="2" t="str">
        <v>High</v>
      </c>
      <c r="F15" s="2" t="str">
        <v>高</v>
      </c>
    </row>
    <row r="16">
      <c r="B16" s="1"/>
      <c r="E16" s="2" t="str">
        <v>SuperHigh</v>
      </c>
      <c r="F16" s="2" t="str">
        <v>超高</v>
      </c>
    </row>
    <row r="17">
      <c r="B17" s="1"/>
      <c r="E17" s="2" t="str">
        <v>Diagonal</v>
      </c>
      <c r="F17" s="2" t="str">
        <v>斜对角</v>
      </c>
    </row>
    <row r="18">
      <c r="B18" s="1"/>
      <c r="E18" s="2" t="str">
        <v>Center</v>
      </c>
      <c r="F18" s="2" t="str">
        <v>中央</v>
      </c>
    </row>
    <row r="19">
      <c r="B19" s="1"/>
      <c r="E19" s="2" t="str">
        <v>Side</v>
      </c>
      <c r="F19" s="2" t="str">
        <v>侧面</v>
      </c>
    </row>
    <row r="20">
      <c r="B20" s="1"/>
      <c r="E20" s="2" t="str">
        <v>Corner</v>
      </c>
      <c r="F20" s="2" t="str">
        <v>角落</v>
      </c>
    </row>
    <row r="21">
      <c r="B21" s="1"/>
      <c r="E21" s="2" t="str">
        <v>Long</v>
      </c>
      <c r="F21" s="2" t="str">
        <v>长条</v>
      </c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ColWidth="14" defaultRowHeight="19"/>
  <cols>
    <col collapsed="false" customWidth="true" hidden="false" max="1" min="1" style="0" width="2"/>
    <col collapsed="false" customWidth="true" hidden="false" max="2" min="2" style="0" width="2"/>
    <col collapsed="false" customWidth="true" hidden="false" max="3" min="3" style="0" width="2"/>
    <col collapsed="false" customWidth="true" hidden="false" max="4" min="4" style="0" width="2"/>
    <col collapsed="false" customWidth="true" hidden="false" max="5" min="5" style="0" width="57"/>
    <col collapsed="true" hidden="false" max="6" min="6" style="0" width="52"/>
    <col collapsed="false" customWidth="true" hidden="true" max="7" min="7" outlineLevel="1" style="0" width="52"/>
    <col collapsed="false" customWidth="true" hidden="true" max="8" min="8" outlineLevel="1" style="0" width="43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1"/>
    <col collapsed="false" customWidth="true" hidden="false" max="14" min="14" style="0" width="10"/>
    <col collapsed="false" customWidth="true" hidden="false" max="15" min="15" style="0" width="6"/>
    <col collapsed="false" customWidth="true" hidden="false" max="16" min="16" style="0" width="5"/>
    <col collapsed="false" customWidth="true" hidden="false" max="17" min="17" style="0" width="5"/>
    <col collapsed="false" customWidth="true" hidden="false" max="18" min="18" style="0" width="5"/>
    <col collapsed="false" customWidth="true" hidden="false" max="19" min="19" style="0" width="6"/>
    <col collapsed="false" customWidth="true" hidden="false" max="20" min="20" style="0" width="6"/>
    <col collapsed="false" customWidth="true" hidden="false" max="21" min="21" style="0" width="12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17"/>
      <c r="B1" s="17"/>
      <c r="C1" s="17"/>
      <c r="D1" s="17"/>
      <c r="E1" s="14" t="str">
        <v>蓝图</v>
      </c>
      <c r="F1" s="15" t="str">
        <v>模型</v>
      </c>
      <c r="G1" s="15" t="str">
        <v>材质命名</v>
      </c>
      <c r="H1" s="15" t="str">
        <v>贴图命名</v>
      </c>
      <c r="I1" s="15" t="str">
        <v>阵营</v>
      </c>
      <c r="J1" s="15" t="str">
        <v>对象类型</v>
      </c>
      <c r="K1" s="15" t="str">
        <v>注释 A</v>
      </c>
      <c r="L1" s="15" t="str">
        <v>注释 B</v>
      </c>
      <c r="M1" s="15" t="str">
        <v>注释 C</v>
      </c>
      <c r="N1" s="15" t="str">
        <v>注释 D</v>
      </c>
      <c r="O1" s="15" t="str">
        <v>序号 E</v>
      </c>
      <c r="P1" s="15" t="str">
        <v>UE-X</v>
      </c>
      <c r="Q1" s="15" t="str">
        <v>UE-X</v>
      </c>
      <c r="R1" s="15" t="str">
        <v>UE-Z</v>
      </c>
      <c r="S1" s="15" t="str">
        <v>BP</v>
      </c>
      <c r="T1" s="15" t="str">
        <v>SM</v>
      </c>
      <c r="U1" s="15" t="str">
        <v>原点位置</v>
      </c>
      <c r="V1" s="16"/>
      <c r="W1" s="16"/>
      <c r="X1" s="16"/>
      <c r="Y1" s="16"/>
      <c r="Z1" s="16"/>
      <c r="AA1" s="16"/>
    </row>
    <row customHeight="true" ht="19" r="2">
      <c r="A2" s="9" t="str">
        <v>Labor</v>
      </c>
      <c r="B2" s="9"/>
      <c r="C2" s="9"/>
      <c r="D2" s="9"/>
      <c r="E2" s="5">
        <f>IF(I2="","",     "BP_" &amp; I2 &amp;     IF(J2&lt;&gt;"", "_" &amp; J2, "") &amp;     IF(K2&lt;&gt;"", "_" &amp; K2, "") &amp;     IF(L2&lt;&gt;"", "_" &amp; L2, "") &amp;     IF(M2&lt;&gt;"", "_" &amp; M2, "") &amp;     IF(P2&lt;&gt;"", "_X" &amp; P2, "") &amp;     IF(Q2&lt;&gt;"", "_Y" &amp; Q2, "") &amp;     IF(R2&lt;&gt;"", "_Z" &amp; R2, "") &amp;     IF(N2&lt;&gt;"", "_" &amp; N2, "") &amp;     IF(O2&lt;&gt;"", "_" &amp; O2, ""))</f>
      </c>
      <c r="F2" s="5">
        <f>IF(I2="","",     "SM_" &amp; I2 &amp;     IF(J2&lt;&gt;"", "_" &amp; J2, "") &amp;     IF(K2&lt;&gt;"", "_" &amp; K2, "") &amp;     IF(L2&lt;&gt;"", "_" &amp; L2, "") &amp;     IF(M2&lt;&gt;"", "_" &amp; M2, "") &amp;     IF(P2&lt;&gt;"", "_X" &amp; P2, "") &amp;     IF(Q2&lt;&gt;"", "_Y" &amp; Q2, "") &amp;     IF(R2&lt;&gt;"", "_Z" &amp; R2, "") &amp;     IF(N2&lt;&gt;"", "_" &amp; N2, "") &amp;     IF(O2&lt;&gt;"", "_" &amp; O2, ""))</f>
      </c>
      <c r="G2" s="5"/>
      <c r="H2" s="5"/>
      <c r="I2" s="5"/>
      <c r="J2" s="4"/>
      <c r="K2" s="4"/>
      <c r="L2" s="4"/>
      <c r="M2" s="4"/>
      <c r="N2" s="4"/>
      <c r="O2" s="4"/>
      <c r="P2" s="8"/>
      <c r="Q2" s="8"/>
      <c r="R2" s="8"/>
      <c r="S2" s="10"/>
      <c r="T2" s="10"/>
      <c r="U2" s="8"/>
      <c r="V2" s="8"/>
      <c r="W2" s="8"/>
      <c r="X2" s="8"/>
      <c r="Y2" s="8"/>
      <c r="Z2" s="8"/>
      <c r="AA2" s="8"/>
    </row>
    <row customHeight="true" ht="19" r="3">
      <c r="A3" s="9"/>
      <c r="B3" s="9" t="str">
        <v>Interactable</v>
      </c>
      <c r="C3" s="9"/>
      <c r="D3" s="9"/>
      <c r="E3" s="5"/>
      <c r="F3" s="5"/>
      <c r="G3" s="5"/>
      <c r="H3" s="5"/>
      <c r="I3" s="5"/>
      <c r="J3" s="4"/>
      <c r="K3" s="4"/>
      <c r="L3" s="4"/>
      <c r="M3" s="4"/>
      <c r="N3" s="4"/>
      <c r="O3" s="4"/>
      <c r="P3" s="8"/>
      <c r="Q3" s="8"/>
      <c r="R3" s="8"/>
      <c r="S3" s="10"/>
      <c r="T3" s="10"/>
      <c r="U3" s="8"/>
      <c r="V3" s="8"/>
      <c r="W3" s="8"/>
      <c r="X3" s="8"/>
      <c r="Y3" s="8"/>
      <c r="Z3" s="8"/>
      <c r="AA3" s="8"/>
    </row>
    <row customHeight="true" ht="19" r="4">
      <c r="A4" s="9"/>
      <c r="B4" s="9"/>
      <c r="C4" s="9" t="str">
        <v>Balcony</v>
      </c>
      <c r="D4" s="9"/>
      <c r="E4" s="5"/>
      <c r="F4" s="5"/>
      <c r="G4" s="5"/>
      <c r="H4" s="5"/>
      <c r="I4" s="5"/>
      <c r="J4" s="4"/>
      <c r="K4" s="4"/>
      <c r="L4" s="4"/>
      <c r="M4" s="4"/>
      <c r="N4" s="4"/>
      <c r="O4" s="4"/>
      <c r="P4" s="8"/>
      <c r="Q4" s="8"/>
      <c r="R4" s="8"/>
      <c r="S4" s="10"/>
      <c r="T4" s="10"/>
      <c r="U4" s="8"/>
      <c r="V4" s="8"/>
      <c r="W4" s="8"/>
      <c r="X4" s="8"/>
      <c r="Y4" s="8"/>
      <c r="Z4" s="8"/>
      <c r="AA4" s="8"/>
    </row>
    <row collapsed="true" customHeight="true" ht="19" r="5">
      <c r="A5" s="9"/>
      <c r="B5" s="9"/>
      <c r="C5" s="9" t="str">
        <v>Door</v>
      </c>
      <c r="D5" s="9"/>
      <c r="E5" s="5"/>
      <c r="F5" s="5"/>
      <c r="G5" s="5"/>
      <c r="H5" s="5"/>
      <c r="I5" s="5"/>
      <c r="J5" s="4"/>
      <c r="K5" s="4"/>
      <c r="L5" s="4"/>
      <c r="M5" s="4"/>
      <c r="N5" s="4"/>
      <c r="O5" s="4"/>
      <c r="P5" s="8"/>
      <c r="Q5" s="8"/>
      <c r="R5" s="8"/>
      <c r="S5" s="10"/>
      <c r="T5" s="10"/>
      <c r="U5" s="8"/>
      <c r="V5" s="8"/>
      <c r="W5" s="8"/>
      <c r="X5" s="8"/>
      <c r="Y5" s="8"/>
      <c r="Z5" s="8"/>
      <c r="AA5" s="8"/>
    </row>
    <row customHeight="true" hidden="true" ht="19" outlineLevel="1" r="6">
      <c r="A6" s="9"/>
      <c r="B6" s="9"/>
      <c r="C6" s="9"/>
      <c r="D6" s="9"/>
      <c r="E6" s="5">
        <f>IF(I6="","",     "BP_" &amp; I6 &amp;     IF(J6&lt;&gt;"", "_" &amp; J6, "") &amp;     IF(K6&lt;&gt;"", "_" &amp; K6, "") &amp;     IF(L6&lt;&gt;"", "_" &amp; L6, "") &amp;     IF(M6&lt;&gt;"", "_" &amp; M6, "") &amp;     IF(P6&lt;&gt;"", "_X" &amp; P6, "") &amp;     IF(Q6&lt;&gt;"", "_Y" &amp; Q6, "") &amp;     IF(R6&lt;&gt;"", "_Z" &amp; R6, "") &amp;     IF(N6&lt;&gt;"", "_" &amp; N6, "") &amp;     IF(O6&lt;&gt;"", "_" &amp; O6, ""))</f>
      </c>
      <c r="F6" s="5"/>
      <c r="G6" s="5"/>
      <c r="H6" s="5"/>
      <c r="I6" s="5" t="str">
        <v>Labor</v>
      </c>
      <c r="J6" s="5" t="str">
        <v>Door</v>
      </c>
      <c r="K6" s="5"/>
      <c r="L6" s="2"/>
      <c r="N6" s="10"/>
      <c r="O6" s="11" t="str">
        <v>001</v>
      </c>
      <c r="P6" s="10">
        <v>110</v>
      </c>
      <c r="Q6" s="10">
        <v>35</v>
      </c>
      <c r="R6" s="10">
        <v>250</v>
      </c>
      <c r="S6" s="10"/>
      <c r="T6" s="10"/>
      <c r="U6" s="8"/>
      <c r="V6" s="8"/>
      <c r="W6" s="8"/>
      <c r="X6" s="8"/>
      <c r="Y6" s="8"/>
      <c r="Z6" s="8"/>
      <c r="AA6" s="8"/>
    </row>
    <row hidden="true" outlineLevel="1" r="7">
      <c r="A7" s="9"/>
      <c r="B7" s="9"/>
      <c r="C7" s="9"/>
      <c r="D7" s="9"/>
      <c r="E7" s="5"/>
      <c r="F7" s="5">
        <f>IF(I7="","",     "SM_" &amp; I7 &amp;     IF(J7&lt;&gt;"", "_" &amp; J7, "") &amp;     IF(K7&lt;&gt;"", "_" &amp; K7, "") &amp;     IF(L7&lt;&gt;"", "_" &amp; L7, "") &amp;     IF(M7&lt;&gt;"", "_" &amp; M7, "") &amp;     IF(P7&lt;&gt;"", "_X" &amp; P7, "") &amp;     IF(Q7&lt;&gt;"", "_Y" &amp; Q7, "") &amp;     IF(R7&lt;&gt;"", "_Z" &amp; R7, "") &amp;     IF(N7&lt;&gt;"", "_" &amp; N7, "") &amp;     IF(O7&lt;&gt;"", "_" &amp; O7, ""))</f>
      </c>
      <c r="G7" s="5"/>
      <c r="H7" s="5"/>
      <c r="I7" s="5" t="str">
        <v>Labor</v>
      </c>
      <c r="J7" s="5" t="str">
        <v>Door</v>
      </c>
      <c r="K7" s="5"/>
      <c r="L7" s="2" t="str">
        <v>Single</v>
      </c>
      <c r="N7" s="10"/>
      <c r="O7" s="11" t="str">
        <v>001</v>
      </c>
      <c r="P7" s="10">
        <v>110</v>
      </c>
      <c r="Q7" s="10">
        <v>35</v>
      </c>
      <c r="R7" s="10">
        <v>250</v>
      </c>
      <c r="S7" s="10" t="str">
        <v>DONE</v>
      </c>
      <c r="T7" s="10" t="str">
        <v>DONE</v>
      </c>
      <c r="U7" s="8"/>
      <c r="V7" s="8"/>
      <c r="W7" s="8"/>
      <c r="X7" s="8"/>
      <c r="Y7" s="8"/>
      <c r="Z7" s="8"/>
      <c r="AA7" s="8"/>
    </row>
    <row hidden="true" outlineLevel="1" r="8">
      <c r="A8" s="9"/>
      <c r="B8" s="9"/>
      <c r="C8" s="9"/>
      <c r="D8" s="9"/>
      <c r="E8" s="5"/>
      <c r="F8" s="5">
        <f>IF(I8="","",     "SM_" &amp; I8 &amp;     IF(J8&lt;&gt;"", "_" &amp; J8, "") &amp;     IF(K8&lt;&gt;"", "_" &amp; K8, "") &amp;     IF(L8&lt;&gt;"", "_" &amp; L8, "") &amp;     IF(M8&lt;&gt;"", "_" &amp; M8, "") &amp;     IF(P8&lt;&gt;"", "_X" &amp; P8, "") &amp;     IF(Q8&lt;&gt;"", "_Y" &amp; Q8, "") &amp;     IF(R8&lt;&gt;"", "_Z" &amp; R8, "") &amp;     IF(N8&lt;&gt;"", "_" &amp; N8, "") &amp;     IF(O8&lt;&gt;"", "_" &amp; O8, ""))</f>
      </c>
      <c r="G8" s="5"/>
      <c r="H8" s="5"/>
      <c r="I8" s="5" t="str">
        <v>Labor</v>
      </c>
      <c r="J8" s="4" t="str">
        <v>DoorFrame</v>
      </c>
      <c r="K8" s="4"/>
      <c r="L8" s="4"/>
      <c r="M8" s="4"/>
      <c r="N8" s="8"/>
      <c r="O8" s="11" t="str">
        <v>001</v>
      </c>
      <c r="P8" s="8">
        <v>110</v>
      </c>
      <c r="Q8" s="8">
        <v>50</v>
      </c>
      <c r="R8" s="8">
        <v>250</v>
      </c>
      <c r="S8" s="10" t="str">
        <v>DONE</v>
      </c>
      <c r="T8" s="10" t="str">
        <v>DONE</v>
      </c>
      <c r="U8" s="8"/>
      <c r="V8" s="8"/>
      <c r="W8" s="8"/>
      <c r="X8" s="8"/>
      <c r="Y8" s="8"/>
      <c r="Z8" s="8"/>
      <c r="AA8" s="8"/>
    </row>
    <row customHeight="true" hidden="true" ht="19" outlineLevel="1" r="9">
      <c r="A9" s="9"/>
      <c r="B9" s="9"/>
      <c r="C9" s="9"/>
      <c r="D9" s="9"/>
      <c r="E9" s="5">
        <f>IF(I9="","",     "BP_" &amp; I9 &amp;     IF(J9&lt;&gt;"", "_" &amp; J9, "") &amp;     IF(K9&lt;&gt;"", "_" &amp; K9, "") &amp;     IF(L9&lt;&gt;"", "_" &amp; L9, "") &amp;     IF(M9&lt;&gt;"", "_" &amp; M9, "") &amp;     IF(P9&lt;&gt;"", "_X" &amp; P9, "") &amp;     IF(Q9&lt;&gt;"", "_Y" &amp; Q9, "") &amp;     IF(R9&lt;&gt;"", "_Z" &amp; R9, "") &amp;     IF(N9&lt;&gt;"", "_" &amp; N9, "") &amp;     IF(O9&lt;&gt;"", "_" &amp; O9, ""))</f>
      </c>
      <c r="F9" s="5"/>
      <c r="G9" s="5"/>
      <c r="H9" s="5"/>
      <c r="I9" s="5" t="str">
        <v>Labor</v>
      </c>
      <c r="J9" s="5" t="str">
        <v>Door</v>
      </c>
      <c r="K9" s="2" t="str">
        <v>Lift</v>
      </c>
      <c r="L9" s="5"/>
      <c r="N9" s="8"/>
      <c r="O9" s="11" t="str">
        <v>001</v>
      </c>
      <c r="P9" s="10">
        <v>150</v>
      </c>
      <c r="Q9" s="10">
        <v>30</v>
      </c>
      <c r="R9" s="8">
        <v>250</v>
      </c>
      <c r="S9" s="10"/>
      <c r="T9" s="10"/>
      <c r="U9" s="8"/>
      <c r="V9" s="8"/>
      <c r="W9" s="8"/>
      <c r="X9" s="8"/>
      <c r="Y9" s="8"/>
      <c r="Z9" s="8"/>
      <c r="AA9" s="8"/>
    </row>
    <row customHeight="true" hidden="true" ht="19" outlineLevel="1" r="10">
      <c r="A10" s="9"/>
      <c r="B10" s="9"/>
      <c r="C10" s="9"/>
      <c r="D10" s="9"/>
      <c r="E10" s="5"/>
      <c r="F10" s="5">
        <f>IF(I10="","",     "SM_" &amp; I10 &amp;     IF(J10&lt;&gt;"", "_" &amp; J10, "") &amp;     IF(K10&lt;&gt;"", "_" &amp; K10, "") &amp;     IF(L10&lt;&gt;"", "_" &amp; L10, "") &amp;     IF(M10&lt;&gt;"", "_" &amp; M10, "") &amp;     IF(P10&lt;&gt;"", "_X" &amp; P10, "") &amp;     IF(Q10&lt;&gt;"", "_Y" &amp; Q10, "") &amp;     IF(R10&lt;&gt;"", "_Z" &amp; R10, "") &amp;     IF(N10&lt;&gt;"", "_" &amp; N10, "") &amp;     IF(O10&lt;&gt;"", "_" &amp; O10, ""))</f>
      </c>
      <c r="G10" s="5"/>
      <c r="H10" s="5"/>
      <c r="I10" s="5" t="str">
        <v>Labor</v>
      </c>
      <c r="J10" s="4" t="str">
        <v>DoorFrame</v>
      </c>
      <c r="K10" s="2" t="str">
        <v>Lift</v>
      </c>
      <c r="L10" s="4"/>
      <c r="M10" s="4"/>
      <c r="N10" s="8"/>
      <c r="O10" s="11" t="str">
        <v>001</v>
      </c>
      <c r="P10" s="8">
        <v>150</v>
      </c>
      <c r="Q10" s="8">
        <v>50</v>
      </c>
      <c r="R10" s="8">
        <v>250</v>
      </c>
      <c r="S10" s="10" t="str">
        <v>DONE</v>
      </c>
      <c r="T10" s="10" t="str">
        <v>DONE</v>
      </c>
      <c r="U10" s="8"/>
      <c r="V10" s="8"/>
      <c r="W10" s="8"/>
      <c r="X10" s="8"/>
      <c r="Y10" s="8"/>
      <c r="Z10" s="8"/>
      <c r="AA10" s="8"/>
    </row>
    <row customHeight="true" hidden="true" ht="19" outlineLevel="1" r="11">
      <c r="A11" s="9"/>
      <c r="B11" s="9"/>
      <c r="C11" s="9"/>
      <c r="D11" s="9"/>
      <c r="E11" s="5"/>
      <c r="F11" s="5">
        <f>IF(I11="","",     "SM_" &amp; I11 &amp;     IF(J11&lt;&gt;"", "_" &amp; J11, "") &amp;     IF(K11&lt;&gt;"", "_" &amp; K11, "") &amp;     IF(L11&lt;&gt;"", "_" &amp; L11, "") &amp;     IF(M11&lt;&gt;"", "_" &amp; M11, "") &amp;     IF(P11&lt;&gt;"", "_X" &amp; P11, "") &amp;     IF(Q11&lt;&gt;"", "_Y" &amp; Q11, "") &amp;     IF(R11&lt;&gt;"", "_Z" &amp; R11, "") &amp;     IF(N11&lt;&gt;"", "_" &amp; N11, "") &amp;     IF(O11&lt;&gt;"", "_" &amp; O11, ""))</f>
      </c>
      <c r="G11" s="5"/>
      <c r="H11" s="5"/>
      <c r="I11" s="5" t="str">
        <v>Labor</v>
      </c>
      <c r="J11" s="5" t="str">
        <v>Door</v>
      </c>
      <c r="K11" s="2" t="str">
        <v>Lift</v>
      </c>
      <c r="L11" s="5" t="str">
        <v>Left</v>
      </c>
      <c r="N11" s="8"/>
      <c r="O11" s="11" t="str">
        <v>001</v>
      </c>
      <c r="P11" s="10">
        <v>150</v>
      </c>
      <c r="Q11" s="10">
        <v>30</v>
      </c>
      <c r="R11" s="8">
        <v>250</v>
      </c>
      <c r="S11" s="10" t="str">
        <v>DONE</v>
      </c>
      <c r="T11" s="10" t="str">
        <v>DONE</v>
      </c>
      <c r="U11" s="8"/>
      <c r="V11" s="8"/>
      <c r="W11" s="8"/>
      <c r="X11" s="8"/>
      <c r="Y11" s="8"/>
      <c r="Z11" s="8"/>
      <c r="AA11" s="8"/>
    </row>
    <row hidden="true" outlineLevel="1" r="12">
      <c r="A12" s="9"/>
      <c r="B12" s="9"/>
      <c r="C12" s="9"/>
      <c r="D12" s="9"/>
      <c r="E12" s="5"/>
      <c r="F12" s="5">
        <f>IF(I12="","",     "SM_" &amp; I12 &amp;     IF(J12&lt;&gt;"", "_" &amp; J12, "") &amp;     IF(K12&lt;&gt;"", "_" &amp; K12, "") &amp;     IF(L12&lt;&gt;"", "_" &amp; L12, "") &amp;     IF(M12&lt;&gt;"", "_" &amp; M12, "") &amp;     IF(P12&lt;&gt;"", "_X" &amp; P12, "") &amp;     IF(Q12&lt;&gt;"", "_Y" &amp; Q12, "") &amp;     IF(R12&lt;&gt;"", "_Z" &amp; R12, "") &amp;     IF(N12&lt;&gt;"", "_" &amp; N12, "") &amp;     IF(O12&lt;&gt;"", "_" &amp; O12, ""))</f>
      </c>
      <c r="G12" s="5"/>
      <c r="H12" s="5"/>
      <c r="I12" s="5" t="str">
        <v>Labor</v>
      </c>
      <c r="J12" s="5" t="str">
        <v>Door</v>
      </c>
      <c r="K12" s="2" t="str">
        <v>Lift</v>
      </c>
      <c r="L12" s="5" t="str">
        <v>Right</v>
      </c>
      <c r="N12" s="8"/>
      <c r="O12" s="11" t="str">
        <v>001</v>
      </c>
      <c r="P12" s="10">
        <v>150</v>
      </c>
      <c r="Q12" s="10">
        <v>30</v>
      </c>
      <c r="R12" s="8">
        <v>250</v>
      </c>
      <c r="S12" s="10" t="str">
        <v>DONE</v>
      </c>
      <c r="T12" s="10" t="str">
        <v>DONE</v>
      </c>
      <c r="U12" s="8"/>
      <c r="V12" s="8"/>
      <c r="W12" s="8"/>
      <c r="X12" s="8"/>
      <c r="Y12" s="8"/>
      <c r="Z12" s="8"/>
      <c r="AA12" s="8"/>
    </row>
    <row customHeight="true" hidden="true" ht="19" outlineLevel="1" r="13">
      <c r="A13" s="9"/>
      <c r="B13" s="9"/>
      <c r="C13" s="9"/>
      <c r="D13" s="9"/>
      <c r="E13" s="5">
        <f>IF(I13="","",     "BP_" &amp; I13 &amp;     IF(J13&lt;&gt;"", "_" &amp; J13, "") &amp;     IF(K13&lt;&gt;"", "_" &amp; K13, "") &amp;     IF(L13&lt;&gt;"", "_" &amp; L13, "") &amp;     IF(M13&lt;&gt;"", "_" &amp; M13, "") &amp;     IF(P13&lt;&gt;"", "_X" &amp; P13, "") &amp;     IF(Q13&lt;&gt;"", "_Y" &amp; Q13, "") &amp;     IF(R13&lt;&gt;"", "_Z" &amp; R13, "") &amp;     IF(N13&lt;&gt;"", "_" &amp; N13, "") &amp;     IF(O13&lt;&gt;"", "_" &amp; O13, ""))</f>
      </c>
      <c r="F13" s="5"/>
      <c r="G13" s="5"/>
      <c r="H13" s="5"/>
      <c r="I13" s="5" t="str">
        <v>Labor</v>
      </c>
      <c r="J13" s="5" t="str">
        <v>Door</v>
      </c>
      <c r="K13" s="2" t="str">
        <v>Section</v>
      </c>
      <c r="L13" s="2"/>
      <c r="N13" s="8"/>
      <c r="O13" s="11" t="str">
        <v>001</v>
      </c>
      <c r="P13" s="10">
        <v>150</v>
      </c>
      <c r="Q13" s="10">
        <v>30</v>
      </c>
      <c r="R13" s="8">
        <v>250</v>
      </c>
      <c r="S13" s="10"/>
      <c r="T13" s="10"/>
      <c r="U13" s="8"/>
      <c r="V13" s="8"/>
      <c r="W13" s="8"/>
      <c r="X13" s="8"/>
      <c r="Y13" s="8"/>
      <c r="Z13" s="8"/>
      <c r="AA13" s="8"/>
    </row>
    <row customHeight="true" hidden="true" ht="19" outlineLevel="1" r="14">
      <c r="A14" s="9"/>
      <c r="B14" s="9"/>
      <c r="C14" s="9"/>
      <c r="D14" s="9"/>
      <c r="E14" s="5"/>
      <c r="F14" s="5">
        <f>IF(I14="","",     "SM_" &amp; I14 &amp;     IF(J14&lt;&gt;"", "_" &amp; J14, "") &amp;     IF(K14&lt;&gt;"", "_" &amp; K14, "") &amp;     IF(L14&lt;&gt;"", "_" &amp; L14, "") &amp;     IF(M14&lt;&gt;"", "_" &amp; M14, "") &amp;     IF(P14&lt;&gt;"", "_X" &amp; P14, "") &amp;     IF(Q14&lt;&gt;"", "_Y" &amp; Q14, "") &amp;     IF(R14&lt;&gt;"", "_Z" &amp; R14, "") &amp;     IF(N14&lt;&gt;"", "_" &amp; N14, "") &amp;     IF(O14&lt;&gt;"", "_" &amp; O14, ""))</f>
      </c>
      <c r="G14" s="5"/>
      <c r="H14" s="5"/>
      <c r="I14" s="5" t="str">
        <v>Labor</v>
      </c>
      <c r="J14" s="4" t="str">
        <v>DoorFrame</v>
      </c>
      <c r="K14" s="2" t="str">
        <v>Section</v>
      </c>
      <c r="L14" s="4"/>
      <c r="M14" s="4"/>
      <c r="N14" s="8"/>
      <c r="O14" s="11" t="str">
        <v>001</v>
      </c>
      <c r="P14" s="8">
        <v>150</v>
      </c>
      <c r="Q14" s="8">
        <v>50</v>
      </c>
      <c r="R14" s="8">
        <v>250</v>
      </c>
      <c r="S14" s="10" t="str">
        <v>DONE</v>
      </c>
      <c r="T14" s="10" t="str">
        <v>DONE</v>
      </c>
      <c r="U14" s="8"/>
      <c r="V14" s="8"/>
      <c r="W14" s="8"/>
      <c r="X14" s="8"/>
      <c r="Y14" s="8"/>
      <c r="Z14" s="8"/>
      <c r="AA14" s="8"/>
    </row>
    <row customHeight="true" hidden="true" ht="19" outlineLevel="1" r="15">
      <c r="A15" s="9"/>
      <c r="B15" s="9"/>
      <c r="C15" s="9"/>
      <c r="D15" s="9"/>
      <c r="E15" s="5"/>
      <c r="F15" s="5">
        <f>IF(I15="","",     "SM_" &amp; I15 &amp;     IF(J15&lt;&gt;"", "_" &amp; J15, "") &amp;     IF(K15&lt;&gt;"", "_" &amp; K15, "") &amp;     IF(L15&lt;&gt;"", "_" &amp; L15, "") &amp;     IF(M15&lt;&gt;"", "_" &amp; M15, "") &amp;     IF(P15&lt;&gt;"", "_X" &amp; P15, "") &amp;     IF(Q15&lt;&gt;"", "_Y" &amp; Q15, "") &amp;     IF(R15&lt;&gt;"", "_Z" &amp; R15, "") &amp;     IF(N15&lt;&gt;"", "_" &amp; N15, "") &amp;     IF(O15&lt;&gt;"", "_" &amp; O15, ""))</f>
      </c>
      <c r="G15" s="5"/>
      <c r="H15" s="5"/>
      <c r="I15" s="5" t="str">
        <v>Labor</v>
      </c>
      <c r="J15" s="4" t="str">
        <v>DoorFrame</v>
      </c>
      <c r="K15" s="2" t="str">
        <v>SectionSaddle</v>
      </c>
      <c r="L15" s="4"/>
      <c r="M15" s="4"/>
      <c r="N15" s="8"/>
      <c r="O15" s="11" t="str">
        <v>001</v>
      </c>
      <c r="P15" s="8">
        <v>150</v>
      </c>
      <c r="Q15" s="8">
        <v>50</v>
      </c>
      <c r="R15" s="8">
        <v>250</v>
      </c>
      <c r="S15" s="10" t="str">
        <v>DONE</v>
      </c>
      <c r="T15" s="10" t="str">
        <v>DONE</v>
      </c>
      <c r="U15" s="8"/>
      <c r="V15" s="8"/>
      <c r="W15" s="8"/>
      <c r="X15" s="8"/>
      <c r="Y15" s="8"/>
      <c r="Z15" s="8"/>
      <c r="AA15" s="8"/>
    </row>
    <row customHeight="true" hidden="true" ht="19" outlineLevel="1" r="16">
      <c r="A16" s="9"/>
      <c r="B16" s="9"/>
      <c r="C16" s="9"/>
      <c r="D16" s="9"/>
      <c r="E16" s="5"/>
      <c r="F16" s="5">
        <f>IF(I16="","",     "SM_" &amp; I16 &amp;     IF(J16&lt;&gt;"", "_" &amp; J16, "") &amp;     IF(K16&lt;&gt;"", "_" &amp; K16, "") &amp;     IF(L16&lt;&gt;"", "_" &amp; L16, "") &amp;     IF(M16&lt;&gt;"", "_" &amp; M16, "") &amp;     IF(P16&lt;&gt;"", "_X" &amp; P16, "") &amp;     IF(Q16&lt;&gt;"", "_Y" &amp; Q16, "") &amp;     IF(R16&lt;&gt;"", "_Z" &amp; R16, "") &amp;     IF(N16&lt;&gt;"", "_" &amp; N16, "") &amp;     IF(O16&lt;&gt;"", "_" &amp; O16, ""))</f>
      </c>
      <c r="G16" s="5"/>
      <c r="H16" s="5"/>
      <c r="I16" s="5" t="str">
        <v>Labor</v>
      </c>
      <c r="J16" s="5" t="str">
        <v>Door</v>
      </c>
      <c r="K16" s="2" t="str">
        <v>Section</v>
      </c>
      <c r="L16" s="2" t="str">
        <v>Up</v>
      </c>
      <c r="N16" s="8"/>
      <c r="O16" s="11" t="str">
        <v>001</v>
      </c>
      <c r="P16" s="10">
        <v>150</v>
      </c>
      <c r="Q16" s="10">
        <v>30</v>
      </c>
      <c r="R16" s="8">
        <v>250</v>
      </c>
      <c r="S16" s="10" t="str">
        <v>DONE</v>
      </c>
      <c r="T16" s="10" t="str">
        <v>DONE</v>
      </c>
      <c r="U16" s="8"/>
      <c r="V16" s="8"/>
      <c r="W16" s="8"/>
      <c r="X16" s="8"/>
      <c r="Y16" s="8"/>
      <c r="Z16" s="8"/>
      <c r="AA16" s="8"/>
    </row>
    <row customHeight="true" hidden="true" ht="19" outlineLevel="1" r="17">
      <c r="A17" s="9"/>
      <c r="B17" s="9"/>
      <c r="C17" s="9"/>
      <c r="D17" s="9"/>
      <c r="E17" s="5"/>
      <c r="F17" s="5">
        <f>IF(I17="","",     "SM_" &amp; I17 &amp;     IF(J17&lt;&gt;"", "_" &amp; J17, "") &amp;     IF(K17&lt;&gt;"", "_" &amp; K17, "") &amp;     IF(L17&lt;&gt;"", "_" &amp; L17, "") &amp;     IF(M17&lt;&gt;"", "_" &amp; M17, "") &amp;     IF(P17&lt;&gt;"", "_X" &amp; P17, "") &amp;     IF(Q17&lt;&gt;"", "_Y" &amp; Q17, "") &amp;     IF(R17&lt;&gt;"", "_Z" &amp; R17, "") &amp;     IF(N17&lt;&gt;"", "_" &amp; N17, "") &amp;     IF(O17&lt;&gt;"", "_" &amp; O17, ""))</f>
      </c>
      <c r="G17" s="5"/>
      <c r="H17" s="5"/>
      <c r="I17" s="5" t="str">
        <v>Labor</v>
      </c>
      <c r="J17" s="5" t="str">
        <v>Door</v>
      </c>
      <c r="K17" s="2" t="str">
        <v>Section</v>
      </c>
      <c r="L17" s="2" t="str">
        <v>Down</v>
      </c>
      <c r="N17" s="8"/>
      <c r="O17" s="11" t="str">
        <v>001</v>
      </c>
      <c r="P17" s="10">
        <v>150</v>
      </c>
      <c r="Q17" s="10">
        <v>30</v>
      </c>
      <c r="R17" s="8">
        <v>250</v>
      </c>
      <c r="S17" s="10" t="str">
        <v>DONE</v>
      </c>
      <c r="T17" s="10" t="str">
        <v>DONE</v>
      </c>
      <c r="U17" s="8"/>
      <c r="V17" s="8"/>
      <c r="W17" s="8"/>
      <c r="X17" s="8"/>
      <c r="Y17" s="8"/>
      <c r="Z17" s="8"/>
      <c r="AA17" s="8"/>
    </row>
    <row customHeight="true" hidden="true" ht="19" outlineLevel="1" r="18">
      <c r="A18" s="9"/>
      <c r="B18" s="9"/>
      <c r="C18" s="9"/>
      <c r="D18" s="9"/>
      <c r="E18" s="5">
        <f>IF(I18="","",     "BP_" &amp; I18 &amp;     IF(J18&lt;&gt;"", "_" &amp; J18, "") &amp;     IF(K18&lt;&gt;"", "_" &amp; K18, "") &amp;     IF(L18&lt;&gt;"", "_" &amp; L18, "") &amp;     IF(M18&lt;&gt;"", "_" &amp; M18, "") &amp;     IF(P18&lt;&gt;"", "_X" &amp; P18, "") &amp;     IF(Q18&lt;&gt;"", "_Y" &amp; Q18, "") &amp;     IF(R18&lt;&gt;"", "_Z" &amp; R18, "") &amp;     IF(N18&lt;&gt;"", "_" &amp; N18, "") &amp;     IF(O18&lt;&gt;"", "_" &amp; O18, ""))</f>
      </c>
      <c r="F18" s="5"/>
      <c r="G18" s="5"/>
      <c r="H18" s="5"/>
      <c r="I18" s="5" t="str">
        <v>Labor</v>
      </c>
      <c r="J18" s="5" t="str">
        <v>Door</v>
      </c>
      <c r="K18" s="5"/>
      <c r="L18" s="2"/>
      <c r="N18" s="10"/>
      <c r="O18" s="11" t="str">
        <v>001</v>
      </c>
      <c r="P18" s="10">
        <v>200</v>
      </c>
      <c r="Q18" s="10">
        <v>35</v>
      </c>
      <c r="R18" s="10">
        <v>250</v>
      </c>
      <c r="S18" s="10"/>
      <c r="T18" s="10"/>
      <c r="U18" s="8"/>
      <c r="V18" s="8"/>
      <c r="W18" s="8"/>
      <c r="X18" s="8"/>
      <c r="Y18" s="8"/>
      <c r="Z18" s="8"/>
      <c r="AA18" s="8"/>
    </row>
    <row hidden="true" outlineLevel="1" r="19">
      <c r="A19" s="9"/>
      <c r="B19" s="9"/>
      <c r="C19" s="9"/>
      <c r="D19" s="9"/>
      <c r="E19" s="5"/>
      <c r="F19" s="5">
        <f>IF(I19="","",     "SM_" &amp; I19 &amp;     IF(J19&lt;&gt;"", "_" &amp; J19, "") &amp;     IF(K19&lt;&gt;"", "_" &amp; K19, "") &amp;     IF(L19&lt;&gt;"", "_" &amp; L19, "") &amp;     IF(M19&lt;&gt;"", "_" &amp; M19, "") &amp;     IF(P19&lt;&gt;"", "_X" &amp; P19, "") &amp;     IF(Q19&lt;&gt;"", "_Y" &amp; Q19, "") &amp;     IF(R19&lt;&gt;"", "_Z" &amp; R19, "") &amp;     IF(N19&lt;&gt;"", "_" &amp; N19, "") &amp;     IF(O19&lt;&gt;"", "_" &amp; O19, ""))</f>
      </c>
      <c r="G19" s="5"/>
      <c r="H19" s="5"/>
      <c r="I19" s="5" t="str">
        <v>Labor</v>
      </c>
      <c r="J19" s="4" t="str">
        <v>DoorFrame</v>
      </c>
      <c r="K19" s="4"/>
      <c r="L19" s="4"/>
      <c r="M19" s="4"/>
      <c r="N19" s="8"/>
      <c r="O19" s="11" t="str">
        <v>001</v>
      </c>
      <c r="P19" s="8">
        <v>200</v>
      </c>
      <c r="Q19" s="8">
        <v>50</v>
      </c>
      <c r="R19" s="8">
        <v>250</v>
      </c>
      <c r="S19" s="10" t="str">
        <v>DONE</v>
      </c>
      <c r="T19" s="10" t="str">
        <v>DONE</v>
      </c>
      <c r="U19" s="8"/>
      <c r="V19" s="8"/>
      <c r="W19" s="8"/>
      <c r="X19" s="8"/>
      <c r="Y19" s="8"/>
      <c r="Z19" s="8"/>
      <c r="AA19" s="8"/>
    </row>
    <row hidden="true" outlineLevel="1" r="20">
      <c r="A20" s="9"/>
      <c r="B20" s="9"/>
      <c r="C20" s="9"/>
      <c r="D20" s="9"/>
      <c r="E20" s="5"/>
      <c r="F20" s="5">
        <f>IF(I20="","",     "SM_" &amp; I20 &amp;     IF(J20&lt;&gt;"", "_" &amp; J20, "") &amp;     IF(K20&lt;&gt;"", "_" &amp; K20, "") &amp;     IF(L20&lt;&gt;"", "_" &amp; L20, "") &amp;     IF(M20&lt;&gt;"", "_" &amp; M20, "") &amp;     IF(P20&lt;&gt;"", "_X" &amp; P20, "") &amp;     IF(Q20&lt;&gt;"", "_Y" &amp; Q20, "") &amp;     IF(R20&lt;&gt;"", "_Z" &amp; R20, "") &amp;     IF(N20&lt;&gt;"", "_" &amp; N20, "") &amp;     IF(O20&lt;&gt;"", "_" &amp; O20, ""))</f>
      </c>
      <c r="G20" s="5"/>
      <c r="H20" s="5"/>
      <c r="I20" s="5" t="str">
        <v>Labor</v>
      </c>
      <c r="J20" s="5" t="str">
        <v>Door</v>
      </c>
      <c r="K20" s="5"/>
      <c r="L20" s="5" t="str">
        <v>Left</v>
      </c>
      <c r="N20" s="10"/>
      <c r="O20" s="11" t="str">
        <v>001</v>
      </c>
      <c r="P20" s="10">
        <v>200</v>
      </c>
      <c r="Q20" s="10">
        <v>35</v>
      </c>
      <c r="R20" s="10">
        <v>250</v>
      </c>
      <c r="S20" s="10" t="str">
        <v>DONE</v>
      </c>
      <c r="T20" s="10" t="str">
        <v>DONE</v>
      </c>
      <c r="U20" s="8"/>
      <c r="V20" s="8"/>
      <c r="W20" s="8"/>
      <c r="X20" s="8"/>
      <c r="Y20" s="8"/>
      <c r="Z20" s="8"/>
      <c r="AA20" s="8"/>
    </row>
    <row hidden="true" outlineLevel="1" r="21">
      <c r="A21" s="9"/>
      <c r="B21" s="9"/>
      <c r="C21" s="9"/>
      <c r="D21" s="9"/>
      <c r="E21" s="5"/>
      <c r="F21" s="5">
        <f>IF(I21="","",     "SM_" &amp; I21 &amp;     IF(J21&lt;&gt;"", "_" &amp; J21, "") &amp;     IF(K21&lt;&gt;"", "_" &amp; K21, "") &amp;     IF(L21&lt;&gt;"", "_" &amp; L21, "") &amp;     IF(M21&lt;&gt;"", "_" &amp; M21, "") &amp;     IF(P21&lt;&gt;"", "_X" &amp; P21, "") &amp;     IF(Q21&lt;&gt;"", "_Y" &amp; Q21, "") &amp;     IF(R21&lt;&gt;"", "_Z" &amp; R21, "") &amp;     IF(N21&lt;&gt;"", "_" &amp; N21, "") &amp;     IF(O21&lt;&gt;"", "_" &amp; O21, ""))</f>
      </c>
      <c r="G21" s="5"/>
      <c r="H21" s="5"/>
      <c r="I21" s="5" t="str">
        <v>Labor</v>
      </c>
      <c r="J21" s="5" t="str">
        <v>Door</v>
      </c>
      <c r="K21" s="5"/>
      <c r="L21" s="5" t="str">
        <v>Right</v>
      </c>
      <c r="N21" s="10"/>
      <c r="O21" s="11" t="str">
        <v>001</v>
      </c>
      <c r="P21" s="10">
        <v>200</v>
      </c>
      <c r="Q21" s="10">
        <v>35</v>
      </c>
      <c r="R21" s="10">
        <v>250</v>
      </c>
      <c r="S21" s="10" t="str">
        <v>DONE</v>
      </c>
      <c r="T21" s="10" t="str">
        <v>DONE</v>
      </c>
      <c r="U21" s="8"/>
      <c r="V21" s="8"/>
      <c r="W21" s="8"/>
      <c r="X21" s="8"/>
      <c r="Y21" s="8"/>
      <c r="Z21" s="8"/>
      <c r="AA21" s="8"/>
    </row>
    <row customHeight="true" hidden="true" ht="19" outlineLevel="1" r="22">
      <c r="A22" s="9"/>
      <c r="B22" s="9"/>
      <c r="C22" s="9"/>
      <c r="D22" s="9"/>
      <c r="E22" s="5">
        <f>IF(I22="","",     "BP_" &amp; I22 &amp;     IF(J22&lt;&gt;"", "_" &amp; J22, "") &amp;     IF(K22&lt;&gt;"", "_" &amp; K22, "") &amp;     IF(L22&lt;&gt;"", "_" &amp; L22, "") &amp;     IF(M22&lt;&gt;"", "_" &amp; M22, "") &amp;     IF(P22&lt;&gt;"", "_X" &amp; P22, "") &amp;     IF(Q22&lt;&gt;"", "_Y" &amp; Q22, "") &amp;     IF(R22&lt;&gt;"", "_Z" &amp; R22, "") &amp;     IF(N22&lt;&gt;"", "_" &amp; N22, "") &amp;     IF(O22&lt;&gt;"", "_" &amp; O22, ""))</f>
      </c>
      <c r="F22" s="5"/>
      <c r="G22" s="5"/>
      <c r="H22" s="5"/>
      <c r="I22" s="5" t="str">
        <v>Labor</v>
      </c>
      <c r="J22" s="5" t="str">
        <v>Door</v>
      </c>
      <c r="K22" s="5"/>
      <c r="L22" s="2"/>
      <c r="N22" s="10"/>
      <c r="O22" s="11" t="str">
        <v>001</v>
      </c>
      <c r="P22" s="10">
        <v>300</v>
      </c>
      <c r="Q22" s="10">
        <v>35</v>
      </c>
      <c r="R22" s="10">
        <v>250</v>
      </c>
      <c r="S22" s="10"/>
      <c r="T22" s="10"/>
      <c r="U22" s="8"/>
      <c r="V22" s="8"/>
      <c r="W22" s="8"/>
      <c r="X22" s="8"/>
      <c r="Y22" s="8"/>
      <c r="Z22" s="8"/>
      <c r="AA22" s="8"/>
    </row>
    <row hidden="true" outlineLevel="1" r="23">
      <c r="A23" s="9"/>
      <c r="B23" s="9"/>
      <c r="C23" s="9"/>
      <c r="D23" s="9"/>
      <c r="E23" s="5"/>
      <c r="F23" s="5">
        <f>IF(I23="","",     "SM_" &amp; I23 &amp;     IF(J23&lt;&gt;"", "_" &amp; J23, "") &amp;     IF(K23&lt;&gt;"", "_" &amp; K23, "") &amp;     IF(L23&lt;&gt;"", "_" &amp; L23, "") &amp;     IF(M23&lt;&gt;"", "_" &amp; M23, "") &amp;     IF(P23&lt;&gt;"", "_X" &amp; P23, "") &amp;     IF(Q23&lt;&gt;"", "_Y" &amp; Q23, "") &amp;     IF(R23&lt;&gt;"", "_Z" &amp; R23, "") &amp;     IF(N23&lt;&gt;"", "_" &amp; N23, "") &amp;     IF(O23&lt;&gt;"", "_" &amp; O23, ""))</f>
      </c>
      <c r="G23" s="5"/>
      <c r="H23" s="5"/>
      <c r="I23" s="5" t="str">
        <v>Labor</v>
      </c>
      <c r="J23" s="4" t="str">
        <v>DoorFrame</v>
      </c>
      <c r="K23" s="4"/>
      <c r="L23" s="4"/>
      <c r="M23" s="4"/>
      <c r="N23" s="8"/>
      <c r="O23" s="11" t="str">
        <v>001</v>
      </c>
      <c r="P23" s="8">
        <v>300</v>
      </c>
      <c r="Q23" s="8">
        <v>50</v>
      </c>
      <c r="R23" s="8">
        <v>250</v>
      </c>
      <c r="S23" s="10" t="str">
        <v>DONE</v>
      </c>
      <c r="T23" s="10" t="str">
        <v>DONE</v>
      </c>
      <c r="U23" s="8"/>
      <c r="V23" s="8"/>
      <c r="W23" s="8"/>
      <c r="X23" s="8"/>
      <c r="Y23" s="8"/>
      <c r="Z23" s="8"/>
      <c r="AA23" s="8"/>
    </row>
    <row hidden="true" outlineLevel="1" r="24">
      <c r="A24" s="9"/>
      <c r="B24" s="9"/>
      <c r="C24" s="9"/>
      <c r="D24" s="9"/>
      <c r="E24" s="5"/>
      <c r="F24" s="5">
        <f>IF(I24="","",     "SM_" &amp; I24 &amp;     IF(J24&lt;&gt;"", "_" &amp; J24, "") &amp;     IF(K24&lt;&gt;"", "_" &amp; K24, "") &amp;     IF(L24&lt;&gt;"", "_" &amp; L24, "") &amp;     IF(M24&lt;&gt;"", "_" &amp; M24, "") &amp;     IF(P24&lt;&gt;"", "_X" &amp; P24, "") &amp;     IF(Q24&lt;&gt;"", "_Y" &amp; Q24, "") &amp;     IF(R24&lt;&gt;"", "_Z" &amp; R24, "") &amp;     IF(N24&lt;&gt;"", "_" &amp; N24, "") &amp;     IF(O24&lt;&gt;"", "_" &amp; O24, ""))</f>
      </c>
      <c r="G24" s="5"/>
      <c r="H24" s="5"/>
      <c r="I24" s="5" t="str">
        <v>Labor</v>
      </c>
      <c r="J24" s="5" t="str">
        <v>Door</v>
      </c>
      <c r="K24" s="5"/>
      <c r="L24" s="5" t="str">
        <v>Left</v>
      </c>
      <c r="N24" s="10"/>
      <c r="O24" s="11" t="str">
        <v>001</v>
      </c>
      <c r="P24" s="10">
        <v>300</v>
      </c>
      <c r="Q24" s="10">
        <v>35</v>
      </c>
      <c r="R24" s="10">
        <v>250</v>
      </c>
      <c r="S24" s="10" t="str">
        <v>DONE</v>
      </c>
      <c r="T24" s="10" t="str">
        <v>DONE</v>
      </c>
      <c r="U24" s="8"/>
      <c r="V24" s="8"/>
      <c r="W24" s="8"/>
      <c r="X24" s="8"/>
      <c r="Y24" s="8"/>
      <c r="Z24" s="8"/>
      <c r="AA24" s="8"/>
    </row>
    <row hidden="true" outlineLevel="1" r="25">
      <c r="A25" s="9"/>
      <c r="B25" s="9"/>
      <c r="C25" s="9"/>
      <c r="D25" s="9"/>
      <c r="E25" s="5"/>
      <c r="F25" s="5">
        <f>IF(I25="","",     "SM_" &amp; I25 &amp;     IF(J25&lt;&gt;"", "_" &amp; J25, "") &amp;     IF(K25&lt;&gt;"", "_" &amp; K25, "") &amp;     IF(L25&lt;&gt;"", "_" &amp; L25, "") &amp;     IF(M25&lt;&gt;"", "_" &amp; M25, "") &amp;     IF(P25&lt;&gt;"", "_X" &amp; P25, "") &amp;     IF(Q25&lt;&gt;"", "_Y" &amp; Q25, "") &amp;     IF(R25&lt;&gt;"", "_Z" &amp; R25, "") &amp;     IF(N25&lt;&gt;"", "_" &amp; N25, "") &amp;     IF(O25&lt;&gt;"", "_" &amp; O25, ""))</f>
      </c>
      <c r="G25" s="5"/>
      <c r="H25" s="5"/>
      <c r="I25" s="5" t="str">
        <v>Labor</v>
      </c>
      <c r="J25" s="5" t="str">
        <v>Door</v>
      </c>
      <c r="K25" s="5"/>
      <c r="L25" s="5" t="str">
        <v>Right</v>
      </c>
      <c r="N25" s="10"/>
      <c r="O25" s="11" t="str">
        <v>001</v>
      </c>
      <c r="P25" s="10">
        <v>300</v>
      </c>
      <c r="Q25" s="10">
        <v>35</v>
      </c>
      <c r="R25" s="10">
        <v>250</v>
      </c>
      <c r="S25" s="10" t="str">
        <v>DONE</v>
      </c>
      <c r="T25" s="10" t="str">
        <v>DONE</v>
      </c>
      <c r="U25" s="8"/>
      <c r="V25" s="8"/>
      <c r="W25" s="8"/>
      <c r="X25" s="8"/>
      <c r="Y25" s="8"/>
      <c r="Z25" s="8"/>
      <c r="AA25" s="8"/>
    </row>
    <row customHeight="true" hidden="true" ht="19" outlineLevel="1" r="26">
      <c r="A26" s="9"/>
      <c r="B26" s="9"/>
      <c r="C26" s="9"/>
      <c r="D26" s="9"/>
      <c r="E26" s="5">
        <f>IF(I26="","",     "BP_" &amp; I26 &amp;     IF(J26&lt;&gt;"", "_" &amp; J26, "") &amp;     IF(K26&lt;&gt;"", "_" &amp; K26, "") &amp;     IF(L26&lt;&gt;"", "_" &amp; L26, "") &amp;     IF(M26&lt;&gt;"", "_" &amp; M26, "") &amp;     IF(P26&lt;&gt;"", "_X" &amp; P26, "") &amp;     IF(Q26&lt;&gt;"", "_Y" &amp; Q26, "") &amp;     IF(R26&lt;&gt;"", "_Z" &amp; R26, "") &amp;     IF(N26&lt;&gt;"", "_" &amp; N26, "") &amp;     IF(O26&lt;&gt;"", "_" &amp; O26, ""))</f>
      </c>
      <c r="F26" s="5"/>
      <c r="G26" s="5"/>
      <c r="H26" s="5"/>
      <c r="I26" s="5" t="str">
        <v>Labor</v>
      </c>
      <c r="J26" s="5" t="str">
        <v>Door</v>
      </c>
      <c r="K26" s="5"/>
      <c r="L26" s="2"/>
      <c r="N26" s="10"/>
      <c r="O26" s="11" t="str">
        <v>001</v>
      </c>
      <c r="P26" s="10">
        <v>400</v>
      </c>
      <c r="Q26" s="10">
        <v>35</v>
      </c>
      <c r="R26" s="10">
        <v>250</v>
      </c>
      <c r="S26" s="10"/>
      <c r="T26" s="10"/>
      <c r="U26" s="8"/>
      <c r="V26" s="8"/>
      <c r="W26" s="8"/>
      <c r="X26" s="8"/>
      <c r="Y26" s="8"/>
      <c r="Z26" s="8"/>
      <c r="AA26" s="8"/>
    </row>
    <row hidden="true" outlineLevel="1" r="27">
      <c r="A27" s="9"/>
      <c r="B27" s="9"/>
      <c r="C27" s="9"/>
      <c r="D27" s="9"/>
      <c r="E27" s="5"/>
      <c r="F27" s="5">
        <f>IF(I27="","",     "SM_" &amp; I27 &amp;     IF(J27&lt;&gt;"", "_" &amp; J27, "") &amp;     IF(K27&lt;&gt;"", "_" &amp; K27, "") &amp;     IF(L27&lt;&gt;"", "_" &amp; L27, "") &amp;     IF(M27&lt;&gt;"", "_" &amp; M27, "") &amp;     IF(P27&lt;&gt;"", "_X" &amp; P27, "") &amp;     IF(Q27&lt;&gt;"", "_Y" &amp; Q27, "") &amp;     IF(R27&lt;&gt;"", "_Z" &amp; R27, "") &amp;     IF(N27&lt;&gt;"", "_" &amp; N27, "") &amp;     IF(O27&lt;&gt;"", "_" &amp; O27, ""))</f>
      </c>
      <c r="G27" s="5"/>
      <c r="H27" s="5"/>
      <c r="I27" s="5" t="str">
        <v>Labor</v>
      </c>
      <c r="J27" s="4" t="str">
        <v>DoorFrame</v>
      </c>
      <c r="K27" s="4"/>
      <c r="L27" s="4"/>
      <c r="M27" s="4"/>
      <c r="N27" s="8"/>
      <c r="O27" s="11" t="str">
        <v>001</v>
      </c>
      <c r="P27" s="8">
        <v>400</v>
      </c>
      <c r="Q27" s="8">
        <v>50</v>
      </c>
      <c r="R27" s="8">
        <v>250</v>
      </c>
      <c r="S27" s="10" t="str">
        <v>DONE</v>
      </c>
      <c r="T27" s="10" t="str">
        <v>DONE</v>
      </c>
      <c r="U27" s="8"/>
      <c r="V27" s="8"/>
      <c r="W27" s="8"/>
      <c r="X27" s="8"/>
      <c r="Y27" s="8"/>
      <c r="Z27" s="8"/>
      <c r="AA27" s="8"/>
    </row>
    <row hidden="true" outlineLevel="1" r="28">
      <c r="A28" s="9"/>
      <c r="B28" s="9"/>
      <c r="C28" s="9"/>
      <c r="D28" s="9"/>
      <c r="E28" s="5"/>
      <c r="F28" s="5">
        <f>IF(I28="","",     "SM_" &amp; I28 &amp;     IF(J28&lt;&gt;"", "_" &amp; J28, "") &amp;     IF(K28&lt;&gt;"", "_" &amp; K28, "") &amp;     IF(L28&lt;&gt;"", "_" &amp; L28, "") &amp;     IF(M28&lt;&gt;"", "_" &amp; M28, "") &amp;     IF(P28&lt;&gt;"", "_X" &amp; P28, "") &amp;     IF(Q28&lt;&gt;"", "_Y" &amp; Q28, "") &amp;     IF(R28&lt;&gt;"", "_Z" &amp; R28, "") &amp;     IF(N28&lt;&gt;"", "_" &amp; N28, "") &amp;     IF(O28&lt;&gt;"", "_" &amp; O28, ""))</f>
      </c>
      <c r="G28" s="5"/>
      <c r="H28" s="5"/>
      <c r="I28" s="5" t="str">
        <v>Labor</v>
      </c>
      <c r="J28" s="5" t="str">
        <v>Door</v>
      </c>
      <c r="K28" s="4"/>
      <c r="L28" s="2" t="str">
        <v>Single</v>
      </c>
      <c r="N28" s="8"/>
      <c r="O28" s="11" t="str">
        <v>001</v>
      </c>
      <c r="P28" s="10">
        <v>400</v>
      </c>
      <c r="Q28" s="10">
        <v>35</v>
      </c>
      <c r="R28" s="8">
        <v>250</v>
      </c>
      <c r="S28" s="10" t="str">
        <v>DONE</v>
      </c>
      <c r="T28" s="10" t="str">
        <v>DONE</v>
      </c>
      <c r="U28" s="8"/>
      <c r="V28" s="8"/>
      <c r="W28" s="8"/>
      <c r="X28" s="8"/>
      <c r="Y28" s="8"/>
      <c r="Z28" s="8"/>
      <c r="AA28" s="8"/>
    </row>
    <row customHeight="true" hidden="true" ht="19" outlineLevel="1" r="29">
      <c r="A29" s="9"/>
      <c r="B29" s="9"/>
      <c r="C29" s="9"/>
      <c r="D29" s="9"/>
      <c r="E29" s="5">
        <f>IF(I29="","",     "BP_" &amp; I29 &amp;     IF(J29&lt;&gt;"", "_" &amp; J29, "") &amp;     IF(K29&lt;&gt;"", "_" &amp; K29, "") &amp;     IF(L29&lt;&gt;"", "_" &amp; L29, "") &amp;     IF(M29&lt;&gt;"", "_" &amp; M29, "") &amp;     IF(P29&lt;&gt;"", "_X" &amp; P29, "") &amp;     IF(Q29&lt;&gt;"", "_Y" &amp; Q29, "") &amp;     IF(R29&lt;&gt;"", "_Z" &amp; R29, "") &amp;     IF(N29&lt;&gt;"", "_" &amp; N29, "") &amp;     IF(O29&lt;&gt;"", "_" &amp; O29, ""))</f>
      </c>
      <c r="F29" s="5"/>
      <c r="G29" s="5"/>
      <c r="H29" s="5"/>
      <c r="I29" s="5" t="str">
        <v>Labor</v>
      </c>
      <c r="J29" s="5" t="str">
        <v>Door</v>
      </c>
      <c r="K29" s="5"/>
      <c r="L29" s="2"/>
      <c r="N29" s="10"/>
      <c r="O29" s="11" t="str">
        <v>001</v>
      </c>
      <c r="P29" s="10">
        <v>500</v>
      </c>
      <c r="Q29" s="10">
        <v>35</v>
      </c>
      <c r="R29" s="10">
        <v>250</v>
      </c>
      <c r="S29" s="10"/>
      <c r="T29" s="10"/>
      <c r="U29" s="8"/>
      <c r="V29" s="8"/>
      <c r="W29" s="8"/>
      <c r="X29" s="8"/>
      <c r="Y29" s="8"/>
      <c r="Z29" s="8"/>
      <c r="AA29" s="8"/>
    </row>
    <row hidden="true" outlineLevel="1" r="30">
      <c r="A30" s="9"/>
      <c r="B30" s="9"/>
      <c r="C30" s="9"/>
      <c r="D30" s="9"/>
      <c r="E30" s="5"/>
      <c r="F30" s="5">
        <f>IF(I30="","",     "SM_" &amp; I30 &amp;     IF(J30&lt;&gt;"", "_" &amp; J30, "") &amp;     IF(K30&lt;&gt;"", "_" &amp; K30, "") &amp;     IF(L30&lt;&gt;"", "_" &amp; L30, "") &amp;     IF(M30&lt;&gt;"", "_" &amp; M30, "") &amp;     IF(P30&lt;&gt;"", "_X" &amp; P30, "") &amp;     IF(Q30&lt;&gt;"", "_Y" &amp; Q30, "") &amp;     IF(R30&lt;&gt;"", "_Z" &amp; R30, "") &amp;     IF(N30&lt;&gt;"", "_" &amp; N30, "") &amp;     IF(O30&lt;&gt;"", "_" &amp; O30, ""))</f>
      </c>
      <c r="G30" s="5"/>
      <c r="H30" s="5"/>
      <c r="I30" s="5" t="str">
        <v>Labor</v>
      </c>
      <c r="J30" s="5" t="str">
        <v>Door</v>
      </c>
      <c r="K30" s="4"/>
      <c r="L30" s="2" t="str">
        <v>Single</v>
      </c>
      <c r="M30" s="4"/>
      <c r="N30" s="8"/>
      <c r="O30" s="11" t="str">
        <v>001</v>
      </c>
      <c r="P30" s="10">
        <v>500</v>
      </c>
      <c r="Q30" s="10">
        <v>30</v>
      </c>
      <c r="R30" s="8">
        <v>250</v>
      </c>
      <c r="S30" s="10" t="str">
        <v>DONE</v>
      </c>
      <c r="T30" s="10" t="str">
        <v>DONE</v>
      </c>
      <c r="U30" s="8"/>
      <c r="V30" s="8"/>
      <c r="W30" s="8"/>
      <c r="X30" s="8"/>
      <c r="Y30" s="8"/>
      <c r="Z30" s="8"/>
      <c r="AA30" s="8"/>
    </row>
    <row hidden="true" outlineLevel="1" r="31">
      <c r="A31" s="9"/>
      <c r="B31" s="9"/>
      <c r="C31" s="9"/>
      <c r="D31" s="9"/>
      <c r="E31" s="5"/>
      <c r="F31" s="5">
        <f>IF(I31="","",     "SM_" &amp; I31 &amp;     IF(J31&lt;&gt;"", "_" &amp; J31, "") &amp;     IF(K31&lt;&gt;"", "_" &amp; K31, "") &amp;     IF(L31&lt;&gt;"", "_" &amp; L31, "") &amp;     IF(M31&lt;&gt;"", "_" &amp; M31, "") &amp;     IF(P31&lt;&gt;"", "_X" &amp; P31, "") &amp;     IF(Q31&lt;&gt;"", "_Y" &amp; Q31, "") &amp;     IF(R31&lt;&gt;"", "_Z" &amp; R31, "") &amp;     IF(N31&lt;&gt;"", "_" &amp; N31, "") &amp;     IF(O31&lt;&gt;"", "_" &amp; O31, ""))</f>
      </c>
      <c r="G31" s="5"/>
      <c r="H31" s="5"/>
      <c r="I31" s="5" t="str">
        <v>Labor</v>
      </c>
      <c r="J31" s="4" t="str">
        <v>DoorFrame</v>
      </c>
      <c r="K31" s="4"/>
      <c r="L31" s="4"/>
      <c r="M31" s="4"/>
      <c r="N31" s="8"/>
      <c r="O31" s="11" t="str">
        <v>001</v>
      </c>
      <c r="P31" s="8">
        <v>500</v>
      </c>
      <c r="Q31" s="8">
        <v>50</v>
      </c>
      <c r="R31" s="8">
        <v>250</v>
      </c>
      <c r="S31" s="10" t="str">
        <v>DONE</v>
      </c>
      <c r="T31" s="10" t="str">
        <v>DONE</v>
      </c>
      <c r="U31" s="8"/>
      <c r="V31" s="8"/>
      <c r="W31" s="8"/>
      <c r="X31" s="8"/>
      <c r="Y31" s="8"/>
      <c r="Z31" s="8"/>
      <c r="AA31" s="8"/>
    </row>
    <row customHeight="true" ht="19" r="32">
      <c r="A32" s="9"/>
      <c r="B32" s="9" t="str">
        <v>Structure</v>
      </c>
      <c r="C32" s="9"/>
      <c r="D32" s="9"/>
      <c r="E32" s="5"/>
      <c r="F32" s="5"/>
      <c r="G32" s="5"/>
      <c r="H32" s="5"/>
      <c r="I32" s="5"/>
      <c r="J32" s="4"/>
      <c r="K32" s="2"/>
      <c r="L32" s="4"/>
      <c r="M32" s="4"/>
      <c r="N32" s="4"/>
      <c r="O32" s="4"/>
      <c r="P32" s="8"/>
      <c r="Q32" s="8"/>
      <c r="R32" s="8"/>
      <c r="S32" s="10"/>
      <c r="T32" s="10"/>
      <c r="U32" s="8"/>
      <c r="V32" s="8"/>
      <c r="W32" s="8"/>
      <c r="X32" s="8"/>
      <c r="Y32" s="8"/>
      <c r="Z32" s="8"/>
      <c r="AA32" s="8"/>
    </row>
    <row customHeight="true" ht="19" r="33">
      <c r="A33" s="9"/>
      <c r="B33" s="9"/>
      <c r="C33" s="9" t="str">
        <v>Floor</v>
      </c>
      <c r="D33" s="9"/>
      <c r="E33" s="5"/>
      <c r="F33" s="5"/>
      <c r="G33" s="5"/>
      <c r="H33" s="5"/>
      <c r="I33" s="5"/>
      <c r="J33" s="4"/>
      <c r="K33" s="4"/>
      <c r="L33" s="4"/>
      <c r="M33" s="4"/>
      <c r="N33" s="4"/>
      <c r="O33" s="4"/>
      <c r="P33" s="8"/>
      <c r="Q33" s="8"/>
      <c r="R33" s="8"/>
      <c r="S33" s="10"/>
      <c r="T33" s="10"/>
      <c r="U33" s="8"/>
      <c r="V33" s="8"/>
      <c r="W33" s="8"/>
      <c r="X33" s="8"/>
      <c r="Y33" s="8"/>
      <c r="Z33" s="8"/>
      <c r="AA33" s="8"/>
    </row>
    <row customHeight="true" ht="19" outlineLevel="1" r="34">
      <c r="A34" s="9"/>
      <c r="B34" s="9"/>
      <c r="C34" s="9"/>
      <c r="D34" s="9" t="str">
        <v>Center</v>
      </c>
      <c r="E34" s="5"/>
      <c r="F34" s="5"/>
      <c r="G34" s="5"/>
      <c r="H34" s="5"/>
      <c r="I34" s="5"/>
      <c r="J34" s="5"/>
      <c r="K34" s="2"/>
      <c r="L34" s="2"/>
      <c r="M34" s="2"/>
      <c r="N34" s="2"/>
      <c r="O34" s="11"/>
      <c r="P34" s="10"/>
      <c r="Q34" s="10"/>
      <c r="R34" s="10"/>
      <c r="S34" s="10"/>
      <c r="T34" s="10"/>
      <c r="U34" s="8"/>
      <c r="V34" s="8"/>
      <c r="W34" s="8"/>
      <c r="X34" s="8"/>
      <c r="Y34" s="8"/>
      <c r="Z34" s="8"/>
      <c r="AA34" s="8"/>
    </row>
    <row customHeight="true" ht="19" outlineLevel="1" r="35">
      <c r="A35" s="9"/>
      <c r="B35" s="9"/>
      <c r="C35" s="9"/>
      <c r="D35" s="9"/>
      <c r="E35" s="5">
        <f>IF(I35="","",     "BP_" &amp; I35 &amp;     IF(J35&lt;&gt;"", "_" &amp; J35, "") &amp;     IF(K35&lt;&gt;"", "_" &amp; K35, "") &amp;     IF(L35&lt;&gt;"", "_" &amp; L35, "") &amp;     IF(M35&lt;&gt;"", "_" &amp; M35, "") &amp;     IF(P35&lt;&gt;"", "_X" &amp; P35, "") &amp;     IF(Q35&lt;&gt;"", "_Y" &amp; Q35, "") &amp;     IF(R35&lt;&gt;"", "_Z" &amp; R35, "") &amp;     IF(N35&lt;&gt;"", "_" &amp; N35, "") &amp;     IF(O35&lt;&gt;"", "_" &amp; O35, ""))</f>
      </c>
      <c r="F35" s="5">
        <f>IF(I35="","",     "SM_" &amp; I35 &amp;     IF(J35&lt;&gt;"", "_" &amp; J35, "") &amp;     IF(K35&lt;&gt;"", "_" &amp; K35, "") &amp;     IF(L35&lt;&gt;"", "_" &amp; L35, "") &amp;     IF(M35&lt;&gt;"", "_" &amp; M35, "") &amp;     IF(P35&lt;&gt;"", "_X" &amp; P35, "") &amp;     IF(Q35&lt;&gt;"", "_Y" &amp; Q35, "") &amp;     IF(R35&lt;&gt;"", "_Z" &amp; R35, "") &amp;     IF(N35&lt;&gt;"", "_" &amp; N35, "") &amp;     IF(O35&lt;&gt;"", "_" &amp; O35, ""))</f>
      </c>
      <c r="G35" s="5"/>
      <c r="H35" s="5"/>
      <c r="I35" s="5" t="str">
        <v>Labor</v>
      </c>
      <c r="J35" s="5" t="str">
        <v>Floor</v>
      </c>
      <c r="K35" s="2" t="str">
        <v>Center</v>
      </c>
      <c r="L35" s="2" t="str">
        <v>Blank</v>
      </c>
      <c r="M35" s="2"/>
      <c r="N35" s="2" t="str">
        <v>A</v>
      </c>
      <c r="O35" s="11" t="str">
        <v>001</v>
      </c>
      <c r="P35" s="10">
        <v>100</v>
      </c>
      <c r="Q35" s="10">
        <v>100</v>
      </c>
      <c r="R35" s="10">
        <v>20</v>
      </c>
      <c r="S35" s="10" t="str">
        <v>✅</v>
      </c>
      <c r="T35" s="10" t="str">
        <v>✅</v>
      </c>
      <c r="U35" s="8"/>
      <c r="V35" s="8"/>
      <c r="W35" s="8"/>
      <c r="X35" s="8"/>
      <c r="Y35" s="8"/>
      <c r="Z35" s="8"/>
      <c r="AA35" s="8"/>
    </row>
    <row customHeight="true" ht="19" outlineLevel="1" r="36">
      <c r="A36" s="9"/>
      <c r="B36" s="9"/>
      <c r="C36" s="9"/>
      <c r="D36" s="9"/>
      <c r="E36" s="5">
        <f>IF(I36="","",     "BP_" &amp; I36 &amp;     IF(J36&lt;&gt;"", "_" &amp; J36, "") &amp;     IF(K36&lt;&gt;"", "_" &amp; K36, "") &amp;     IF(L36&lt;&gt;"", "_" &amp; L36, "") &amp;     IF(M36&lt;&gt;"", "_" &amp; M36, "") &amp;     IF(P36&lt;&gt;"", "_X" &amp; P36, "") &amp;     IF(Q36&lt;&gt;"", "_Y" &amp; Q36, "") &amp;     IF(R36&lt;&gt;"", "_Z" &amp; R36, "") &amp;     IF(N36&lt;&gt;"", "_" &amp; N36, "") &amp;     IF(O36&lt;&gt;"", "_" &amp; O36, ""))</f>
      </c>
      <c r="F36" s="5">
        <f>IF(I36="","",     "SM_" &amp; I36 &amp;     IF(J36&lt;&gt;"", "_" &amp; J36, "") &amp;     IF(K36&lt;&gt;"", "_" &amp; K36, "") &amp;     IF(L36&lt;&gt;"", "_" &amp; L36, "") &amp;     IF(M36&lt;&gt;"", "_" &amp; M36, "") &amp;     IF(P36&lt;&gt;"", "_X" &amp; P36, "") &amp;     IF(Q36&lt;&gt;"", "_Y" &amp; Q36, "") &amp;     IF(R36&lt;&gt;"", "_Z" &amp; R36, "") &amp;     IF(N36&lt;&gt;"", "_" &amp; N36, "") &amp;     IF(O36&lt;&gt;"", "_" &amp; O36, ""))</f>
      </c>
      <c r="G36" s="5"/>
      <c r="H36" s="5"/>
      <c r="I36" s="5" t="str">
        <v>Labor</v>
      </c>
      <c r="J36" s="5" t="str">
        <v>Floor</v>
      </c>
      <c r="K36" s="2" t="str">
        <v>Center</v>
      </c>
      <c r="L36" s="2" t="str">
        <v>Forward</v>
      </c>
      <c r="M36" s="2"/>
      <c r="N36" s="2" t="str">
        <v>A</v>
      </c>
      <c r="O36" s="11" t="str">
        <v>001</v>
      </c>
      <c r="P36" s="10">
        <v>100</v>
      </c>
      <c r="Q36" s="10">
        <v>100</v>
      </c>
      <c r="R36" s="10">
        <v>20</v>
      </c>
      <c r="S36" s="10" t="str">
        <v>✅</v>
      </c>
      <c r="T36" s="10" t="str">
        <v>✅</v>
      </c>
      <c r="U36" s="8"/>
      <c r="V36" s="8"/>
      <c r="W36" s="8"/>
      <c r="X36" s="8"/>
      <c r="Y36" s="8"/>
      <c r="Z36" s="8"/>
      <c r="AA36" s="8"/>
    </row>
    <row customHeight="true" ht="19" outlineLevel="1" r="37">
      <c r="A37" s="9"/>
      <c r="B37" s="9"/>
      <c r="C37" s="9"/>
      <c r="D37" s="9"/>
      <c r="E37" s="5">
        <f>IF(I37="","",     "BP_" &amp; I37 &amp;     IF(J37&lt;&gt;"", "_" &amp; J37, "") &amp;     IF(K37&lt;&gt;"", "_" &amp; K37, "") &amp;     IF(L37&lt;&gt;"", "_" &amp; L37, "") &amp;     IF(M37&lt;&gt;"", "_" &amp; M37, "") &amp;     IF(P37&lt;&gt;"", "_X" &amp; P37, "") &amp;     IF(Q37&lt;&gt;"", "_Y" &amp; Q37, "") &amp;     IF(R37&lt;&gt;"", "_Z" &amp; R37, "") &amp;     IF(N37&lt;&gt;"", "_" &amp; N37, "") &amp;     IF(O37&lt;&gt;"", "_" &amp; O37, ""))</f>
      </c>
      <c r="F37" s="5">
        <f>IF(I37="","",     "SM_" &amp; I37 &amp;     IF(J37&lt;&gt;"", "_" &amp; J37, "") &amp;     IF(K37&lt;&gt;"", "_" &amp; K37, "") &amp;     IF(L37&lt;&gt;"", "_" &amp; L37, "") &amp;     IF(M37&lt;&gt;"", "_" &amp; M37, "") &amp;     IF(P37&lt;&gt;"", "_X" &amp; P37, "") &amp;     IF(Q37&lt;&gt;"", "_Y" &amp; Q37, "") &amp;     IF(R37&lt;&gt;"", "_Z" &amp; R37, "") &amp;     IF(N37&lt;&gt;"", "_" &amp; N37, "") &amp;     IF(O37&lt;&gt;"", "_" &amp; O37, ""))</f>
      </c>
      <c r="G37" s="5"/>
      <c r="H37" s="5"/>
      <c r="I37" s="5" t="str">
        <v>Labor</v>
      </c>
      <c r="J37" s="5" t="str">
        <v>Floor</v>
      </c>
      <c r="K37" s="2" t="str">
        <v>Center</v>
      </c>
      <c r="L37" s="2" t="str">
        <v>Forward</v>
      </c>
      <c r="M37" s="2"/>
      <c r="N37" s="2" t="str">
        <v>A</v>
      </c>
      <c r="O37" s="11" t="str">
        <v>002</v>
      </c>
      <c r="P37" s="10">
        <v>100</v>
      </c>
      <c r="Q37" s="10">
        <v>100</v>
      </c>
      <c r="R37" s="10">
        <v>20</v>
      </c>
      <c r="S37" s="10" t="str">
        <v>✅</v>
      </c>
      <c r="T37" s="10" t="str">
        <v>✅</v>
      </c>
      <c r="U37" s="8"/>
      <c r="V37" s="8"/>
      <c r="W37" s="8"/>
      <c r="X37" s="8"/>
      <c r="Y37" s="8"/>
      <c r="Z37" s="8"/>
      <c r="AA37" s="8"/>
    </row>
    <row customHeight="true" ht="19" outlineLevel="1" r="38">
      <c r="A38" s="9"/>
      <c r="B38" s="9"/>
      <c r="C38" s="9"/>
      <c r="D38" s="9"/>
      <c r="E38" s="5">
        <f>IF(I38="","",     "BP_" &amp; I38 &amp;     IF(J38&lt;&gt;"", "_" &amp; J38, "") &amp;     IF(K38&lt;&gt;"", "_" &amp; K38, "") &amp;     IF(L38&lt;&gt;"", "_" &amp; L38, "") &amp;     IF(M38&lt;&gt;"", "_" &amp; M38, "") &amp;     IF(P38&lt;&gt;"", "_X" &amp; P38, "") &amp;     IF(Q38&lt;&gt;"", "_Y" &amp; Q38, "") &amp;     IF(R38&lt;&gt;"", "_Z" &amp; R38, "") &amp;     IF(N38&lt;&gt;"", "_" &amp; N38, "") &amp;     IF(O38&lt;&gt;"", "_" &amp; O38, ""))</f>
      </c>
      <c r="F38" s="5">
        <f>IF(I38="","",     "SM_" &amp; I38 &amp;     IF(J38&lt;&gt;"", "_" &amp; J38, "") &amp;     IF(K38&lt;&gt;"", "_" &amp; K38, "") &amp;     IF(L38&lt;&gt;"", "_" &amp; L38, "") &amp;     IF(M38&lt;&gt;"", "_" &amp; M38, "") &amp;     IF(P38&lt;&gt;"", "_X" &amp; P38, "") &amp;     IF(Q38&lt;&gt;"", "_Y" &amp; Q38, "") &amp;     IF(R38&lt;&gt;"", "_Z" &amp; R38, "") &amp;     IF(N38&lt;&gt;"", "_" &amp; N38, "") &amp;     IF(O38&lt;&gt;"", "_" &amp; O38, ""))</f>
      </c>
      <c r="G38" s="5"/>
      <c r="H38" s="5"/>
      <c r="I38" s="5" t="str">
        <v>Labor</v>
      </c>
      <c r="J38" s="5" t="str">
        <v>Floor</v>
      </c>
      <c r="K38" s="2" t="str">
        <v>Center</v>
      </c>
      <c r="L38" s="2" t="str">
        <v>Forward</v>
      </c>
      <c r="M38" s="2"/>
      <c r="N38" s="2" t="str">
        <v>A</v>
      </c>
      <c r="O38" s="11" t="str">
        <v>003</v>
      </c>
      <c r="P38" s="10">
        <v>100</v>
      </c>
      <c r="Q38" s="10">
        <v>100</v>
      </c>
      <c r="R38" s="10">
        <v>20</v>
      </c>
      <c r="S38" s="10" t="str">
        <v>✅</v>
      </c>
      <c r="T38" s="10" t="str">
        <v>✅</v>
      </c>
      <c r="U38" s="8"/>
      <c r="V38" s="8"/>
      <c r="W38" s="8"/>
      <c r="X38" s="8"/>
      <c r="Y38" s="8"/>
      <c r="Z38" s="8"/>
      <c r="AA38" s="8"/>
    </row>
    <row customHeight="true" ht="19" outlineLevel="1" r="39">
      <c r="A39" s="9"/>
      <c r="B39" s="9"/>
      <c r="C39" s="9"/>
      <c r="D39" s="9"/>
      <c r="E39" s="5">
        <f>IF(I39="","",     "BP_" &amp; I39 &amp;     IF(J39&lt;&gt;"", "_" &amp; J39, "") &amp;     IF(K39&lt;&gt;"", "_" &amp; K39, "") &amp;     IF(L39&lt;&gt;"", "_" &amp; L39, "") &amp;     IF(M39&lt;&gt;"", "_" &amp; M39, "") &amp;     IF(P39&lt;&gt;"", "_X" &amp; P39, "") &amp;     IF(Q39&lt;&gt;"", "_Y" &amp; Q39, "") &amp;     IF(R39&lt;&gt;"", "_Z" &amp; R39, "") &amp;     IF(N39&lt;&gt;"", "_" &amp; N39, "") &amp;     IF(O39&lt;&gt;"", "_" &amp; O39, ""))</f>
      </c>
      <c r="F39" s="5">
        <f>IF(I39="","",     "SM_" &amp; I39 &amp;     IF(J39&lt;&gt;"", "_" &amp; J39, "") &amp;     IF(K39&lt;&gt;"", "_" &amp; K39, "") &amp;     IF(L39&lt;&gt;"", "_" &amp; L39, "") &amp;     IF(M39&lt;&gt;"", "_" &amp; M39, "") &amp;     IF(P39&lt;&gt;"", "_X" &amp; P39, "") &amp;     IF(Q39&lt;&gt;"", "_Y" &amp; Q39, "") &amp;     IF(R39&lt;&gt;"", "_Z" &amp; R39, "") &amp;     IF(N39&lt;&gt;"", "_" &amp; N39, "") &amp;     IF(O39&lt;&gt;"", "_" &amp; O39, ""))</f>
      </c>
      <c r="G39" s="5"/>
      <c r="H39" s="5"/>
      <c r="I39" s="5" t="str">
        <v>Labor</v>
      </c>
      <c r="J39" s="5" t="str">
        <v>Floor</v>
      </c>
      <c r="K39" s="12" t="str">
        <v>Center</v>
      </c>
      <c r="L39" s="12" t="str">
        <v>Forward</v>
      </c>
      <c r="M39" s="12"/>
      <c r="N39" s="12" t="str">
        <v>A</v>
      </c>
      <c r="O39" s="13" t="str">
        <v>004</v>
      </c>
      <c r="P39" s="10">
        <v>100</v>
      </c>
      <c r="Q39" s="10">
        <v>100</v>
      </c>
      <c r="R39" s="10">
        <v>20</v>
      </c>
      <c r="S39" s="10" t="str">
        <v>✅</v>
      </c>
      <c r="T39" s="10" t="str">
        <v>✅</v>
      </c>
      <c r="U39" s="10"/>
      <c r="V39" s="10"/>
      <c r="W39" s="10"/>
      <c r="X39" s="10"/>
      <c r="Y39" s="10"/>
      <c r="Z39" s="10"/>
      <c r="AA39" s="10"/>
    </row>
    <row customHeight="true" ht="19" outlineLevel="1" r="40">
      <c r="A40" s="9"/>
      <c r="B40" s="9"/>
      <c r="C40" s="9"/>
      <c r="D40" s="9"/>
      <c r="E40" s="5">
        <f>IF(I40="","",     "BP_" &amp; I40 &amp;     IF(J40&lt;&gt;"", "_" &amp; J40, "") &amp;     IF(K40&lt;&gt;"", "_" &amp; K40, "") &amp;     IF(L40&lt;&gt;"", "_" &amp; L40, "") &amp;     IF(M40&lt;&gt;"", "_" &amp; M40, "") &amp;     IF(P40&lt;&gt;"", "_X" &amp; P40, "") &amp;     IF(Q40&lt;&gt;"", "_Y" &amp; Q40, "") &amp;     IF(R40&lt;&gt;"", "_Z" &amp; R40, "") &amp;     IF(N40&lt;&gt;"", "_" &amp; N40, "") &amp;     IF(O40&lt;&gt;"", "_" &amp; O40, ""))</f>
      </c>
      <c r="F40" s="5">
        <f>IF(I40="","",     "SM_" &amp; I40 &amp;     IF(J40&lt;&gt;"", "_" &amp; J40, "") &amp;     IF(K40&lt;&gt;"", "_" &amp; K40, "") &amp;     IF(L40&lt;&gt;"", "_" &amp; L40, "") &amp;     IF(M40&lt;&gt;"", "_" &amp; M40, "") &amp;     IF(P40&lt;&gt;"", "_X" &amp; P40, "") &amp;     IF(Q40&lt;&gt;"", "_Y" &amp; Q40, "") &amp;     IF(R40&lt;&gt;"", "_Z" &amp; R40, "") &amp;     IF(N40&lt;&gt;"", "_" &amp; N40, "") &amp;     IF(O40&lt;&gt;"", "_" &amp; O40, ""))</f>
      </c>
      <c r="G40" s="5"/>
      <c r="H40" s="5"/>
      <c r="I40" s="5" t="str">
        <v>Labor</v>
      </c>
      <c r="J40" s="5" t="str">
        <v>Floor</v>
      </c>
      <c r="K40" s="2" t="str">
        <v>Center</v>
      </c>
      <c r="L40" s="2" t="str">
        <v>Turn</v>
      </c>
      <c r="M40" s="2"/>
      <c r="N40" s="2" t="str">
        <v>A</v>
      </c>
      <c r="O40" s="11" t="str">
        <v>001</v>
      </c>
      <c r="P40" s="10">
        <v>100</v>
      </c>
      <c r="Q40" s="10">
        <v>100</v>
      </c>
      <c r="R40" s="10">
        <v>20</v>
      </c>
      <c r="S40" s="10" t="str">
        <v>✅</v>
      </c>
      <c r="T40" s="10" t="str">
        <v>✅</v>
      </c>
      <c r="U40" s="8"/>
      <c r="V40" s="8"/>
      <c r="W40" s="8"/>
      <c r="X40" s="8"/>
      <c r="Y40" s="8"/>
      <c r="Z40" s="8"/>
      <c r="AA40" s="8"/>
    </row>
    <row customHeight="true" ht="19" outlineLevel="1" r="41">
      <c r="A41" s="9"/>
      <c r="B41" s="9"/>
      <c r="C41" s="9"/>
      <c r="D41" s="9" t="str">
        <v>CenterToSide</v>
      </c>
      <c r="E41" s="5"/>
      <c r="F41" s="5"/>
      <c r="G41" s="5"/>
      <c r="H41" s="5"/>
      <c r="I41" s="5"/>
      <c r="J41" s="5"/>
      <c r="K41" s="2"/>
      <c r="L41" s="2"/>
      <c r="M41" s="2"/>
      <c r="N41" s="2"/>
      <c r="O41" s="11"/>
      <c r="P41" s="10"/>
      <c r="Q41" s="10"/>
      <c r="R41" s="10"/>
      <c r="S41" s="10"/>
      <c r="T41" s="10"/>
      <c r="U41" s="8"/>
      <c r="V41" s="8"/>
      <c r="W41" s="8"/>
      <c r="X41" s="8"/>
      <c r="Y41" s="8"/>
      <c r="Z41" s="8"/>
      <c r="AA41" s="8"/>
    </row>
    <row customHeight="true" ht="19" outlineLevel="1" r="42">
      <c r="A42" s="9"/>
      <c r="B42" s="9"/>
      <c r="C42" s="9"/>
      <c r="D42" s="9"/>
      <c r="E42" s="5">
        <f>IF(I42="","",     "BP_" &amp; I42 &amp;     IF(J42&lt;&gt;"", "_" &amp; J42, "") &amp;     IF(K42&lt;&gt;"", "_" &amp; K42, "") &amp;     IF(L42&lt;&gt;"", "_" &amp; L42, "") &amp;     IF(M42&lt;&gt;"", "_" &amp; M42, "") &amp;     IF(P42&lt;&gt;"", "_X" &amp; P42, "") &amp;     IF(Q42&lt;&gt;"", "_Y" &amp; Q42, "") &amp;     IF(R42&lt;&gt;"", "_Z" &amp; R42, "") &amp;     IF(N42&lt;&gt;"", "_" &amp; N42, "") &amp;     IF(O42&lt;&gt;"", "_" &amp; O42, ""))</f>
      </c>
      <c r="F42" s="5">
        <f>IF(I42="","",     "SM_" &amp; I42 &amp;     IF(J42&lt;&gt;"", "_" &amp; J42, "") &amp;     IF(K42&lt;&gt;"", "_" &amp; K42, "") &amp;     IF(L42&lt;&gt;"", "_" &amp; L42, "") &amp;     IF(M42&lt;&gt;"", "_" &amp; M42, "") &amp;     IF(P42&lt;&gt;"", "_X" &amp; P42, "") &amp;     IF(Q42&lt;&gt;"", "_Y" &amp; Q42, "") &amp;     IF(R42&lt;&gt;"", "_Z" &amp; R42, "") &amp;     IF(N42&lt;&gt;"", "_" &amp; N42, "") &amp;     IF(O42&lt;&gt;"", "_" &amp; O42, ""))</f>
      </c>
      <c r="G42" s="5"/>
      <c r="H42" s="5"/>
      <c r="I42" s="5" t="str">
        <v>Labor</v>
      </c>
      <c r="J42" s="5" t="str">
        <v>Floor</v>
      </c>
      <c r="K42" s="2" t="str">
        <v>CenterToSide</v>
      </c>
      <c r="L42" s="2" t="str">
        <v>Turn</v>
      </c>
      <c r="M42" s="2"/>
      <c r="N42" s="2" t="str">
        <v>A</v>
      </c>
      <c r="O42" s="11" t="str">
        <v>001</v>
      </c>
      <c r="P42" s="10">
        <v>100</v>
      </c>
      <c r="Q42" s="10">
        <v>100</v>
      </c>
      <c r="R42" s="10">
        <v>20</v>
      </c>
      <c r="S42" s="10" t="str">
        <v>✅</v>
      </c>
      <c r="T42" s="10" t="str">
        <v>✅</v>
      </c>
      <c r="U42" s="8"/>
      <c r="V42" s="8"/>
      <c r="W42" s="8"/>
      <c r="X42" s="8"/>
      <c r="Y42" s="8"/>
      <c r="Z42" s="8"/>
      <c r="AA42" s="8"/>
    </row>
    <row customHeight="true" ht="19" outlineLevel="1" r="43">
      <c r="A43" s="9"/>
      <c r="B43" s="9"/>
      <c r="C43" s="9"/>
      <c r="D43" s="9"/>
      <c r="E43" s="5">
        <f>IF(I43="","",     "BP_" &amp; I43 &amp;     IF(J43&lt;&gt;"", "_" &amp; J43, "") &amp;     IF(K43&lt;&gt;"", "_" &amp; K43, "") &amp;     IF(L43&lt;&gt;"", "_" &amp; L43, "") &amp;     IF(M43&lt;&gt;"", "_" &amp; M43, "") &amp;     IF(P43&lt;&gt;"", "_X" &amp; P43, "") &amp;     IF(Q43&lt;&gt;"", "_Y" &amp; Q43, "") &amp;     IF(R43&lt;&gt;"", "_Z" &amp; R43, "") &amp;     IF(N43&lt;&gt;"", "_" &amp; N43, "") &amp;     IF(O43&lt;&gt;"", "_" &amp; O43, ""))</f>
      </c>
      <c r="F43" s="5">
        <f>IF(I43="","",     "SM_" &amp; I43 &amp;     IF(J43&lt;&gt;"", "_" &amp; J43, "") &amp;     IF(K43&lt;&gt;"", "_" &amp; K43, "") &amp;     IF(L43&lt;&gt;"", "_" &amp; L43, "") &amp;     IF(M43&lt;&gt;"", "_" &amp; M43, "") &amp;     IF(P43&lt;&gt;"", "_X" &amp; P43, "") &amp;     IF(Q43&lt;&gt;"", "_Y" &amp; Q43, "") &amp;     IF(R43&lt;&gt;"", "_Z" &amp; R43, "") &amp;     IF(N43&lt;&gt;"", "_" &amp; N43, "") &amp;     IF(O43&lt;&gt;"", "_" &amp; O43, ""))</f>
      </c>
      <c r="G43" s="5"/>
      <c r="H43" s="5"/>
      <c r="I43" s="5" t="str">
        <v>Labor</v>
      </c>
      <c r="J43" s="5" t="str">
        <v>Floor</v>
      </c>
      <c r="K43" s="2" t="str">
        <v>CenterToSide</v>
      </c>
      <c r="L43" s="2" t="str">
        <v>End</v>
      </c>
      <c r="M43" s="2"/>
      <c r="N43" s="2" t="str">
        <v>A</v>
      </c>
      <c r="O43" s="11" t="str">
        <v>001</v>
      </c>
      <c r="P43" s="10">
        <v>100</v>
      </c>
      <c r="Q43" s="10">
        <v>100</v>
      </c>
      <c r="R43" s="10">
        <v>20</v>
      </c>
      <c r="S43" s="10" t="str">
        <v>✅</v>
      </c>
      <c r="T43" s="10" t="str">
        <v>✅</v>
      </c>
      <c r="U43" s="8"/>
      <c r="V43" s="8"/>
      <c r="W43" s="8"/>
      <c r="X43" s="8"/>
      <c r="Y43" s="8"/>
      <c r="Z43" s="8"/>
      <c r="AA43" s="8"/>
    </row>
    <row customHeight="true" ht="19" outlineLevel="1" r="44">
      <c r="A44" s="9"/>
      <c r="B44" s="9"/>
      <c r="C44" s="9"/>
      <c r="D44" s="9" t="str">
        <v>Side</v>
      </c>
      <c r="E44" s="5"/>
      <c r="F44" s="5"/>
      <c r="G44" s="5"/>
      <c r="H44" s="5"/>
      <c r="I44" s="5"/>
      <c r="J44" s="5"/>
      <c r="K44" s="2"/>
      <c r="L44" s="2"/>
      <c r="M44" s="2"/>
      <c r="N44" s="2"/>
      <c r="O44" s="11"/>
      <c r="P44" s="10"/>
      <c r="Q44" s="10"/>
      <c r="R44" s="10"/>
      <c r="S44" s="10"/>
      <c r="T44" s="10"/>
      <c r="U44" s="8"/>
      <c r="V44" s="8"/>
      <c r="W44" s="8"/>
      <c r="X44" s="8"/>
      <c r="Y44" s="8"/>
      <c r="Z44" s="8"/>
      <c r="AA44" s="8"/>
    </row>
    <row customHeight="true" ht="19" outlineLevel="1" r="45">
      <c r="A45" s="9"/>
      <c r="B45" s="9"/>
      <c r="C45" s="9"/>
      <c r="D45" s="9"/>
      <c r="E45" s="5">
        <f>IF(I45="","",     "BP_" &amp; I45 &amp;     IF(J45&lt;&gt;"", "_" &amp; J45, "") &amp;     IF(K45&lt;&gt;"", "_" &amp; K45, "") &amp;     IF(L45&lt;&gt;"", "_" &amp; L45, "") &amp;     IF(M45&lt;&gt;"", "_" &amp; M45, "") &amp;     IF(P45&lt;&gt;"", "_X" &amp; P45, "") &amp;     IF(Q45&lt;&gt;"", "_Y" &amp; Q45, "") &amp;     IF(R45&lt;&gt;"", "_Z" &amp; R45, "") &amp;     IF(N45&lt;&gt;"", "_" &amp; N45, "") &amp;     IF(O45&lt;&gt;"", "_" &amp; O45, ""))</f>
      </c>
      <c r="F45" s="5">
        <f>IF(I45="","",     "SM_" &amp; I45 &amp;     IF(J45&lt;&gt;"", "_" &amp; J45, "") &amp;     IF(K45&lt;&gt;"", "_" &amp; K45, "") &amp;     IF(L45&lt;&gt;"", "_" &amp; L45, "") &amp;     IF(M45&lt;&gt;"", "_" &amp; M45, "") &amp;     IF(P45&lt;&gt;"", "_X" &amp; P45, "") &amp;     IF(Q45&lt;&gt;"", "_Y" &amp; Q45, "") &amp;     IF(R45&lt;&gt;"", "_Z" &amp; R45, "") &amp;     IF(N45&lt;&gt;"", "_" &amp; N45, "") &amp;     IF(O45&lt;&gt;"", "_" &amp; O45, ""))</f>
      </c>
      <c r="G45" s="5"/>
      <c r="H45" s="5"/>
      <c r="I45" s="5" t="str">
        <v>Labor</v>
      </c>
      <c r="J45" s="5" t="str">
        <v>Floor</v>
      </c>
      <c r="K45" s="2" t="str">
        <v>Side</v>
      </c>
      <c r="L45" s="2"/>
      <c r="M45" s="12" t="str">
        <v>Blank</v>
      </c>
      <c r="N45" s="2" t="str">
        <v>A</v>
      </c>
      <c r="O45" s="11" t="str">
        <v>001</v>
      </c>
      <c r="P45" s="10">
        <v>100</v>
      </c>
      <c r="Q45" s="10">
        <v>100</v>
      </c>
      <c r="R45" s="10">
        <v>20</v>
      </c>
      <c r="S45" s="10" t="str">
        <v>✅</v>
      </c>
      <c r="T45" s="10" t="str">
        <v>✅</v>
      </c>
      <c r="U45" s="8"/>
      <c r="V45" s="8"/>
      <c r="W45" s="8"/>
      <c r="X45" s="8"/>
      <c r="Y45" s="8"/>
      <c r="Z45" s="8"/>
      <c r="AA45" s="8"/>
    </row>
    <row customHeight="true" ht="19" outlineLevel="1" r="46">
      <c r="A46" s="9"/>
      <c r="B46" s="9"/>
      <c r="C46" s="9"/>
      <c r="D46" s="9"/>
      <c r="E46" s="5">
        <f>IF(I46="","",     "BP_" &amp; I46 &amp;     IF(J46&lt;&gt;"", "_" &amp; J46, "") &amp;     IF(K46&lt;&gt;"", "_" &amp; K46, "") &amp;     IF(L46&lt;&gt;"", "_" &amp; L46, "") &amp;     IF(M46&lt;&gt;"", "_" &amp; M46, "") &amp;     IF(P46&lt;&gt;"", "_X" &amp; P46, "") &amp;     IF(Q46&lt;&gt;"", "_Y" &amp; Q46, "") &amp;     IF(R46&lt;&gt;"", "_Z" &amp; R46, "") &amp;     IF(N46&lt;&gt;"", "_" &amp; N46, "") &amp;     IF(O46&lt;&gt;"", "_" &amp; O46, ""))</f>
      </c>
      <c r="F46" s="5">
        <f>IF(I46="","",     "SM_" &amp; I46 &amp;     IF(J46&lt;&gt;"", "_" &amp; J46, "") &amp;     IF(K46&lt;&gt;"", "_" &amp; K46, "") &amp;     IF(L46&lt;&gt;"", "_" &amp; L46, "") &amp;     IF(M46&lt;&gt;"", "_" &amp; M46, "") &amp;     IF(P46&lt;&gt;"", "_X" &amp; P46, "") &amp;     IF(Q46&lt;&gt;"", "_Y" &amp; Q46, "") &amp;     IF(R46&lt;&gt;"", "_Z" &amp; R46, "") &amp;     IF(N46&lt;&gt;"", "_" &amp; N46, "") &amp;     IF(O46&lt;&gt;"", "_" &amp; O46, ""))</f>
      </c>
      <c r="G46" s="5"/>
      <c r="H46" s="5"/>
      <c r="I46" s="5" t="str">
        <v>Labor</v>
      </c>
      <c r="J46" s="5" t="str">
        <v>Floor</v>
      </c>
      <c r="K46" s="2" t="str">
        <v>Side</v>
      </c>
      <c r="L46" s="2" t="str">
        <v>Turn</v>
      </c>
      <c r="M46" s="2" t="str">
        <v>Linked</v>
      </c>
      <c r="N46" s="2" t="str">
        <v>A</v>
      </c>
      <c r="O46" s="11" t="str">
        <v>001</v>
      </c>
      <c r="P46" s="10">
        <v>100</v>
      </c>
      <c r="Q46" s="10">
        <v>100</v>
      </c>
      <c r="R46" s="10">
        <v>20</v>
      </c>
      <c r="S46" s="10" t="str">
        <v>✅</v>
      </c>
      <c r="T46" s="10" t="str">
        <v>✅</v>
      </c>
      <c r="U46" s="8"/>
      <c r="V46" s="8"/>
      <c r="W46" s="8"/>
      <c r="X46" s="8"/>
      <c r="Y46" s="8"/>
      <c r="Z46" s="8"/>
      <c r="AA46" s="8"/>
    </row>
    <row customHeight="true" ht="19" outlineLevel="1" r="47">
      <c r="A47" s="9"/>
      <c r="B47" s="9"/>
      <c r="C47" s="9"/>
      <c r="D47" s="9"/>
      <c r="E47" s="5">
        <f>IF(I47="","",     "BP_" &amp; I47 &amp;     IF(J47&lt;&gt;"", "_" &amp; J47, "") &amp;     IF(K47&lt;&gt;"", "_" &amp; K47, "") &amp;     IF(L47&lt;&gt;"", "_" &amp; L47, "") &amp;     IF(M47&lt;&gt;"", "_" &amp; M47, "") &amp;     IF(P47&lt;&gt;"", "_X" &amp; P47, "") &amp;     IF(Q47&lt;&gt;"", "_Y" &amp; Q47, "") &amp;     IF(R47&lt;&gt;"", "_Z" &amp; R47, "") &amp;     IF(N47&lt;&gt;"", "_" &amp; N47, "") &amp;     IF(O47&lt;&gt;"", "_" &amp; O47, ""))</f>
      </c>
      <c r="F47" s="5">
        <f>IF(I47="","",     "SM_" &amp; I47 &amp;     IF(J47&lt;&gt;"", "_" &amp; J47, "") &amp;     IF(K47&lt;&gt;"", "_" &amp; K47, "") &amp;     IF(L47&lt;&gt;"", "_" &amp; L47, "") &amp;     IF(M47&lt;&gt;"", "_" &amp; M47, "") &amp;     IF(P47&lt;&gt;"", "_X" &amp; P47, "") &amp;     IF(Q47&lt;&gt;"", "_Y" &amp; Q47, "") &amp;     IF(R47&lt;&gt;"", "_Z" &amp; R47, "") &amp;     IF(N47&lt;&gt;"", "_" &amp; N47, "") &amp;     IF(O47&lt;&gt;"", "_" &amp; O47, ""))</f>
      </c>
      <c r="G47" s="5"/>
      <c r="H47" s="5"/>
      <c r="I47" s="5" t="str">
        <v>Labor</v>
      </c>
      <c r="J47" s="5" t="str">
        <v>Floor</v>
      </c>
      <c r="K47" s="2" t="str">
        <v>Side</v>
      </c>
      <c r="L47" s="2" t="str">
        <v>Turn</v>
      </c>
      <c r="M47" s="2" t="str">
        <v>Linked</v>
      </c>
      <c r="N47" s="2" t="str">
        <v>B</v>
      </c>
      <c r="O47" s="11" t="str">
        <v>001</v>
      </c>
      <c r="P47" s="10">
        <v>100</v>
      </c>
      <c r="Q47" s="10">
        <v>100</v>
      </c>
      <c r="R47" s="10">
        <v>20</v>
      </c>
      <c r="S47" s="10" t="str">
        <v>✅</v>
      </c>
      <c r="T47" s="10" t="str">
        <v>✅</v>
      </c>
      <c r="U47" s="8"/>
      <c r="V47" s="8"/>
      <c r="W47" s="8"/>
      <c r="X47" s="8"/>
      <c r="Y47" s="8"/>
      <c r="Z47" s="8"/>
      <c r="AA47" s="8"/>
    </row>
    <row customHeight="true" ht="19" outlineLevel="1" r="48">
      <c r="A48" s="9"/>
      <c r="B48" s="9"/>
      <c r="C48" s="9"/>
      <c r="D48" s="9"/>
      <c r="E48" s="5">
        <f>IF(I48="","",     "BP_" &amp; I48 &amp;     IF(J48&lt;&gt;"", "_" &amp; J48, "") &amp;     IF(K48&lt;&gt;"", "_" &amp; K48, "") &amp;     IF(L48&lt;&gt;"", "_" &amp; L48, "") &amp;     IF(M48&lt;&gt;"", "_" &amp; M48, "") &amp;     IF(P48&lt;&gt;"", "_X" &amp; P48, "") &amp;     IF(Q48&lt;&gt;"", "_Y" &amp; Q48, "") &amp;     IF(R48&lt;&gt;"", "_Z" &amp; R48, "") &amp;     IF(N48&lt;&gt;"", "_" &amp; N48, "") &amp;     IF(O48&lt;&gt;"", "_" &amp; O48, ""))</f>
      </c>
      <c r="F48" s="5">
        <f>IF(I48="","",     "SM_" &amp; I48 &amp;     IF(J48&lt;&gt;"", "_" &amp; J48, "") &amp;     IF(K48&lt;&gt;"", "_" &amp; K48, "") &amp;     IF(L48&lt;&gt;"", "_" &amp; L48, "") &amp;     IF(M48&lt;&gt;"", "_" &amp; M48, "") &amp;     IF(P48&lt;&gt;"", "_X" &amp; P48, "") &amp;     IF(Q48&lt;&gt;"", "_Y" &amp; Q48, "") &amp;     IF(R48&lt;&gt;"", "_Z" &amp; R48, "") &amp;     IF(N48&lt;&gt;"", "_" &amp; N48, "") &amp;     IF(O48&lt;&gt;"", "_" &amp; O48, ""))</f>
      </c>
      <c r="G48" s="5"/>
      <c r="H48" s="5"/>
      <c r="I48" s="5" t="str">
        <v>Labor</v>
      </c>
      <c r="J48" s="5" t="str">
        <v>Floor</v>
      </c>
      <c r="K48" s="2" t="str">
        <v>Side</v>
      </c>
      <c r="L48" s="2" t="str">
        <v>Turn</v>
      </c>
      <c r="M48" s="2" t="str">
        <v>Break</v>
      </c>
      <c r="N48" s="2" t="str">
        <v>B</v>
      </c>
      <c r="O48" s="11" t="str">
        <v>001</v>
      </c>
      <c r="P48" s="10">
        <v>100</v>
      </c>
      <c r="Q48" s="10">
        <v>100</v>
      </c>
      <c r="R48" s="10">
        <v>20</v>
      </c>
      <c r="S48" s="10" t="str">
        <v>✅</v>
      </c>
      <c r="T48" s="10" t="str">
        <v>✅</v>
      </c>
      <c r="U48" s="8"/>
      <c r="V48" s="8"/>
      <c r="W48" s="8"/>
      <c r="X48" s="8"/>
      <c r="Y48" s="8"/>
      <c r="Z48" s="8"/>
      <c r="AA48" s="8"/>
    </row>
    <row customHeight="true" ht="19" outlineLevel="1" r="49">
      <c r="A49" s="9"/>
      <c r="B49" s="9"/>
      <c r="C49" s="9"/>
      <c r="D49" s="9"/>
      <c r="E49" s="5">
        <f>IF(I49="","",     "BP_" &amp; I49 &amp;     IF(J49&lt;&gt;"", "_" &amp; J49, "") &amp;     IF(K49&lt;&gt;"", "_" &amp; K49, "") &amp;     IF(L49&lt;&gt;"", "_" &amp; L49, "") &amp;     IF(M49&lt;&gt;"", "_" &amp; M49, "") &amp;     IF(P49&lt;&gt;"", "_X" &amp; P49, "") &amp;     IF(Q49&lt;&gt;"", "_Y" &amp; Q49, "") &amp;     IF(R49&lt;&gt;"", "_Z" &amp; R49, "") &amp;     IF(N49&lt;&gt;"", "_" &amp; N49, "") &amp;     IF(O49&lt;&gt;"", "_" &amp; O49, ""))</f>
      </c>
      <c r="F49" s="5">
        <f>IF(I49="","",     "SM_" &amp; I49 &amp;     IF(J49&lt;&gt;"", "_" &amp; J49, "") &amp;     IF(K49&lt;&gt;"", "_" &amp; K49, "") &amp;     IF(L49&lt;&gt;"", "_" &amp; L49, "") &amp;     IF(M49&lt;&gt;"", "_" &amp; M49, "") &amp;     IF(P49&lt;&gt;"", "_X" &amp; P49, "") &amp;     IF(Q49&lt;&gt;"", "_Y" &amp; Q49, "") &amp;     IF(R49&lt;&gt;"", "_Z" &amp; R49, "") &amp;     IF(N49&lt;&gt;"", "_" &amp; N49, "") &amp;     IF(O49&lt;&gt;"", "_" &amp; O49, ""))</f>
      </c>
      <c r="G49" s="5"/>
      <c r="H49" s="5"/>
      <c r="I49" s="5" t="str">
        <v>Labor</v>
      </c>
      <c r="J49" s="5" t="str">
        <v>Floor</v>
      </c>
      <c r="K49" s="2" t="str">
        <v>Side</v>
      </c>
      <c r="L49" s="2" t="str">
        <v>Forward</v>
      </c>
      <c r="M49" s="2" t="str">
        <v>Break</v>
      </c>
      <c r="N49" s="2" t="str">
        <v>A</v>
      </c>
      <c r="O49" s="11" t="str">
        <v>001</v>
      </c>
      <c r="P49" s="10">
        <v>100</v>
      </c>
      <c r="Q49" s="10">
        <v>100</v>
      </c>
      <c r="R49" s="10">
        <v>20</v>
      </c>
      <c r="S49" s="10" t="str">
        <v>✅</v>
      </c>
      <c r="T49" s="10" t="str">
        <v>✅</v>
      </c>
      <c r="U49" s="8"/>
      <c r="V49" s="8"/>
      <c r="W49" s="8"/>
      <c r="X49" s="8"/>
      <c r="Y49" s="8"/>
      <c r="Z49" s="8"/>
      <c r="AA49" s="8"/>
    </row>
    <row customHeight="true" ht="19" outlineLevel="1" r="50">
      <c r="A50" s="9"/>
      <c r="B50" s="9"/>
      <c r="C50" s="9"/>
      <c r="D50" s="9"/>
      <c r="E50" s="5">
        <f>IF(I50="","",     "BP_" &amp; I50 &amp;     IF(J50&lt;&gt;"", "_" &amp; J50, "") &amp;     IF(K50&lt;&gt;"", "_" &amp; K50, "") &amp;     IF(L50&lt;&gt;"", "_" &amp; L50, "") &amp;     IF(M50&lt;&gt;"", "_" &amp; M50, "") &amp;     IF(P50&lt;&gt;"", "_X" &amp; P50, "") &amp;     IF(Q50&lt;&gt;"", "_Y" &amp; Q50, "") &amp;     IF(R50&lt;&gt;"", "_Z" &amp; R50, "") &amp;     IF(N50&lt;&gt;"", "_" &amp; N50, "") &amp;     IF(O50&lt;&gt;"", "_" &amp; O50, ""))</f>
      </c>
      <c r="F50" s="5">
        <f>IF(I50="","",     "SM_" &amp; I50 &amp;     IF(J50&lt;&gt;"", "_" &amp; J50, "") &amp;     IF(K50&lt;&gt;"", "_" &amp; K50, "") &amp;     IF(L50&lt;&gt;"", "_" &amp; L50, "") &amp;     IF(M50&lt;&gt;"", "_" &amp; M50, "") &amp;     IF(P50&lt;&gt;"", "_X" &amp; P50, "") &amp;     IF(Q50&lt;&gt;"", "_Y" &amp; Q50, "") &amp;     IF(R50&lt;&gt;"", "_Z" &amp; R50, "") &amp;     IF(N50&lt;&gt;"", "_" &amp; N50, "") &amp;     IF(O50&lt;&gt;"", "_" &amp; O50, ""))</f>
      </c>
      <c r="G50" s="5"/>
      <c r="H50" s="5"/>
      <c r="I50" s="5" t="str">
        <v>Labor</v>
      </c>
      <c r="J50" s="5" t="str">
        <v>Floor</v>
      </c>
      <c r="K50" s="2" t="str">
        <v>Side</v>
      </c>
      <c r="L50" s="2" t="str">
        <v>Forward</v>
      </c>
      <c r="M50" s="2" t="str">
        <v>Linked</v>
      </c>
      <c r="N50" s="2" t="str">
        <v>A</v>
      </c>
      <c r="O50" s="11" t="str">
        <v>001</v>
      </c>
      <c r="P50" s="10">
        <v>100</v>
      </c>
      <c r="Q50" s="10">
        <v>100</v>
      </c>
      <c r="R50" s="10">
        <v>20</v>
      </c>
      <c r="S50" s="10" t="str">
        <v>✅</v>
      </c>
      <c r="T50" s="10" t="str">
        <v>✅</v>
      </c>
      <c r="U50" s="8"/>
      <c r="V50" s="8"/>
      <c r="W50" s="8"/>
      <c r="X50" s="8"/>
      <c r="Y50" s="8"/>
      <c r="Z50" s="8"/>
      <c r="AA50" s="8"/>
    </row>
    <row customHeight="true" ht="19" outlineLevel="1" r="51">
      <c r="A51" s="9"/>
      <c r="B51" s="9"/>
      <c r="C51" s="9"/>
      <c r="D51" s="9" t="str">
        <v>SideToCenter</v>
      </c>
      <c r="E51" s="5"/>
      <c r="F51" s="5"/>
      <c r="G51" s="5"/>
      <c r="H51" s="5"/>
      <c r="I51" s="5"/>
      <c r="J51" s="5"/>
      <c r="K51" s="2"/>
      <c r="L51" s="2"/>
      <c r="M51" s="2"/>
      <c r="N51" s="2"/>
      <c r="O51" s="11"/>
      <c r="P51" s="10"/>
      <c r="Q51" s="10"/>
      <c r="R51" s="10"/>
      <c r="S51" s="10"/>
      <c r="T51" s="10"/>
      <c r="U51" s="8"/>
      <c r="V51" s="8"/>
      <c r="W51" s="8"/>
      <c r="X51" s="8"/>
      <c r="Y51" s="8"/>
      <c r="Z51" s="8"/>
      <c r="AA51" s="8"/>
    </row>
    <row customHeight="true" ht="19" outlineLevel="1" r="52">
      <c r="A52" s="9"/>
      <c r="B52" s="9"/>
      <c r="C52" s="9"/>
      <c r="D52" s="9"/>
      <c r="E52" s="5">
        <f>IF(I52="","",     "BP_" &amp; I52 &amp;     IF(J52&lt;&gt;"", "_" &amp; J52, "") &amp;     IF(K52&lt;&gt;"", "_" &amp; K52, "") &amp;     IF(L52&lt;&gt;"", "_" &amp; L52, "") &amp;     IF(M52&lt;&gt;"", "_" &amp; M52, "") &amp;     IF(P52&lt;&gt;"", "_X" &amp; P52, "") &amp;     IF(Q52&lt;&gt;"", "_Y" &amp; Q52, "") &amp;     IF(R52&lt;&gt;"", "_Z" &amp; R52, "") &amp;     IF(N52&lt;&gt;"", "_" &amp; N52, "") &amp;     IF(O52&lt;&gt;"", "_" &amp; O52, ""))</f>
      </c>
      <c r="F52" s="5">
        <f>IF(I52="","",     "SM_" &amp; I52 &amp;     IF(J52&lt;&gt;"", "_" &amp; J52, "") &amp;     IF(K52&lt;&gt;"", "_" &amp; K52, "") &amp;     IF(L52&lt;&gt;"", "_" &amp; L52, "") &amp;     IF(M52&lt;&gt;"", "_" &amp; M52, "") &amp;     IF(P52&lt;&gt;"", "_X" &amp; P52, "") &amp;     IF(Q52&lt;&gt;"", "_Y" &amp; Q52, "") &amp;     IF(R52&lt;&gt;"", "_Z" &amp; R52, "") &amp;     IF(N52&lt;&gt;"", "_" &amp; N52, "") &amp;     IF(O52&lt;&gt;"", "_" &amp; O52, ""))</f>
      </c>
      <c r="G52" s="5"/>
      <c r="H52" s="5"/>
      <c r="I52" s="5" t="str">
        <v>Labor</v>
      </c>
      <c r="J52" s="5" t="str">
        <v>Floor</v>
      </c>
      <c r="K52" s="2" t="str">
        <v>SideToCenter</v>
      </c>
      <c r="L52" s="2" t="str">
        <v>Turn</v>
      </c>
      <c r="M52" s="2"/>
      <c r="N52" s="2" t="str">
        <v>A</v>
      </c>
      <c r="O52" s="11" t="str">
        <v>001</v>
      </c>
      <c r="P52" s="10">
        <v>100</v>
      </c>
      <c r="Q52" s="10">
        <v>100</v>
      </c>
      <c r="R52" s="10">
        <v>20</v>
      </c>
      <c r="S52" s="10" t="str">
        <v>✅</v>
      </c>
      <c r="T52" s="10" t="str">
        <v>✅</v>
      </c>
      <c r="U52" s="8"/>
      <c r="V52" s="8"/>
      <c r="W52" s="8"/>
      <c r="X52" s="8"/>
      <c r="Y52" s="8"/>
      <c r="Z52" s="8"/>
      <c r="AA52" s="8"/>
    </row>
    <row customHeight="true" ht="19" outlineLevel="1" r="53">
      <c r="A53" s="9"/>
      <c r="B53" s="9"/>
      <c r="C53" s="9"/>
      <c r="D53" s="9"/>
      <c r="E53" s="5">
        <f>IF(I53="","",     "BP_" &amp; I53 &amp;     IF(J53&lt;&gt;"", "_" &amp; J53, "") &amp;     IF(K53&lt;&gt;"", "_" &amp; K53, "") &amp;     IF(L53&lt;&gt;"", "_" &amp; L53, "") &amp;     IF(M53&lt;&gt;"", "_" &amp; M53, "") &amp;     IF(P53&lt;&gt;"", "_X" &amp; P53, "") &amp;     IF(Q53&lt;&gt;"", "_Y" &amp; Q53, "") &amp;     IF(R53&lt;&gt;"", "_Z" &amp; R53, "") &amp;     IF(N53&lt;&gt;"", "_" &amp; N53, "") &amp;     IF(O53&lt;&gt;"", "_" &amp; O53, ""))</f>
      </c>
      <c r="F53" s="5">
        <f>IF(I53="","",     "SM_" &amp; I53 &amp;     IF(J53&lt;&gt;"", "_" &amp; J53, "") &amp;     IF(K53&lt;&gt;"", "_" &amp; K53, "") &amp;     IF(L53&lt;&gt;"", "_" &amp; L53, "") &amp;     IF(M53&lt;&gt;"", "_" &amp; M53, "") &amp;     IF(P53&lt;&gt;"", "_X" &amp; P53, "") &amp;     IF(Q53&lt;&gt;"", "_Y" &amp; Q53, "") &amp;     IF(R53&lt;&gt;"", "_Z" &amp; R53, "") &amp;     IF(N53&lt;&gt;"", "_" &amp; N53, "") &amp;     IF(O53&lt;&gt;"", "_" &amp; O53, ""))</f>
      </c>
      <c r="G53" s="5"/>
      <c r="H53" s="5"/>
      <c r="I53" s="5" t="str">
        <v>Labor</v>
      </c>
      <c r="J53" s="5" t="str">
        <v>Floor</v>
      </c>
      <c r="K53" s="2" t="str">
        <v>SideToCenter</v>
      </c>
      <c r="L53" s="2" t="str">
        <v>Forward</v>
      </c>
      <c r="M53" s="2" t="str">
        <v>Blank</v>
      </c>
      <c r="N53" s="2" t="str">
        <v>A</v>
      </c>
      <c r="O53" s="11" t="str">
        <v>001</v>
      </c>
      <c r="P53" s="10">
        <v>100</v>
      </c>
      <c r="Q53" s="10">
        <v>100</v>
      </c>
      <c r="R53" s="10">
        <v>20</v>
      </c>
      <c r="S53" s="10" t="str">
        <v>✅</v>
      </c>
      <c r="T53" s="10" t="str">
        <v>✅</v>
      </c>
      <c r="U53" s="8"/>
      <c r="V53" s="8"/>
      <c r="W53" s="8"/>
      <c r="X53" s="8"/>
      <c r="Y53" s="8"/>
      <c r="Z53" s="8"/>
      <c r="AA53" s="8"/>
    </row>
    <row customHeight="true" ht="19" outlineLevel="1" r="54">
      <c r="A54" s="9"/>
      <c r="B54" s="9"/>
      <c r="C54" s="9"/>
      <c r="D54" s="9"/>
      <c r="E54" s="5">
        <f>IF(I54="","",     "BP_" &amp; I54 &amp;     IF(J54&lt;&gt;"", "_" &amp; J54, "") &amp;     IF(K54&lt;&gt;"", "_" &amp; K54, "") &amp;     IF(L54&lt;&gt;"", "_" &amp; L54, "") &amp;     IF(M54&lt;&gt;"", "_" &amp; M54, "") &amp;     IF(P54&lt;&gt;"", "_X" &amp; P54, "") &amp;     IF(Q54&lt;&gt;"", "_Y" &amp; Q54, "") &amp;     IF(R54&lt;&gt;"", "_Z" &amp; R54, "") &amp;     IF(N54&lt;&gt;"", "_" &amp; N54, "") &amp;     IF(O54&lt;&gt;"", "_" &amp; O54, ""))</f>
      </c>
      <c r="F54" s="5">
        <f>IF(I54="","",     "SM_" &amp; I54 &amp;     IF(J54&lt;&gt;"", "_" &amp; J54, "") &amp;     IF(K54&lt;&gt;"", "_" &amp; K54, "") &amp;     IF(L54&lt;&gt;"", "_" &amp; L54, "") &amp;     IF(M54&lt;&gt;"", "_" &amp; M54, "") &amp;     IF(P54&lt;&gt;"", "_X" &amp; P54, "") &amp;     IF(Q54&lt;&gt;"", "_Y" &amp; Q54, "") &amp;     IF(R54&lt;&gt;"", "_Z" &amp; R54, "") &amp;     IF(N54&lt;&gt;"", "_" &amp; N54, "") &amp;     IF(O54&lt;&gt;"", "_" &amp; O54, ""))</f>
      </c>
      <c r="G54" s="5"/>
      <c r="H54" s="5"/>
      <c r="I54" s="5" t="str">
        <v>Labor</v>
      </c>
      <c r="J54" s="5" t="str">
        <v>Floor</v>
      </c>
      <c r="K54" s="2" t="str">
        <v>SideToCenter</v>
      </c>
      <c r="L54" s="2" t="str">
        <v>Forward</v>
      </c>
      <c r="M54" s="2" t="str">
        <v>Break</v>
      </c>
      <c r="N54" s="2" t="str">
        <v>B</v>
      </c>
      <c r="O54" s="11" t="str">
        <v>001</v>
      </c>
      <c r="P54" s="10">
        <v>100</v>
      </c>
      <c r="Q54" s="10">
        <v>100</v>
      </c>
      <c r="R54" s="10">
        <v>20</v>
      </c>
      <c r="S54" s="10" t="str">
        <v>✅</v>
      </c>
      <c r="T54" s="10" t="str">
        <v>✅</v>
      </c>
      <c r="U54" s="8"/>
      <c r="V54" s="8"/>
      <c r="W54" s="8"/>
      <c r="X54" s="8"/>
      <c r="Y54" s="8"/>
      <c r="Z54" s="8"/>
      <c r="AA54" s="8"/>
    </row>
    <row customHeight="true" ht="19" outlineLevel="1" r="55">
      <c r="A55" s="9"/>
      <c r="B55" s="9"/>
      <c r="C55" s="9"/>
      <c r="D55" s="9"/>
      <c r="E55" s="5">
        <f>IF(I55="","",     "BP_" &amp; I55 &amp;     IF(J55&lt;&gt;"", "_" &amp; J55, "") &amp;     IF(K55&lt;&gt;"", "_" &amp; K55, "") &amp;     IF(L55&lt;&gt;"", "_" &amp; L55, "") &amp;     IF(M55&lt;&gt;"", "_" &amp; M55, "") &amp;     IF(P55&lt;&gt;"", "_X" &amp; P55, "") &amp;     IF(Q55&lt;&gt;"", "_Y" &amp; Q55, "") &amp;     IF(R55&lt;&gt;"", "_Z" &amp; R55, "") &amp;     IF(N55&lt;&gt;"", "_" &amp; N55, "") &amp;     IF(O55&lt;&gt;"", "_" &amp; O55, ""))</f>
      </c>
      <c r="F55" s="5">
        <f>IF(I55="","",     "SM_" &amp; I55 &amp;     IF(J55&lt;&gt;"", "_" &amp; J55, "") &amp;     IF(K55&lt;&gt;"", "_" &amp; K55, "") &amp;     IF(L55&lt;&gt;"", "_" &amp; L55, "") &amp;     IF(M55&lt;&gt;"", "_" &amp; M55, "") &amp;     IF(P55&lt;&gt;"", "_X" &amp; P55, "") &amp;     IF(Q55&lt;&gt;"", "_Y" &amp; Q55, "") &amp;     IF(R55&lt;&gt;"", "_Z" &amp; R55, "") &amp;     IF(N55&lt;&gt;"", "_" &amp; N55, "") &amp;     IF(O55&lt;&gt;"", "_" &amp; O55, ""))</f>
      </c>
      <c r="G55" s="5"/>
      <c r="H55" s="5"/>
      <c r="I55" s="5" t="str">
        <v>Labor</v>
      </c>
      <c r="J55" s="5" t="str">
        <v>Floor</v>
      </c>
      <c r="K55" s="2" t="str">
        <v>SideToCenter</v>
      </c>
      <c r="L55" s="2" t="str">
        <v>Turn</v>
      </c>
      <c r="M55" s="2" t="str">
        <v>Linked</v>
      </c>
      <c r="N55" s="2" t="str">
        <v>A</v>
      </c>
      <c r="O55" s="11" t="str">
        <v>001</v>
      </c>
      <c r="P55" s="10">
        <v>100</v>
      </c>
      <c r="Q55" s="10">
        <v>100</v>
      </c>
      <c r="R55" s="10">
        <v>20</v>
      </c>
      <c r="S55" s="10" t="str">
        <v>✅</v>
      </c>
      <c r="T55" s="10" t="str">
        <v>✅</v>
      </c>
      <c r="U55" s="8"/>
      <c r="V55" s="8"/>
      <c r="W55" s="8"/>
      <c r="X55" s="8"/>
      <c r="Y55" s="8"/>
      <c r="Z55" s="8"/>
      <c r="AA55" s="8"/>
    </row>
    <row customHeight="true" ht="19" outlineLevel="1" r="56">
      <c r="A56" s="9"/>
      <c r="B56" s="9"/>
      <c r="C56" s="9"/>
      <c r="D56" s="9"/>
      <c r="E56" s="5">
        <f>IF(I56="","",     "BP_" &amp; I56 &amp;     IF(J56&lt;&gt;"", "_" &amp; J56, "") &amp;     IF(K56&lt;&gt;"", "_" &amp; K56, "") &amp;     IF(L56&lt;&gt;"", "_" &amp; L56, "") &amp;     IF(M56&lt;&gt;"", "_" &amp; M56, "") &amp;     IF(P56&lt;&gt;"", "_X" &amp; P56, "") &amp;     IF(Q56&lt;&gt;"", "_Y" &amp; Q56, "") &amp;     IF(R56&lt;&gt;"", "_Z" &amp; R56, "") &amp;     IF(N56&lt;&gt;"", "_" &amp; N56, "") &amp;     IF(O56&lt;&gt;"", "_" &amp; O56, ""))</f>
      </c>
      <c r="F56" s="5">
        <f>IF(I56="","",     "SM_" &amp; I56 &amp;     IF(J56&lt;&gt;"", "_" &amp; J56, "") &amp;     IF(K56&lt;&gt;"", "_" &amp; K56, "") &amp;     IF(L56&lt;&gt;"", "_" &amp; L56, "") &amp;     IF(M56&lt;&gt;"", "_" &amp; M56, "") &amp;     IF(P56&lt;&gt;"", "_X" &amp; P56, "") &amp;     IF(Q56&lt;&gt;"", "_Y" &amp; Q56, "") &amp;     IF(R56&lt;&gt;"", "_Z" &amp; R56, "") &amp;     IF(N56&lt;&gt;"", "_" &amp; N56, "") &amp;     IF(O56&lt;&gt;"", "_" &amp; O56, ""))</f>
      </c>
      <c r="G56" s="5"/>
      <c r="H56" s="5"/>
      <c r="I56" s="5" t="str">
        <v>Labor</v>
      </c>
      <c r="J56" s="5" t="str">
        <v>Floor</v>
      </c>
      <c r="K56" s="2" t="str">
        <v>SideToCenter</v>
      </c>
      <c r="L56" s="2" t="str">
        <v>Turn</v>
      </c>
      <c r="M56" s="2" t="str">
        <v>Break</v>
      </c>
      <c r="N56" s="2" t="str">
        <v>B</v>
      </c>
      <c r="O56" s="11" t="str">
        <v>001</v>
      </c>
      <c r="P56" s="10">
        <v>100</v>
      </c>
      <c r="Q56" s="10">
        <v>100</v>
      </c>
      <c r="R56" s="10">
        <v>20</v>
      </c>
      <c r="S56" s="10" t="str">
        <v>✅</v>
      </c>
      <c r="T56" s="10" t="str">
        <v>✅</v>
      </c>
      <c r="U56" s="8"/>
      <c r="V56" s="8"/>
      <c r="W56" s="8"/>
      <c r="X56" s="8"/>
      <c r="Y56" s="8"/>
      <c r="Z56" s="8"/>
      <c r="AA56" s="8"/>
    </row>
    <row customHeight="true" ht="19" outlineLevel="1" r="57">
      <c r="A57" s="9"/>
      <c r="B57" s="9"/>
      <c r="C57" s="9"/>
      <c r="D57" s="9"/>
      <c r="E57" s="5">
        <f>IF(I57="","",     "BP_" &amp; I57 &amp;     IF(J57&lt;&gt;"", "_" &amp; J57, "") &amp;     IF(K57&lt;&gt;"", "_" &amp; K57, "") &amp;     IF(L57&lt;&gt;"", "_" &amp; L57, "") &amp;     IF(M57&lt;&gt;"", "_" &amp; M57, "") &amp;     IF(P57&lt;&gt;"", "_X" &amp; P57, "") &amp;     IF(Q57&lt;&gt;"", "_Y" &amp; Q57, "") &amp;     IF(R57&lt;&gt;"", "_Z" &amp; R57, "") &amp;     IF(N57&lt;&gt;"", "_" &amp; N57, "") &amp;     IF(O57&lt;&gt;"", "_" &amp; O57, ""))</f>
      </c>
      <c r="F57" s="5">
        <f>IF(I57="","",     "SM_" &amp; I57 &amp;     IF(J57&lt;&gt;"", "_" &amp; J57, "") &amp;     IF(K57&lt;&gt;"", "_" &amp; K57, "") &amp;     IF(L57&lt;&gt;"", "_" &amp; L57, "") &amp;     IF(M57&lt;&gt;"", "_" &amp; M57, "") &amp;     IF(P57&lt;&gt;"", "_X" &amp; P57, "") &amp;     IF(Q57&lt;&gt;"", "_Y" &amp; Q57, "") &amp;     IF(R57&lt;&gt;"", "_Z" &amp; R57, "") &amp;     IF(N57&lt;&gt;"", "_" &amp; N57, "") &amp;     IF(O57&lt;&gt;"", "_" &amp; O57, ""))</f>
      </c>
      <c r="G57" s="5"/>
      <c r="H57" s="5"/>
      <c r="I57" s="5" t="str">
        <v>Labor</v>
      </c>
      <c r="J57" s="5" t="str">
        <v>Floor</v>
      </c>
      <c r="K57" s="2" t="str">
        <v>SideToCenter</v>
      </c>
      <c r="L57" s="2" t="str">
        <v>Forward</v>
      </c>
      <c r="M57" s="2" t="str">
        <v>Break</v>
      </c>
      <c r="N57" s="2" t="str">
        <v>A</v>
      </c>
      <c r="O57" s="11" t="str">
        <v>001</v>
      </c>
      <c r="P57" s="10">
        <v>100</v>
      </c>
      <c r="Q57" s="10">
        <v>100</v>
      </c>
      <c r="R57" s="10">
        <v>20</v>
      </c>
      <c r="S57" s="10" t="str">
        <v>✅</v>
      </c>
      <c r="T57" s="10" t="str">
        <v>✅</v>
      </c>
      <c r="U57" s="8"/>
      <c r="V57" s="8"/>
      <c r="W57" s="8"/>
      <c r="X57" s="8"/>
      <c r="Y57" s="8"/>
      <c r="Z57" s="8"/>
      <c r="AA57" s="8"/>
    </row>
    <row customHeight="true" ht="19" outlineLevel="1" r="58">
      <c r="A58" s="9"/>
      <c r="B58" s="9"/>
      <c r="C58" s="9"/>
      <c r="D58" s="9"/>
      <c r="E58" s="5">
        <f>IF(I58="","",     "BP_" &amp; I58 &amp;     IF(J58&lt;&gt;"", "_" &amp; J58, "") &amp;     IF(K58&lt;&gt;"", "_" &amp; K58, "") &amp;     IF(L58&lt;&gt;"", "_" &amp; L58, "") &amp;     IF(M58&lt;&gt;"", "_" &amp; M58, "") &amp;     IF(P58&lt;&gt;"", "_X" &amp; P58, "") &amp;     IF(Q58&lt;&gt;"", "_Y" &amp; Q58, "") &amp;     IF(R58&lt;&gt;"", "_Z" &amp; R58, "") &amp;     IF(N58&lt;&gt;"", "_" &amp; N58, "") &amp;     IF(O58&lt;&gt;"", "_" &amp; O58, ""))</f>
      </c>
      <c r="F58" s="5">
        <f>IF(I58="","",     "SM_" &amp; I58 &amp;     IF(J58&lt;&gt;"", "_" &amp; J58, "") &amp;     IF(K58&lt;&gt;"", "_" &amp; K58, "") &amp;     IF(L58&lt;&gt;"", "_" &amp; L58, "") &amp;     IF(M58&lt;&gt;"", "_" &amp; M58, "") &amp;     IF(P58&lt;&gt;"", "_X" &amp; P58, "") &amp;     IF(Q58&lt;&gt;"", "_Y" &amp; Q58, "") &amp;     IF(R58&lt;&gt;"", "_Z" &amp; R58, "") &amp;     IF(N58&lt;&gt;"", "_" &amp; N58, "") &amp;     IF(O58&lt;&gt;"", "_" &amp; O58, ""))</f>
      </c>
      <c r="G58" s="5"/>
      <c r="H58" s="5"/>
      <c r="I58" s="5" t="str">
        <v>Labor</v>
      </c>
      <c r="J58" s="5" t="str">
        <v>Floor</v>
      </c>
      <c r="K58" s="2" t="str">
        <v>SideToCenter</v>
      </c>
      <c r="L58" s="2" t="str">
        <v>Forward</v>
      </c>
      <c r="M58" s="2" t="str">
        <v>Linked</v>
      </c>
      <c r="N58" s="2" t="str">
        <v>A</v>
      </c>
      <c r="O58" s="11" t="str">
        <v>001</v>
      </c>
      <c r="P58" s="10">
        <v>100</v>
      </c>
      <c r="Q58" s="10">
        <v>100</v>
      </c>
      <c r="R58" s="10">
        <v>20</v>
      </c>
      <c r="S58" s="10" t="str">
        <v>✅</v>
      </c>
      <c r="T58" s="10" t="str">
        <v>✅</v>
      </c>
      <c r="U58" s="8"/>
      <c r="V58" s="8"/>
      <c r="W58" s="8"/>
      <c r="X58" s="8"/>
      <c r="Y58" s="8"/>
      <c r="Z58" s="8"/>
      <c r="AA58" s="8"/>
    </row>
    <row customHeight="true" ht="19" outlineLevel="1" r="59">
      <c r="A59" s="9"/>
      <c r="B59" s="9"/>
      <c r="C59" s="9"/>
      <c r="D59" s="9"/>
      <c r="E59" s="5">
        <f>IF(I59="","",     "BP_" &amp; I59 &amp;     IF(J59&lt;&gt;"", "_" &amp; J59, "") &amp;     IF(K59&lt;&gt;"", "_" &amp; K59, "") &amp;     IF(L59&lt;&gt;"", "_" &amp; L59, "") &amp;     IF(M59&lt;&gt;"", "_" &amp; M59, "") &amp;     IF(P59&lt;&gt;"", "_X" &amp; P59, "") &amp;     IF(Q59&lt;&gt;"", "_Y" &amp; Q59, "") &amp;     IF(R59&lt;&gt;"", "_Z" &amp; R59, "") &amp;     IF(N59&lt;&gt;"", "_" &amp; N59, "") &amp;     IF(O59&lt;&gt;"", "_" &amp; O59, ""))</f>
      </c>
      <c r="F59" s="5">
        <f>IF(I59="","",     "SM_" &amp; I59 &amp;     IF(J59&lt;&gt;"", "_" &amp; J59, "") &amp;     IF(K59&lt;&gt;"", "_" &amp; K59, "") &amp;     IF(L59&lt;&gt;"", "_" &amp; L59, "") &amp;     IF(M59&lt;&gt;"", "_" &amp; M59, "") &amp;     IF(P59&lt;&gt;"", "_X" &amp; P59, "") &amp;     IF(Q59&lt;&gt;"", "_Y" &amp; Q59, "") &amp;     IF(R59&lt;&gt;"", "_Z" &amp; R59, "") &amp;     IF(N59&lt;&gt;"", "_" &amp; N59, "") &amp;     IF(O59&lt;&gt;"", "_" &amp; O59, ""))</f>
      </c>
      <c r="G59" s="5"/>
      <c r="H59" s="5"/>
      <c r="I59" s="5" t="str">
        <v>Labor</v>
      </c>
      <c r="J59" s="5" t="str">
        <v>Floor</v>
      </c>
      <c r="K59" s="2" t="str">
        <v>SideToCenter</v>
      </c>
      <c r="L59" s="2" t="str">
        <v>Corner</v>
      </c>
      <c r="M59" s="2" t="str">
        <v>Linked</v>
      </c>
      <c r="N59" s="2" t="str">
        <v>A</v>
      </c>
      <c r="O59" s="11" t="str">
        <v>001</v>
      </c>
      <c r="P59" s="10">
        <v>100</v>
      </c>
      <c r="Q59" s="10">
        <v>100</v>
      </c>
      <c r="R59" s="10">
        <v>20</v>
      </c>
      <c r="S59" s="10" t="str">
        <v>✅</v>
      </c>
      <c r="T59" s="10" t="str">
        <v>✅</v>
      </c>
      <c r="U59" s="8"/>
      <c r="V59" s="8"/>
      <c r="W59" s="8"/>
      <c r="X59" s="8"/>
      <c r="Y59" s="8"/>
      <c r="Z59" s="8"/>
      <c r="AA59" s="8"/>
    </row>
    <row customHeight="true" ht="19" outlineLevel="1" r="60">
      <c r="A60" s="9"/>
      <c r="B60" s="9"/>
      <c r="C60" s="9"/>
      <c r="D60" s="9"/>
      <c r="E60" s="5">
        <f>IF(I60="","",     "BP_" &amp; I60 &amp;     IF(J60&lt;&gt;"", "_" &amp; J60, "") &amp;     IF(K60&lt;&gt;"", "_" &amp; K60, "") &amp;     IF(L60&lt;&gt;"", "_" &amp; L60, "") &amp;     IF(M60&lt;&gt;"", "_" &amp; M60, "") &amp;     IF(P60&lt;&gt;"", "_X" &amp; P60, "") &amp;     IF(Q60&lt;&gt;"", "_Y" &amp; Q60, "") &amp;     IF(R60&lt;&gt;"", "_Z" &amp; R60, "") &amp;     IF(N60&lt;&gt;"", "_" &amp; N60, "") &amp;     IF(O60&lt;&gt;"", "_" &amp; O60, ""))</f>
      </c>
      <c r="F60" s="5">
        <f>IF(I60="","",     "SM_" &amp; I60 &amp;     IF(J60&lt;&gt;"", "_" &amp; J60, "") &amp;     IF(K60&lt;&gt;"", "_" &amp; K60, "") &amp;     IF(L60&lt;&gt;"", "_" &amp; L60, "") &amp;     IF(M60&lt;&gt;"", "_" &amp; M60, "") &amp;     IF(P60&lt;&gt;"", "_X" &amp; P60, "") &amp;     IF(Q60&lt;&gt;"", "_Y" &amp; Q60, "") &amp;     IF(R60&lt;&gt;"", "_Z" &amp; R60, "") &amp;     IF(N60&lt;&gt;"", "_" &amp; N60, "") &amp;     IF(O60&lt;&gt;"", "_" &amp; O60, ""))</f>
      </c>
      <c r="G60" s="5"/>
      <c r="H60" s="5"/>
      <c r="I60" s="5" t="str">
        <v>Labor</v>
      </c>
      <c r="J60" s="5" t="str">
        <v>Floor</v>
      </c>
      <c r="K60" s="2" t="str">
        <v>SideToCenter</v>
      </c>
      <c r="L60" s="2" t="str">
        <v>Corner</v>
      </c>
      <c r="M60" s="2" t="str">
        <v>Diagonal</v>
      </c>
      <c r="N60" s="2" t="str">
        <v>A</v>
      </c>
      <c r="O60" s="11" t="str">
        <v>001</v>
      </c>
      <c r="P60" s="10">
        <v>100</v>
      </c>
      <c r="Q60" s="10">
        <v>100</v>
      </c>
      <c r="R60" s="10">
        <v>20</v>
      </c>
      <c r="S60" s="10" t="str">
        <v>✅</v>
      </c>
      <c r="T60" s="10" t="str">
        <v>✅</v>
      </c>
      <c r="U60" s="8"/>
      <c r="V60" s="8"/>
      <c r="W60" s="8"/>
      <c r="X60" s="8"/>
      <c r="Y60" s="8"/>
      <c r="Z60" s="8"/>
      <c r="AA60" s="8"/>
    </row>
    <row customHeight="true" ht="19" r="61">
      <c r="A61" s="9"/>
      <c r="B61" s="9"/>
      <c r="C61" s="9"/>
      <c r="D61" s="9"/>
      <c r="E61" s="5"/>
      <c r="F61" s="5"/>
      <c r="G61" s="5"/>
      <c r="H61" s="5"/>
      <c r="I61" s="5"/>
      <c r="J61" s="4"/>
      <c r="K61" s="4"/>
      <c r="L61" s="4"/>
      <c r="M61" s="4"/>
      <c r="N61" s="4"/>
      <c r="O61" s="4"/>
      <c r="P61" s="8"/>
      <c r="Q61" s="8"/>
      <c r="R61" s="8"/>
      <c r="S61" s="10"/>
      <c r="T61" s="10"/>
      <c r="U61" s="8"/>
      <c r="V61" s="8"/>
      <c r="W61" s="8"/>
      <c r="X61" s="8"/>
      <c r="Y61" s="8"/>
      <c r="Z61" s="8"/>
      <c r="AA61" s="8"/>
    </row>
    <row customHeight="true" ht="19" r="62">
      <c r="A62" s="9"/>
      <c r="B62" s="9"/>
      <c r="C62" s="9" t="str">
        <v>Pillar</v>
      </c>
      <c r="D62" s="9"/>
      <c r="E62" s="5"/>
      <c r="F62" s="5"/>
      <c r="G62" s="5"/>
      <c r="H62" s="5"/>
      <c r="I62" s="5"/>
      <c r="J62" s="4"/>
      <c r="K62" s="4"/>
      <c r="L62" s="4"/>
      <c r="M62" s="4"/>
      <c r="N62" s="4"/>
      <c r="O62" s="4"/>
      <c r="P62" s="8"/>
      <c r="Q62" s="8"/>
      <c r="R62" s="8"/>
      <c r="S62" s="10"/>
      <c r="T62" s="10"/>
      <c r="U62" s="8"/>
      <c r="V62" s="8"/>
      <c r="W62" s="8"/>
      <c r="X62" s="8"/>
      <c r="Y62" s="8"/>
      <c r="Z62" s="8"/>
      <c r="AA62" s="8"/>
    </row>
    <row customHeight="true" ht="19" outlineLevel="1" r="63">
      <c r="A63" s="9"/>
      <c r="B63" s="9"/>
      <c r="C63" s="9"/>
      <c r="D63" s="9"/>
      <c r="E63" s="5">
        <f>IF(I63="","",     "BP_" &amp; I63 &amp;     IF(J63&lt;&gt;"", "_" &amp; J63, "") &amp;     IF(K63&lt;&gt;"", "_" &amp; K63, "") &amp;     IF(L63&lt;&gt;"", "_" &amp; L63, "") &amp;     IF(M63&lt;&gt;"", "_" &amp; M63, "") &amp;     IF(P63&lt;&gt;"", "_X" &amp; P63, "") &amp;     IF(Q63&lt;&gt;"", "_Y" &amp; Q63, "") &amp;     IF(R63&lt;&gt;"", "_Z" &amp; R63, "") &amp;     IF(N63&lt;&gt;"", "_" &amp; N63, "") &amp;     IF(O63&lt;&gt;"", "_" &amp; O63, ""))</f>
      </c>
      <c r="F63" s="5">
        <f>IF(I63="","",     "SM_" &amp; I63 &amp;     IF(J63&lt;&gt;"", "_" &amp; J63, "") &amp;     IF(K63&lt;&gt;"", "_" &amp; K63, "") &amp;     IF(L63&lt;&gt;"", "_" &amp; L63, "") &amp;     IF(M63&lt;&gt;"", "_" &amp; M63, "") &amp;     IF(P63&lt;&gt;"", "_X" &amp; P63, "") &amp;     IF(Q63&lt;&gt;"", "_Y" &amp; Q63, "") &amp;     IF(R63&lt;&gt;"", "_Z" &amp; R63, "") &amp;     IF(N63&lt;&gt;"", "_" &amp; N63, "") &amp;     IF(O63&lt;&gt;"", "_" &amp; O63, ""))</f>
      </c>
      <c r="G63" s="5"/>
      <c r="H63" s="5"/>
      <c r="I63" s="5" t="str">
        <v>Labor</v>
      </c>
      <c r="J63" s="5" t="str">
        <v>Pillar</v>
      </c>
      <c r="K63" s="5"/>
      <c r="L63" s="5"/>
      <c r="M63" s="5"/>
      <c r="N63" s="2" t="str">
        <v>A</v>
      </c>
      <c r="O63" s="11" t="str">
        <v>001</v>
      </c>
      <c r="P63" s="10">
        <v>40</v>
      </c>
      <c r="Q63" s="10">
        <v>40</v>
      </c>
      <c r="R63" s="10">
        <v>300</v>
      </c>
      <c r="S63" s="10" t="str">
        <v>✅</v>
      </c>
      <c r="T63" s="10" t="str">
        <v>✅</v>
      </c>
      <c r="U63" s="8"/>
      <c r="V63" s="8"/>
      <c r="W63" s="8"/>
      <c r="X63" s="8"/>
      <c r="Y63" s="8"/>
      <c r="Z63" s="8"/>
      <c r="AA63" s="8"/>
    </row>
    <row customHeight="true" ht="19" outlineLevel="1" r="64">
      <c r="A64" s="9"/>
      <c r="B64" s="9"/>
      <c r="C64" s="9"/>
      <c r="D64" s="9"/>
      <c r="E64" s="5">
        <f>IF(I64="","",     "BP_" &amp; I64 &amp;     IF(J64&lt;&gt;"", "_" &amp; J64, "") &amp;     IF(K64&lt;&gt;"", "_" &amp; K64, "") &amp;     IF(L64&lt;&gt;"", "_" &amp; L64, "") &amp;     IF(M64&lt;&gt;"", "_" &amp; M64, "") &amp;     IF(P64&lt;&gt;"", "_X" &amp; P64, "") &amp;     IF(Q64&lt;&gt;"", "_Y" &amp; Q64, "") &amp;     IF(R64&lt;&gt;"", "_Z" &amp; R64, "") &amp;     IF(N64&lt;&gt;"", "_" &amp; N64, "") &amp;     IF(O64&lt;&gt;"", "_" &amp; O64, ""))</f>
      </c>
      <c r="F64" s="5">
        <f>IF(I64="","",     "SM_" &amp; I64 &amp;     IF(J64&lt;&gt;"", "_" &amp; J64, "") &amp;     IF(K64&lt;&gt;"", "_" &amp; K64, "") &amp;     IF(L64&lt;&gt;"", "_" &amp; L64, "") &amp;     IF(M64&lt;&gt;"", "_" &amp; M64, "") &amp;     IF(P64&lt;&gt;"", "_X" &amp; P64, "") &amp;     IF(Q64&lt;&gt;"", "_Y" &amp; Q64, "") &amp;     IF(R64&lt;&gt;"", "_Z" &amp; R64, "") &amp;     IF(N64&lt;&gt;"", "_" &amp; N64, "") &amp;     IF(O64&lt;&gt;"", "_" &amp; O64, ""))</f>
      </c>
      <c r="G64" s="5"/>
      <c r="H64" s="5"/>
      <c r="I64" s="5" t="str">
        <v>Labor</v>
      </c>
      <c r="J64" s="5" t="str">
        <v>Pillar</v>
      </c>
      <c r="K64" s="11" t="str">
        <v>90DegCut</v>
      </c>
      <c r="L64" s="5"/>
      <c r="M64" s="5"/>
      <c r="N64" s="2" t="str">
        <v>A</v>
      </c>
      <c r="O64" s="11" t="str">
        <v>001</v>
      </c>
      <c r="P64" s="10">
        <v>40</v>
      </c>
      <c r="Q64" s="10">
        <v>40</v>
      </c>
      <c r="R64" s="10">
        <v>300</v>
      </c>
      <c r="S64" s="10" t="str">
        <v>✅</v>
      </c>
      <c r="T64" s="10" t="str">
        <v>✅</v>
      </c>
      <c r="U64" s="8"/>
      <c r="V64" s="8"/>
      <c r="W64" s="8"/>
      <c r="X64" s="8"/>
      <c r="Y64" s="8"/>
      <c r="Z64" s="8"/>
      <c r="AA64" s="8"/>
    </row>
    <row customHeight="true" ht="19" outlineLevel="1" r="65">
      <c r="A65" s="9"/>
      <c r="B65" s="9"/>
      <c r="C65" s="9"/>
      <c r="D65" s="9"/>
      <c r="E65" s="5">
        <f>IF(I65="","",     "BP_" &amp; I65 &amp;     IF(J65&lt;&gt;"", "_" &amp; J65, "") &amp;     IF(K65&lt;&gt;"", "_" &amp; K65, "") &amp;     IF(L65&lt;&gt;"", "_" &amp; L65, "") &amp;     IF(M65&lt;&gt;"", "_" &amp; M65, "") &amp;     IF(P65&lt;&gt;"", "_X" &amp; P65, "") &amp;     IF(Q65&lt;&gt;"", "_Y" &amp; Q65, "") &amp;     IF(R65&lt;&gt;"", "_Z" &amp; R65, "") &amp;     IF(N65&lt;&gt;"", "_" &amp; N65, "") &amp;     IF(O65&lt;&gt;"", "_" &amp; O65, ""))</f>
      </c>
      <c r="F65" s="5">
        <f>IF(I65="","",     "SM_" &amp; I65 &amp;     IF(J65&lt;&gt;"", "_" &amp; J65, "") &amp;     IF(K65&lt;&gt;"", "_" &amp; K65, "") &amp;     IF(L65&lt;&gt;"", "_" &amp; L65, "") &amp;     IF(M65&lt;&gt;"", "_" &amp; M65, "") &amp;     IF(P65&lt;&gt;"", "_X" &amp; P65, "") &amp;     IF(Q65&lt;&gt;"", "_Y" &amp; Q65, "") &amp;     IF(R65&lt;&gt;"", "_Z" &amp; R65, "") &amp;     IF(N65&lt;&gt;"", "_" &amp; N65, "") &amp;     IF(O65&lt;&gt;"", "_" &amp; O65, ""))</f>
      </c>
      <c r="G65" s="5"/>
      <c r="H65" s="5"/>
      <c r="I65" s="5" t="str">
        <v>Labor</v>
      </c>
      <c r="J65" s="5" t="str">
        <v>Pillar</v>
      </c>
      <c r="K65" s="11" t="str">
        <v>135DegCut</v>
      </c>
      <c r="L65" s="5"/>
      <c r="M65" s="5"/>
      <c r="N65" s="2" t="str">
        <v>A</v>
      </c>
      <c r="O65" s="11" t="str">
        <v>001</v>
      </c>
      <c r="P65" s="10">
        <v>40</v>
      </c>
      <c r="Q65" s="10">
        <v>40</v>
      </c>
      <c r="R65" s="10">
        <v>300</v>
      </c>
      <c r="S65" s="10" t="str">
        <v>✅</v>
      </c>
      <c r="T65" s="10" t="str">
        <v>✅</v>
      </c>
      <c r="U65" s="8"/>
      <c r="V65" s="8"/>
      <c r="W65" s="8"/>
      <c r="X65" s="8"/>
      <c r="Y65" s="8"/>
      <c r="Z65" s="8"/>
      <c r="AA65" s="8"/>
    </row>
    <row customHeight="true" ht="19" r="66">
      <c r="A66" s="9"/>
      <c r="B66" s="9"/>
      <c r="C66" s="9" t="str">
        <v>Wall</v>
      </c>
      <c r="D66" s="9"/>
      <c r="E66" s="5"/>
      <c r="F66" s="5"/>
      <c r="G66" s="5"/>
      <c r="H66" s="5"/>
      <c r="I66" s="5"/>
      <c r="J66" s="4"/>
      <c r="K66" s="4"/>
      <c r="L66" s="4"/>
      <c r="M66" s="4"/>
      <c r="N66" s="4"/>
      <c r="O66" s="4"/>
      <c r="P66" s="8"/>
      <c r="Q66" s="8"/>
      <c r="R66" s="8"/>
      <c r="S66" s="10"/>
      <c r="T66" s="10"/>
      <c r="U66" s="8"/>
      <c r="V66" s="8"/>
      <c r="W66" s="8"/>
      <c r="X66" s="8"/>
      <c r="Y66" s="8"/>
      <c r="Z66" s="8"/>
      <c r="AA66" s="8"/>
    </row>
    <row customHeight="true" ht="19" outlineLevel="1" r="67">
      <c r="A67" s="9"/>
      <c r="B67" s="9"/>
      <c r="C67" s="9"/>
      <c r="D67" s="9"/>
      <c r="E67" s="5">
        <f>IF(I67="","",     "BP_" &amp; I67 &amp;     IF(J67&lt;&gt;"", "_" &amp; J67, "") &amp;     IF(K67&lt;&gt;"", "_" &amp; K67, "") &amp;     IF(L67&lt;&gt;"", "_" &amp; L67, "") &amp;     IF(M67&lt;&gt;"", "_" &amp; M67, "") &amp;     IF(P67&lt;&gt;"", "_X" &amp; P67, "") &amp;     IF(Q67&lt;&gt;"", "_Y" &amp; Q67, "") &amp;     IF(R67&lt;&gt;"", "_Z" &amp; R67, "") &amp;     IF(N67&lt;&gt;"", "_" &amp; N67, "") &amp;     IF(O67&lt;&gt;"", "_" &amp; O67, ""))</f>
      </c>
      <c r="F67" s="5">
        <f>IF(I67="","",     "SM_" &amp; I67 &amp;     IF(J67&lt;&gt;"", "_" &amp; J67, "") &amp;     IF(K67&lt;&gt;"", "_" &amp; K67, "") &amp;     IF(L67&lt;&gt;"", "_" &amp; L67, "") &amp;     IF(M67&lt;&gt;"", "_" &amp; M67, "") &amp;     IF(P67&lt;&gt;"", "_X" &amp; P67, "") &amp;     IF(Q67&lt;&gt;"", "_Y" &amp; Q67, "") &amp;     IF(R67&lt;&gt;"", "_Z" &amp; R67, "") &amp;     IF(N67&lt;&gt;"", "_" &amp; N67, "") &amp;     IF(O67&lt;&gt;"", "_" &amp; O67, ""))</f>
      </c>
      <c r="G67" s="5"/>
      <c r="H67" s="5"/>
      <c r="I67" s="5" t="str">
        <v>Labor</v>
      </c>
      <c r="J67" s="5" t="str">
        <v>Wall</v>
      </c>
      <c r="K67" s="5"/>
      <c r="L67" s="5"/>
      <c r="M67" s="5" t="str">
        <v>DoubleFace</v>
      </c>
      <c r="N67" s="2" t="str">
        <v>A</v>
      </c>
      <c r="O67" s="11" t="str">
        <v>001</v>
      </c>
      <c r="P67" s="10">
        <v>20</v>
      </c>
      <c r="Q67" s="10">
        <v>100</v>
      </c>
      <c r="R67" s="10">
        <v>300</v>
      </c>
      <c r="S67" s="10"/>
      <c r="T67" s="10"/>
      <c r="U67" s="8"/>
      <c r="V67" s="8"/>
      <c r="W67" s="8"/>
      <c r="X67" s="8"/>
      <c r="Y67" s="8"/>
      <c r="Z67" s="8"/>
      <c r="AA67" s="8"/>
    </row>
    <row customHeight="true" ht="19" outlineLevel="1" r="68">
      <c r="A68" s="9"/>
      <c r="B68" s="9"/>
      <c r="C68" s="9"/>
      <c r="D68" s="9"/>
      <c r="E68" s="5">
        <f>IF(I68="","",     "BP_" &amp; I68 &amp;     IF(J68&lt;&gt;"", "_" &amp; J68, "") &amp;     IF(K68&lt;&gt;"", "_" &amp; K68, "") &amp;     IF(L68&lt;&gt;"", "_" &amp; L68, "") &amp;     IF(M68&lt;&gt;"", "_" &amp; M68, "") &amp;     IF(P68&lt;&gt;"", "_X" &amp; P68, "") &amp;     IF(Q68&lt;&gt;"", "_Y" &amp; Q68, "") &amp;     IF(R68&lt;&gt;"", "_Z" &amp; R68, "") &amp;     IF(N68&lt;&gt;"", "_" &amp; N68, "") &amp;     IF(O68&lt;&gt;"", "_" &amp; O68, ""))</f>
      </c>
      <c r="F68" s="5">
        <f>IF(I68="","",     "SM_" &amp; I68 &amp;     IF(J68&lt;&gt;"", "_" &amp; J68, "") &amp;     IF(K68&lt;&gt;"", "_" &amp; K68, "") &amp;     IF(L68&lt;&gt;"", "_" &amp; L68, "") &amp;     IF(M68&lt;&gt;"", "_" &amp; M68, "") &amp;     IF(P68&lt;&gt;"", "_X" &amp; P68, "") &amp;     IF(Q68&lt;&gt;"", "_Y" &amp; Q68, "") &amp;     IF(R68&lt;&gt;"", "_Z" &amp; R68, "") &amp;     IF(N68&lt;&gt;"", "_" &amp; N68, "") &amp;     IF(O68&lt;&gt;"", "_" &amp; O68, ""))</f>
      </c>
      <c r="G68" s="5"/>
      <c r="H68" s="5"/>
      <c r="I68" s="5" t="str">
        <v>Labor</v>
      </c>
      <c r="J68" s="5" t="str">
        <v>Wall</v>
      </c>
      <c r="K68" s="5"/>
      <c r="L68" s="5"/>
      <c r="M68" s="5" t="str">
        <v>SingleFace</v>
      </c>
      <c r="N68" s="2" t="str">
        <v>A</v>
      </c>
      <c r="O68" s="11" t="str">
        <v>001</v>
      </c>
      <c r="P68" s="10">
        <v>20</v>
      </c>
      <c r="Q68" s="10">
        <v>100</v>
      </c>
      <c r="R68" s="10">
        <v>300</v>
      </c>
      <c r="S68" s="10"/>
      <c r="T68" s="10"/>
      <c r="U68" s="8"/>
      <c r="V68" s="8"/>
      <c r="W68" s="8"/>
      <c r="X68" s="8"/>
      <c r="Y68" s="8"/>
      <c r="Z68" s="8"/>
      <c r="AA68" s="8"/>
    </row>
    <row customHeight="true" ht="19" outlineLevel="1" r="69">
      <c r="A69" s="9"/>
      <c r="B69" s="9"/>
      <c r="C69" s="9"/>
      <c r="D69" s="9"/>
      <c r="E69" s="5">
        <f>IF(I69="","",     "BP_" &amp; I69 &amp;     IF(J69&lt;&gt;"", "_" &amp; J69, "") &amp;     IF(K69&lt;&gt;"", "_" &amp; K69, "") &amp;     IF(L69&lt;&gt;"", "_" &amp; L69, "") &amp;     IF(M69&lt;&gt;"", "_" &amp; M69, "") &amp;     IF(P69&lt;&gt;"", "_X" &amp; P69, "") &amp;     IF(Q69&lt;&gt;"", "_Y" &amp; Q69, "") &amp;     IF(R69&lt;&gt;"", "_Z" &amp; R69, "") &amp;     IF(N69&lt;&gt;"", "_" &amp; N69, "") &amp;     IF(O69&lt;&gt;"", "_" &amp; O69, ""))</f>
      </c>
      <c r="F69" s="5">
        <f>IF(I69="","",     "SM_" &amp; I69 &amp;     IF(J69&lt;&gt;"", "_" &amp; J69, "") &amp;     IF(K69&lt;&gt;"", "_" &amp; K69, "") &amp;     IF(L69&lt;&gt;"", "_" &amp; L69, "") &amp;     IF(M69&lt;&gt;"", "_" &amp; M69, "") &amp;     IF(P69&lt;&gt;"", "_X" &amp; P69, "") &amp;     IF(Q69&lt;&gt;"", "_Y" &amp; Q69, "") &amp;     IF(R69&lt;&gt;"", "_Z" &amp; R69, "") &amp;     IF(N69&lt;&gt;"", "_" &amp; N69, "") &amp;     IF(O69&lt;&gt;"", "_" &amp; O69, ""))</f>
      </c>
      <c r="G69" s="5"/>
      <c r="H69" s="5"/>
      <c r="I69" s="5" t="str">
        <v>Labor</v>
      </c>
      <c r="J69" s="5" t="str">
        <v>Wall</v>
      </c>
      <c r="K69" s="5" t="str">
        <v>Diagonal</v>
      </c>
      <c r="L69" s="5"/>
      <c r="M69" s="5" t="str">
        <v>DoubleFace</v>
      </c>
      <c r="N69" s="2" t="str">
        <v>A</v>
      </c>
      <c r="O69" s="11" t="str">
        <v>001</v>
      </c>
      <c r="P69" s="10">
        <v>20</v>
      </c>
      <c r="Q69" s="10">
        <v>100</v>
      </c>
      <c r="R69" s="10">
        <v>300</v>
      </c>
      <c r="S69" s="10"/>
      <c r="T69" s="10"/>
      <c r="U69" s="8"/>
      <c r="V69" s="8"/>
      <c r="W69" s="8"/>
      <c r="X69" s="8"/>
      <c r="Y69" s="8"/>
      <c r="Z69" s="8"/>
      <c r="AA69" s="8"/>
    </row>
    <row customHeight="true" ht="19" outlineLevel="1" r="70">
      <c r="A70" s="9"/>
      <c r="B70" s="9"/>
      <c r="C70" s="9"/>
      <c r="D70" s="9"/>
      <c r="E70" s="5">
        <f>IF(I70="","",     "BP_" &amp; I70 &amp;     IF(J70&lt;&gt;"", "_" &amp; J70, "") &amp;     IF(K70&lt;&gt;"", "_" &amp; K70, "") &amp;     IF(L70&lt;&gt;"", "_" &amp; L70, "") &amp;     IF(M70&lt;&gt;"", "_" &amp; M70, "") &amp;     IF(P70&lt;&gt;"", "_X" &amp; P70, "") &amp;     IF(Q70&lt;&gt;"", "_Y" &amp; Q70, "") &amp;     IF(R70&lt;&gt;"", "_Z" &amp; R70, "") &amp;     IF(N70&lt;&gt;"", "_" &amp; N70, "") &amp;     IF(O70&lt;&gt;"", "_" &amp; O70, ""))</f>
      </c>
      <c r="F70" s="5">
        <f>IF(I70="","",     "SM_" &amp; I70 &amp;     IF(J70&lt;&gt;"", "_" &amp; J70, "") &amp;     IF(K70&lt;&gt;"", "_" &amp; K70, "") &amp;     IF(L70&lt;&gt;"", "_" &amp; L70, "") &amp;     IF(M70&lt;&gt;"", "_" &amp; M70, "") &amp;     IF(P70&lt;&gt;"", "_X" &amp; P70, "") &amp;     IF(Q70&lt;&gt;"", "_Y" &amp; Q70, "") &amp;     IF(R70&lt;&gt;"", "_Z" &amp; R70, "") &amp;     IF(N70&lt;&gt;"", "_" &amp; N70, "") &amp;     IF(O70&lt;&gt;"", "_" &amp; O70, ""))</f>
      </c>
      <c r="G70" s="5"/>
      <c r="H70" s="5"/>
      <c r="I70" s="5" t="str">
        <v>Labor</v>
      </c>
      <c r="J70" s="5" t="str">
        <v>Wall</v>
      </c>
      <c r="K70" s="5" t="str">
        <v>Diagonal</v>
      </c>
      <c r="L70" s="5"/>
      <c r="M70" s="5" t="str">
        <v>SingleFace</v>
      </c>
      <c r="N70" s="2" t="str">
        <v>A</v>
      </c>
      <c r="O70" s="11" t="str">
        <v>001</v>
      </c>
      <c r="P70" s="10">
        <v>20</v>
      </c>
      <c r="Q70" s="10">
        <v>100</v>
      </c>
      <c r="R70" s="10">
        <v>300</v>
      </c>
      <c r="S70" s="10"/>
      <c r="T70" s="10"/>
      <c r="U70" s="8"/>
      <c r="V70" s="8"/>
      <c r="W70" s="8"/>
      <c r="X70" s="8"/>
      <c r="Y70" s="8"/>
      <c r="Z70" s="8"/>
      <c r="AA70" s="8"/>
    </row>
    <row outlineLevel="1" r="71">
      <c r="A71" s="9"/>
      <c r="B71" s="9"/>
      <c r="C71" s="9"/>
      <c r="D71" s="9"/>
      <c r="E71" s="5">
        <f>IF(I71="","",     "BP_" &amp; I71 &amp;     IF(J71&lt;&gt;"", "_" &amp; J71, "") &amp;     IF(K71&lt;&gt;"", "_" &amp; K71, "") &amp;     IF(L71&lt;&gt;"", "_" &amp; L71, "") &amp;     IF(M71&lt;&gt;"", "_" &amp; M71, "") &amp;     IF(P71&lt;&gt;"", "_X" &amp; P71, "") &amp;     IF(Q71&lt;&gt;"", "_Y" &amp; Q71, "") &amp;     IF(R71&lt;&gt;"", "_Z" &amp; R71, "") &amp;     IF(N71&lt;&gt;"", "_" &amp; N71, "") &amp;     IF(O71&lt;&gt;"", "_" &amp; O71, ""))</f>
      </c>
      <c r="F71" s="5">
        <f>IF(I71="","",     "SM_" &amp; I71 &amp;     IF(J71&lt;&gt;"", "_" &amp; J71, "") &amp;     IF(K71&lt;&gt;"", "_" &amp; K71, "") &amp;     IF(L71&lt;&gt;"", "_" &amp; L71, "") &amp;     IF(M71&lt;&gt;"", "_" &amp; M71, "") &amp;     IF(P71&lt;&gt;"", "_X" &amp; P71, "") &amp;     IF(Q71&lt;&gt;"", "_Y" &amp; Q71, "") &amp;     IF(R71&lt;&gt;"", "_Z" &amp; R71, "") &amp;     IF(N71&lt;&gt;"", "_" &amp; N71, "") &amp;     IF(O71&lt;&gt;"", "_" &amp; O71, ""))</f>
      </c>
      <c r="G71" s="5">
        <f>"MI" &amp; "_GeneralHalf_" &amp; I71 &amp; IF(J71&lt;&gt;"", "_" &amp; J71, "") &amp; IF(K71&lt;&gt;"", "_" &amp; K71, "")  &amp; IF(L71&lt;&gt;"", "_" &amp; L71, "") &amp; IF(P71&lt;&gt;"", "_X" &amp; P71, "") &amp; IF(Q71&lt;&gt;"", "_Y" &amp; Q71, "") &amp; IF(R71&lt;&gt;"", "_Z" &amp; R71, "")&amp; IF(N71&lt;&gt;"", "_" &amp; N71, "")</f>
      </c>
      <c r="H71" s="5">
        <f>"T" &amp; "_" &amp; I71 &amp; IF(J71&lt;&gt;"", "_" &amp; J71, "") &amp; IF(K71&lt;&gt;"", "_" &amp; K71, "")  &amp; IF(L71&lt;&gt;"", "_" &amp; L71, "")&amp;  IF(P71&lt;&gt;"", "_X" &amp; P71, "") &amp; IF(Q71&lt;&gt;"", "_Y" &amp; Q71, "") &amp; IF(R71&lt;&gt;"", "_Z" &amp; R71, "")&amp; IF(N71&lt;&gt;"", "_" &amp; N71, "")</f>
      </c>
      <c r="I71" s="5" t="str">
        <v>Labor</v>
      </c>
      <c r="J71" s="5" t="str">
        <v>Wall</v>
      </c>
      <c r="K71" s="5"/>
      <c r="L71" s="5"/>
      <c r="M71" s="2"/>
      <c r="N71" s="2" t="str">
        <v>A</v>
      </c>
      <c r="O71" s="11" t="str">
        <v>001</v>
      </c>
      <c r="P71" s="10">
        <v>20</v>
      </c>
      <c r="Q71" s="10">
        <v>100</v>
      </c>
      <c r="R71" s="10">
        <v>300</v>
      </c>
      <c r="S71" s="10"/>
      <c r="T71" s="10"/>
      <c r="U71" s="8"/>
      <c r="V71" s="8"/>
      <c r="W71" s="8"/>
      <c r="X71" s="8"/>
      <c r="Y71" s="8"/>
      <c r="Z71" s="8"/>
      <c r="AA71" s="8"/>
    </row>
    <row customHeight="true" ht="19" outlineLevel="1" r="72">
      <c r="A72" s="9"/>
      <c r="B72" s="9"/>
      <c r="C72" s="9"/>
      <c r="D72" s="9"/>
      <c r="E72" s="5">
        <f>IF(I72="","",     "BP_" &amp; I72 &amp;     IF(J72&lt;&gt;"", "_" &amp; J72, "") &amp;     IF(K72&lt;&gt;"", "_" &amp; K72, "") &amp;     IF(L72&lt;&gt;"", "_" &amp; L72, "") &amp;     IF(M72&lt;&gt;"", "_" &amp; M72, "") &amp;     IF(P72&lt;&gt;"", "_X" &amp; P72, "") &amp;     IF(Q72&lt;&gt;"", "_Y" &amp; Q72, "") &amp;     IF(R72&lt;&gt;"", "_Z" &amp; R72, "") &amp;     IF(N72&lt;&gt;"", "_" &amp; N72, "") &amp;     IF(O72&lt;&gt;"", "_" &amp; O72, ""))</f>
      </c>
      <c r="F72" s="5">
        <f>IF(I72="","",     "SM_" &amp; I72 &amp;     IF(J72&lt;&gt;"", "_" &amp; J72, "") &amp;     IF(K72&lt;&gt;"", "_" &amp; K72, "") &amp;     IF(L72&lt;&gt;"", "_" &amp; L72, "") &amp;     IF(M72&lt;&gt;"", "_" &amp; M72, "") &amp;     IF(P72&lt;&gt;"", "_X" &amp; P72, "") &amp;     IF(Q72&lt;&gt;"", "_Y" &amp; Q72, "") &amp;     IF(R72&lt;&gt;"", "_Z" &amp; R72, "") &amp;     IF(N72&lt;&gt;"", "_" &amp; N72, "") &amp;     IF(O72&lt;&gt;"", "_" &amp; O72, ""))</f>
      </c>
      <c r="G72" s="5">
        <f>"MI" &amp; "_GeneralHalf_" &amp; I72 &amp; IF(J72&lt;&gt;"", "_" &amp; J72, "") &amp; IF(K72&lt;&gt;"", "_" &amp; K72, "")  &amp; IF(L72&lt;&gt;"", "_" &amp; L72, "") &amp; IF(P72&lt;&gt;"", "_X" &amp; P72, "") &amp; IF(Q72&lt;&gt;"", "_Y" &amp; Q72, "") &amp; IF(R72&lt;&gt;"", "_Z" &amp; R72, "")&amp; IF(N72&lt;&gt;"", "_" &amp; N72, "")</f>
      </c>
      <c r="H72" s="5">
        <f>"T" &amp; "_" &amp; I72 &amp; IF(J72&lt;&gt;"", "_" &amp; J72, "") &amp; IF(K72&lt;&gt;"", "_" &amp; K72, "")  &amp; IF(L72&lt;&gt;"", "_" &amp; L72, "")&amp;  IF(P72&lt;&gt;"", "_X" &amp; P72, "") &amp; IF(Q72&lt;&gt;"", "_Y" &amp; Q72, "") &amp; IF(R72&lt;&gt;"", "_Z" &amp; R72, "")&amp; IF(N72&lt;&gt;"", "_" &amp; N72, "")</f>
      </c>
      <c r="I72" s="5" t="str">
        <v>Labor</v>
      </c>
      <c r="J72" s="5" t="str">
        <v>Wall</v>
      </c>
      <c r="K72" s="5" t="str">
        <v>Diagonal</v>
      </c>
      <c r="L72" s="5"/>
      <c r="M72" s="2"/>
      <c r="N72" s="2" t="str">
        <v>A</v>
      </c>
      <c r="O72" s="11" t="str">
        <v>001</v>
      </c>
      <c r="P72" s="10">
        <v>20</v>
      </c>
      <c r="Q72" s="10">
        <v>100</v>
      </c>
      <c r="R72" s="10">
        <v>300</v>
      </c>
      <c r="S72" s="10"/>
      <c r="T72" s="10"/>
      <c r="U72" s="8"/>
      <c r="V72" s="8"/>
      <c r="W72" s="8"/>
      <c r="X72" s="8"/>
      <c r="Y72" s="8"/>
      <c r="Z72" s="8"/>
      <c r="AA72" s="8"/>
    </row>
    <row collapsed="true" customHeight="true" ht="19" r="73">
      <c r="A73" s="9"/>
      <c r="B73" s="9"/>
      <c r="C73" s="9" t="str">
        <v>Window</v>
      </c>
      <c r="D73" s="9"/>
      <c r="E73" s="5">
        <f>IF(I73="","",     "BP_" &amp; I73 &amp;     IF(J73&lt;&gt;"", "_" &amp; J73, "") &amp;     IF(K73&lt;&gt;"", "_" &amp; K73, "") &amp;     IF(L73&lt;&gt;"", "_" &amp; L73, "") &amp;     IF(M73&lt;&gt;"", "_" &amp; M73, "") &amp;     IF(P73&lt;&gt;"", "_X" &amp; P73, "") &amp;     IF(Q73&lt;&gt;"", "_Y" &amp; Q73, "") &amp;     IF(R73&lt;&gt;"", "_Z" &amp; R73, "") &amp;     IF(N73&lt;&gt;"", "_" &amp; N73, "") &amp;     IF(O73&lt;&gt;"", "_" &amp; O73, ""))</f>
      </c>
      <c r="F73" s="5">
        <f>IF(I73="","",     "SM_" &amp; I73 &amp;     IF(J73&lt;&gt;"", "_" &amp; J73, "") &amp;     IF(K73&lt;&gt;"", "_" &amp; K73, "") &amp;     IF(L73&lt;&gt;"", "_" &amp; L73, "") &amp;     IF(M73&lt;&gt;"", "_" &amp; M73, "") &amp;     IF(P73&lt;&gt;"", "_X" &amp; P73, "") &amp;     IF(Q73&lt;&gt;"", "_Y" &amp; Q73, "") &amp;     IF(R73&lt;&gt;"", "_Z" &amp; R73, "") &amp;     IF(N73&lt;&gt;"", "_" &amp; N73, "") &amp;     IF(O73&lt;&gt;"", "_" &amp; O73, ""))</f>
      </c>
      <c r="G73" s="5"/>
      <c r="H73" s="5"/>
      <c r="I73" s="5"/>
      <c r="J73" s="5"/>
      <c r="K73" s="5"/>
      <c r="L73" s="5"/>
      <c r="M73" s="5"/>
      <c r="N73" s="2"/>
      <c r="O73" s="2"/>
      <c r="P73" s="10"/>
      <c r="Q73" s="10"/>
      <c r="R73" s="10"/>
      <c r="S73" s="10"/>
      <c r="T73" s="10"/>
      <c r="U73" s="8"/>
      <c r="V73" s="8"/>
      <c r="W73" s="8"/>
      <c r="X73" s="8"/>
      <c r="Y73" s="8"/>
      <c r="Z73" s="8"/>
      <c r="AA73" s="8"/>
    </row>
    <row customHeight="true" hidden="true" ht="19" outlineLevel="1" r="74">
      <c r="A74" s="9"/>
      <c r="B74" s="9"/>
      <c r="C74" s="9"/>
      <c r="D74" s="9" t="str">
        <v>Large</v>
      </c>
      <c r="E74" s="5">
        <f>IF(I74="","",     "BP_" &amp; I74 &amp;     IF(J74&lt;&gt;"", "_" &amp; J74, "") &amp;     IF(K74&lt;&gt;"", "_" &amp; K74, "") &amp;     IF(L74&lt;&gt;"", "_" &amp; L74, "") &amp;     IF(M74&lt;&gt;"", "_" &amp; M74, "") &amp;     IF(P74&lt;&gt;"", "_X" &amp; P74, "") &amp;     IF(Q74&lt;&gt;"", "_Y" &amp; Q74, "") &amp;     IF(R74&lt;&gt;"", "_Z" &amp; R74, "") &amp;     IF(N74&lt;&gt;"", "_" &amp; N74, "") &amp;     IF(O74&lt;&gt;"", "_" &amp; O74, ""))</f>
      </c>
      <c r="F74" s="5">
        <f>IF(I74="","",     "SM_" &amp; I74 &amp;     IF(J74&lt;&gt;"", "_" &amp; J74, "") &amp;     IF(K74&lt;&gt;"", "_" &amp; K74, "") &amp;     IF(L74&lt;&gt;"", "_" &amp; L74, "") &amp;     IF(M74&lt;&gt;"", "_" &amp; M74, "") &amp;     IF(P74&lt;&gt;"", "_X" &amp; P74, "") &amp;     IF(Q74&lt;&gt;"", "_Y" &amp; Q74, "") &amp;     IF(R74&lt;&gt;"", "_Z" &amp; R74, "") &amp;     IF(N74&lt;&gt;"", "_" &amp; N74, "") &amp;     IF(O74&lt;&gt;"", "_" &amp; O74, ""))</f>
      </c>
      <c r="G74" s="5"/>
      <c r="H74" s="5"/>
      <c r="I74" s="5"/>
      <c r="J74" s="5"/>
      <c r="K74" s="5"/>
      <c r="L74" s="5"/>
      <c r="M74" s="5"/>
      <c r="N74" s="2"/>
      <c r="O74" s="2"/>
      <c r="P74" s="10"/>
      <c r="Q74" s="10"/>
      <c r="R74" s="10"/>
      <c r="S74" s="10"/>
      <c r="T74" s="10"/>
      <c r="U74" s="8"/>
      <c r="V74" s="8"/>
      <c r="W74" s="8"/>
      <c r="X74" s="8"/>
      <c r="Y74" s="8"/>
      <c r="Z74" s="8"/>
      <c r="AA74" s="8"/>
    </row>
    <row customHeight="true" hidden="true" ht="19" outlineLevel="2" r="75">
      <c r="A75" s="9"/>
      <c r="B75" s="9"/>
      <c r="C75" s="9"/>
      <c r="D75" s="9"/>
      <c r="E75" s="5">
        <f>IF(I75="","",     "BP_" &amp; I75 &amp;     IF(J75&lt;&gt;"", "_" &amp; J75, "") &amp;     IF(K75&lt;&gt;"", "_" &amp; K75, "") &amp;     IF(L75&lt;&gt;"", "_" &amp; L75, "") &amp;     IF(M75&lt;&gt;"", "_" &amp; M75, "") &amp;     IF(P75&lt;&gt;"", "_X" &amp; P75, "") &amp;     IF(Q75&lt;&gt;"", "_Y" &amp; Q75, "") &amp;     IF(R75&lt;&gt;"", "_Z" &amp; R75, "") &amp;     IF(N75&lt;&gt;"", "_" &amp; N75, "") &amp;     IF(O75&lt;&gt;"", "_" &amp; O75, ""))</f>
      </c>
      <c r="F75" s="5">
        <f>IF(I75="","",     "SM_" &amp; I75 &amp;     IF(J75&lt;&gt;"", "_" &amp; J75, "") &amp;     IF(K75&lt;&gt;"", "_" &amp; K75, "") &amp;     IF(L75&lt;&gt;"", "_" &amp; L75, "") &amp;     IF(M75&lt;&gt;"", "_" &amp; M75, "") &amp;     IF(P75&lt;&gt;"", "_X" &amp; P75, "") &amp;     IF(Q75&lt;&gt;"", "_Y" &amp; Q75, "") &amp;     IF(R75&lt;&gt;"", "_Z" &amp; R75, "") &amp;     IF(N75&lt;&gt;"", "_" &amp; N75, "") &amp;     IF(O75&lt;&gt;"", "_" &amp; O75, ""))</f>
      </c>
      <c r="G75" s="5"/>
      <c r="H75" s="5"/>
      <c r="I75" s="5" t="str">
        <v>Labor</v>
      </c>
      <c r="J75" s="5" t="str">
        <v>Window</v>
      </c>
      <c r="K75" s="5" t="str">
        <v>Large</v>
      </c>
      <c r="L75" s="5" t="str">
        <v>Center</v>
      </c>
      <c r="M75" s="5" t="str">
        <v>DoubleFace</v>
      </c>
      <c r="N75" s="2" t="str">
        <v>A</v>
      </c>
      <c r="O75" s="11" t="str">
        <v>001</v>
      </c>
      <c r="P75" s="10">
        <v>100</v>
      </c>
      <c r="Q75" s="10">
        <v>20</v>
      </c>
      <c r="R75" s="10">
        <v>300</v>
      </c>
      <c r="S75" s="10"/>
      <c r="T75" s="10"/>
      <c r="U75" s="8"/>
      <c r="V75" s="8"/>
      <c r="W75" s="8"/>
      <c r="X75" s="8"/>
      <c r="Y75" s="8"/>
      <c r="Z75" s="8"/>
      <c r="AA75" s="8"/>
    </row>
    <row customHeight="true" hidden="true" ht="19" outlineLevel="2" r="76">
      <c r="A76" s="9"/>
      <c r="B76" s="9"/>
      <c r="C76" s="9"/>
      <c r="D76" s="9"/>
      <c r="E76" s="5">
        <f>IF(I76="","",     "BP_" &amp; I76 &amp;     IF(J76&lt;&gt;"", "_" &amp; J76, "") &amp;     IF(K76&lt;&gt;"", "_" &amp; K76, "") &amp;     IF(L76&lt;&gt;"", "_" &amp; L76, "") &amp;     IF(M76&lt;&gt;"", "_" &amp; M76, "") &amp;     IF(P76&lt;&gt;"", "_X" &amp; P76, "") &amp;     IF(Q76&lt;&gt;"", "_Y" &amp; Q76, "") &amp;     IF(R76&lt;&gt;"", "_Z" &amp; R76, "") &amp;     IF(N76&lt;&gt;"", "_" &amp; N76, "") &amp;     IF(O76&lt;&gt;"", "_" &amp; O76, ""))</f>
      </c>
      <c r="F76" s="5">
        <f>IF(I76="","",     "SM_" &amp; I76 &amp;     IF(J76&lt;&gt;"", "_" &amp; J76, "") &amp;     IF(K76&lt;&gt;"", "_" &amp; K76, "") &amp;     IF(L76&lt;&gt;"", "_" &amp; L76, "") &amp;     IF(M76&lt;&gt;"", "_" &amp; M76, "") &amp;     IF(P76&lt;&gt;"", "_X" &amp; P76, "") &amp;     IF(Q76&lt;&gt;"", "_Y" &amp; Q76, "") &amp;     IF(R76&lt;&gt;"", "_Z" &amp; R76, "") &amp;     IF(N76&lt;&gt;"", "_" &amp; N76, "") &amp;     IF(O76&lt;&gt;"", "_" &amp; O76, ""))</f>
      </c>
      <c r="G76" s="5"/>
      <c r="H76" s="5"/>
      <c r="I76" s="5" t="str">
        <v>Labor</v>
      </c>
      <c r="J76" s="5" t="str">
        <v>Window</v>
      </c>
      <c r="K76" s="5" t="str">
        <v>Large</v>
      </c>
      <c r="L76" s="5" t="str">
        <v>Center</v>
      </c>
      <c r="M76" s="5" t="str">
        <v>SingleFace</v>
      </c>
      <c r="N76" s="2" t="str">
        <v>A</v>
      </c>
      <c r="O76" s="11" t="str">
        <v>001</v>
      </c>
      <c r="P76" s="10">
        <v>100</v>
      </c>
      <c r="Q76" s="10">
        <v>20</v>
      </c>
      <c r="R76" s="10">
        <v>300</v>
      </c>
      <c r="S76" s="10"/>
      <c r="T76" s="10"/>
      <c r="U76" s="8"/>
      <c r="V76" s="8"/>
      <c r="W76" s="8"/>
      <c r="X76" s="8"/>
      <c r="Y76" s="8"/>
      <c r="Z76" s="8"/>
      <c r="AA76" s="8"/>
    </row>
    <row customHeight="true" hidden="true" ht="19" outlineLevel="2" r="77">
      <c r="A77" s="9"/>
      <c r="B77" s="9"/>
      <c r="C77" s="9"/>
      <c r="D77" s="9"/>
      <c r="E77" s="5">
        <f>IF(I77="","",     "BP_" &amp; I77 &amp;     IF(J77&lt;&gt;"", "_" &amp; J77, "") &amp;     IF(K77&lt;&gt;"", "_" &amp; K77, "") &amp;     IF(L77&lt;&gt;"", "_" &amp; L77, "") &amp;     IF(M77&lt;&gt;"", "_" &amp; M77, "") &amp;     IF(P77&lt;&gt;"", "_X" &amp; P77, "") &amp;     IF(Q77&lt;&gt;"", "_Y" &amp; Q77, "") &amp;     IF(R77&lt;&gt;"", "_Z" &amp; R77, "") &amp;     IF(N77&lt;&gt;"", "_" &amp; N77, "") &amp;     IF(O77&lt;&gt;"", "_" &amp; O77, ""))</f>
      </c>
      <c r="F77" s="5">
        <f>IF(I77="","",     "SM_" &amp; I77 &amp;     IF(J77&lt;&gt;"", "_" &amp; J77, "") &amp;     IF(K77&lt;&gt;"", "_" &amp; K77, "") &amp;     IF(L77&lt;&gt;"", "_" &amp; L77, "") &amp;     IF(M77&lt;&gt;"", "_" &amp; M77, "") &amp;     IF(P77&lt;&gt;"", "_X" &amp; P77, "") &amp;     IF(Q77&lt;&gt;"", "_Y" &amp; Q77, "") &amp;     IF(R77&lt;&gt;"", "_Z" &amp; R77, "") &amp;     IF(N77&lt;&gt;"", "_" &amp; N77, "") &amp;     IF(O77&lt;&gt;"", "_" &amp; O77, ""))</f>
      </c>
      <c r="G77" s="5"/>
      <c r="H77" s="5"/>
      <c r="I77" s="5" t="str">
        <v>Labor</v>
      </c>
      <c r="J77" s="5" t="str">
        <v>Window</v>
      </c>
      <c r="K77" s="5" t="str">
        <v>Large</v>
      </c>
      <c r="L77" s="5" t="str">
        <v>Side</v>
      </c>
      <c r="M77" s="5" t="str">
        <v>DoubleFace</v>
      </c>
      <c r="N77" s="2" t="str">
        <v>A</v>
      </c>
      <c r="O77" s="11" t="str">
        <v>001</v>
      </c>
      <c r="P77" s="10">
        <v>100</v>
      </c>
      <c r="Q77" s="10">
        <v>20</v>
      </c>
      <c r="R77" s="10">
        <v>300</v>
      </c>
      <c r="S77" s="10"/>
      <c r="T77" s="10"/>
      <c r="U77" s="8"/>
      <c r="V77" s="8"/>
      <c r="W77" s="8"/>
      <c r="X77" s="8"/>
      <c r="Y77" s="8"/>
      <c r="Z77" s="8"/>
      <c r="AA77" s="8"/>
    </row>
    <row hidden="true" outlineLevel="2" r="78">
      <c r="A78" s="9"/>
      <c r="B78" s="9"/>
      <c r="C78" s="9"/>
      <c r="D78" s="9"/>
      <c r="E78" s="5">
        <f>IF(I78="","",     "BP_" &amp; I78 &amp;     IF(J78&lt;&gt;"", "_" &amp; J78, "") &amp;     IF(K78&lt;&gt;"", "_" &amp; K78, "") &amp;     IF(L78&lt;&gt;"", "_" &amp; L78, "") &amp;     IF(M78&lt;&gt;"", "_" &amp; M78, "") &amp;     IF(P78&lt;&gt;"", "_X" &amp; P78, "") &amp;     IF(Q78&lt;&gt;"", "_Y" &amp; Q78, "") &amp;     IF(R78&lt;&gt;"", "_Z" &amp; R78, "") &amp;     IF(N78&lt;&gt;"", "_" &amp; N78, "") &amp;     IF(O78&lt;&gt;"", "_" &amp; O78, ""))</f>
      </c>
      <c r="F78" s="5">
        <f>IF(I78="","",     "SM_" &amp; I78 &amp;     IF(J78&lt;&gt;"", "_" &amp; J78, "") &amp;     IF(K78&lt;&gt;"", "_" &amp; K78, "") &amp;     IF(L78&lt;&gt;"", "_" &amp; L78, "") &amp;     IF(M78&lt;&gt;"", "_" &amp; M78, "") &amp;     IF(P78&lt;&gt;"", "_X" &amp; P78, "") &amp;     IF(Q78&lt;&gt;"", "_Y" &amp; Q78, "") &amp;     IF(R78&lt;&gt;"", "_Z" &amp; R78, "") &amp;     IF(N78&lt;&gt;"", "_" &amp; N78, "") &amp;     IF(O78&lt;&gt;"", "_" &amp; O78, ""))</f>
      </c>
      <c r="G78" s="5"/>
      <c r="H78" s="5"/>
      <c r="I78" s="5" t="str">
        <v>Labor</v>
      </c>
      <c r="J78" s="5" t="str">
        <v>Window</v>
      </c>
      <c r="K78" s="5" t="str">
        <v>Large</v>
      </c>
      <c r="L78" s="5" t="str">
        <v>Side</v>
      </c>
      <c r="M78" s="5" t="str">
        <v>DoubleFace</v>
      </c>
      <c r="N78" s="2" t="str">
        <v>B</v>
      </c>
      <c r="O78" s="11" t="str">
        <v>001</v>
      </c>
      <c r="P78" s="10">
        <v>100</v>
      </c>
      <c r="Q78" s="10">
        <v>20</v>
      </c>
      <c r="R78" s="10">
        <v>300</v>
      </c>
      <c r="S78" s="10" t="str">
        <v>DONE</v>
      </c>
      <c r="T78" s="10" t="str">
        <v>DONE</v>
      </c>
      <c r="U78" s="8"/>
      <c r="V78" s="8"/>
      <c r="W78" s="8"/>
      <c r="X78" s="8"/>
      <c r="Y78" s="8"/>
      <c r="Z78" s="8"/>
      <c r="AA78" s="8"/>
    </row>
    <row customHeight="true" hidden="true" ht="19" outlineLevel="2" r="79">
      <c r="A79" s="9"/>
      <c r="B79" s="9"/>
      <c r="C79" s="9"/>
      <c r="D79" s="9"/>
      <c r="E79" s="5">
        <f>IF(I79="","",     "BP_" &amp; I79 &amp;     IF(J79&lt;&gt;"", "_" &amp; J79, "") &amp;     IF(K79&lt;&gt;"", "_" &amp; K79, "") &amp;     IF(L79&lt;&gt;"", "_" &amp; L79, "") &amp;     IF(M79&lt;&gt;"", "_" &amp; M79, "") &amp;     IF(P79&lt;&gt;"", "_X" &amp; P79, "") &amp;     IF(Q79&lt;&gt;"", "_Y" &amp; Q79, "") &amp;     IF(R79&lt;&gt;"", "_Z" &amp; R79, "") &amp;     IF(N79&lt;&gt;"", "_" &amp; N79, "") &amp;     IF(O79&lt;&gt;"", "_" &amp; O79, ""))</f>
      </c>
      <c r="F79" s="5">
        <f>IF(I79="","",     "SM_" &amp; I79 &amp;     IF(J79&lt;&gt;"", "_" &amp; J79, "") &amp;     IF(K79&lt;&gt;"", "_" &amp; K79, "") &amp;     IF(L79&lt;&gt;"", "_" &amp; L79, "") &amp;     IF(M79&lt;&gt;"", "_" &amp; M79, "") &amp;     IF(P79&lt;&gt;"", "_X" &amp; P79, "") &amp;     IF(Q79&lt;&gt;"", "_Y" &amp; Q79, "") &amp;     IF(R79&lt;&gt;"", "_Z" &amp; R79, "") &amp;     IF(N79&lt;&gt;"", "_" &amp; N79, "") &amp;     IF(O79&lt;&gt;"", "_" &amp; O79, ""))</f>
      </c>
      <c r="G79" s="5"/>
      <c r="H79" s="5"/>
      <c r="I79" s="5" t="str">
        <v>Labor</v>
      </c>
      <c r="J79" s="5" t="str">
        <v>Window</v>
      </c>
      <c r="K79" s="5" t="str">
        <v>Large</v>
      </c>
      <c r="L79" s="5" t="str">
        <v>Side</v>
      </c>
      <c r="M79" s="5" t="str">
        <v>SingleFace</v>
      </c>
      <c r="N79" s="2" t="str">
        <v>A</v>
      </c>
      <c r="O79" s="11" t="str">
        <v>001</v>
      </c>
      <c r="P79" s="10">
        <v>100</v>
      </c>
      <c r="Q79" s="10">
        <v>20</v>
      </c>
      <c r="R79" s="10">
        <v>300</v>
      </c>
      <c r="S79" s="10"/>
      <c r="T79" s="10"/>
      <c r="U79" s="8"/>
      <c r="V79" s="8"/>
      <c r="W79" s="8"/>
      <c r="X79" s="8"/>
      <c r="Y79" s="8"/>
      <c r="Z79" s="8"/>
      <c r="AA79" s="8"/>
    </row>
    <row hidden="true" outlineLevel="2" r="80">
      <c r="A80" s="9"/>
      <c r="B80" s="9"/>
      <c r="C80" s="9"/>
      <c r="D80" s="9"/>
      <c r="E80" s="5">
        <f>IF(I80="","",     "BP_" &amp; I80 &amp;     IF(J80&lt;&gt;"", "_" &amp; J80, "") &amp;     IF(K80&lt;&gt;"", "_" &amp; K80, "") &amp;     IF(L80&lt;&gt;"", "_" &amp; L80, "") &amp;     IF(M80&lt;&gt;"", "_" &amp; M80, "") &amp;     IF(P80&lt;&gt;"", "_X" &amp; P80, "") &amp;     IF(Q80&lt;&gt;"", "_Y" &amp; Q80, "") &amp;     IF(R80&lt;&gt;"", "_Z" &amp; R80, "") &amp;     IF(N80&lt;&gt;"", "_" &amp; N80, "") &amp;     IF(O80&lt;&gt;"", "_" &amp; O80, ""))</f>
      </c>
      <c r="F80" s="5">
        <f>IF(I80="","",     "SM_" &amp; I80 &amp;     IF(J80&lt;&gt;"", "_" &amp; J80, "") &amp;     IF(K80&lt;&gt;"", "_" &amp; K80, "") &amp;     IF(L80&lt;&gt;"", "_" &amp; L80, "") &amp;     IF(M80&lt;&gt;"", "_" &amp; M80, "") &amp;     IF(P80&lt;&gt;"", "_X" &amp; P80, "") &amp;     IF(Q80&lt;&gt;"", "_Y" &amp; Q80, "") &amp;     IF(R80&lt;&gt;"", "_Z" &amp; R80, "") &amp;     IF(N80&lt;&gt;"", "_" &amp; N80, "") &amp;     IF(O80&lt;&gt;"", "_" &amp; O80, ""))</f>
      </c>
      <c r="G80" s="5"/>
      <c r="H80" s="5"/>
      <c r="I80" s="5" t="str">
        <v>Labor</v>
      </c>
      <c r="J80" s="5" t="str">
        <v>Window</v>
      </c>
      <c r="K80" s="5" t="str">
        <v>Large</v>
      </c>
      <c r="L80" s="5" t="str">
        <v>Side</v>
      </c>
      <c r="M80" s="5" t="str">
        <v>SingleFace</v>
      </c>
      <c r="N80" s="2" t="str">
        <v>B</v>
      </c>
      <c r="O80" s="11" t="str">
        <v>001</v>
      </c>
      <c r="P80" s="10">
        <v>100</v>
      </c>
      <c r="Q80" s="10">
        <v>20</v>
      </c>
      <c r="R80" s="10">
        <v>300</v>
      </c>
      <c r="S80" s="10"/>
      <c r="T80" s="10"/>
      <c r="U80" s="8"/>
      <c r="V80" s="8"/>
      <c r="W80" s="8"/>
      <c r="X80" s="8"/>
      <c r="Y80" s="8"/>
      <c r="Z80" s="8"/>
      <c r="AA80" s="8"/>
    </row>
    <row customHeight="true" hidden="true" ht="19" outlineLevel="1" r="81">
      <c r="A81" s="9"/>
      <c r="B81" s="9"/>
      <c r="C81" s="9"/>
      <c r="D81" s="9" t="str">
        <v>Small</v>
      </c>
      <c r="E81" s="5">
        <f>IF(I81="","",     "BP_" &amp; I81 &amp;     IF(J81&lt;&gt;"", "_" &amp; J81, "") &amp;     IF(K81&lt;&gt;"", "_" &amp; K81, "") &amp;     IF(L81&lt;&gt;"", "_" &amp; L81, "") &amp;     IF(M81&lt;&gt;"", "_" &amp; M81, "") &amp;     IF(P81&lt;&gt;"", "_X" &amp; P81, "") &amp;     IF(Q81&lt;&gt;"", "_Y" &amp; Q81, "") &amp;     IF(R81&lt;&gt;"", "_Z" &amp; R81, "") &amp;     IF(N81&lt;&gt;"", "_" &amp; N81, "") &amp;     IF(O81&lt;&gt;"", "_" &amp; O81, ""))</f>
      </c>
      <c r="F81" s="5">
        <f>IF(I81="","",     "SM_" &amp; I81 &amp;     IF(J81&lt;&gt;"", "_" &amp; J81, "") &amp;     IF(K81&lt;&gt;"", "_" &amp; K81, "") &amp;     IF(L81&lt;&gt;"", "_" &amp; L81, "") &amp;     IF(M81&lt;&gt;"", "_" &amp; M81, "") &amp;     IF(P81&lt;&gt;"", "_X" &amp; P81, "") &amp;     IF(Q81&lt;&gt;"", "_Y" &amp; Q81, "") &amp;     IF(R81&lt;&gt;"", "_Z" &amp; R81, "") &amp;     IF(N81&lt;&gt;"", "_" &amp; N81, "") &amp;     IF(O81&lt;&gt;"", "_" &amp; O81, ""))</f>
      </c>
      <c r="G81" s="5"/>
      <c r="H81" s="5"/>
      <c r="I81" s="5"/>
      <c r="J81" s="5"/>
      <c r="K81" s="5"/>
      <c r="L81" s="5"/>
      <c r="M81" s="5"/>
      <c r="N81" s="2"/>
      <c r="O81" s="2"/>
      <c r="P81" s="10"/>
      <c r="Q81" s="10"/>
      <c r="R81" s="10"/>
      <c r="S81" s="10"/>
      <c r="T81" s="10"/>
      <c r="U81" s="8"/>
      <c r="V81" s="8"/>
      <c r="W81" s="8"/>
      <c r="X81" s="8"/>
      <c r="Y81" s="8"/>
      <c r="Z81" s="8"/>
      <c r="AA81" s="8"/>
    </row>
    <row customHeight="true" hidden="true" ht="19" outlineLevel="2" r="82">
      <c r="A82" s="9"/>
      <c r="B82" s="9"/>
      <c r="C82" s="9"/>
      <c r="D82" s="9"/>
      <c r="E82" s="5">
        <f>IF(I82="","",     "BP_" &amp; I82 &amp;     IF(J82&lt;&gt;"", "_" &amp; J82, "") &amp;     IF(K82&lt;&gt;"", "_" &amp; K82, "") &amp;     IF(L82&lt;&gt;"", "_" &amp; L82, "") &amp;     IF(M82&lt;&gt;"", "_" &amp; M82, "") &amp;     IF(P82&lt;&gt;"", "_X" &amp; P82, "") &amp;     IF(Q82&lt;&gt;"", "_Y" &amp; Q82, "") &amp;     IF(R82&lt;&gt;"", "_Z" &amp; R82, "") &amp;     IF(N82&lt;&gt;"", "_" &amp; N82, "") &amp;     IF(O82&lt;&gt;"", "_" &amp; O82, ""))</f>
      </c>
      <c r="F82" s="5">
        <f>IF(I82="","",     "SM_" &amp; I82 &amp;     IF(J82&lt;&gt;"", "_" &amp; J82, "") &amp;     IF(K82&lt;&gt;"", "_" &amp; K82, "") &amp;     IF(L82&lt;&gt;"", "_" &amp; L82, "") &amp;     IF(M82&lt;&gt;"", "_" &amp; M82, "") &amp;     IF(P82&lt;&gt;"", "_X" &amp; P82, "") &amp;     IF(Q82&lt;&gt;"", "_Y" &amp; Q82, "") &amp;     IF(R82&lt;&gt;"", "_Z" &amp; R82, "") &amp;     IF(N82&lt;&gt;"", "_" &amp; N82, "") &amp;     IF(O82&lt;&gt;"", "_" &amp; O82, ""))</f>
      </c>
      <c r="G82" s="5"/>
      <c r="H82" s="5"/>
      <c r="I82" s="5" t="str">
        <v>Labor</v>
      </c>
      <c r="J82" s="5" t="str">
        <v>Window</v>
      </c>
      <c r="K82" s="5" t="str">
        <v>Small</v>
      </c>
      <c r="L82" s="5" t="str">
        <v>Center</v>
      </c>
      <c r="M82" s="5" t="str">
        <v>DoubleFace</v>
      </c>
      <c r="N82" s="2" t="str">
        <v>A</v>
      </c>
      <c r="O82" s="11" t="str">
        <v>001</v>
      </c>
      <c r="P82" s="10">
        <v>100</v>
      </c>
      <c r="Q82" s="10">
        <v>20</v>
      </c>
      <c r="R82" s="10">
        <v>300</v>
      </c>
      <c r="S82" s="10" t="str">
        <v>DONE</v>
      </c>
      <c r="T82" s="10" t="str">
        <v>DONE</v>
      </c>
      <c r="U82" s="8"/>
      <c r="V82" s="8"/>
      <c r="W82" s="8"/>
      <c r="X82" s="8"/>
      <c r="Y82" s="8"/>
      <c r="Z82" s="8"/>
      <c r="AA82" s="8"/>
    </row>
    <row customHeight="true" hidden="true" ht="19" outlineLevel="2" r="83">
      <c r="A83" s="9"/>
      <c r="B83" s="9"/>
      <c r="C83" s="9"/>
      <c r="D83" s="9"/>
      <c r="E83" s="5">
        <f>IF(I83="","",     "BP_" &amp; I83 &amp;     IF(J83&lt;&gt;"", "_" &amp; J83, "") &amp;     IF(K83&lt;&gt;"", "_" &amp; K83, "") &amp;     IF(L83&lt;&gt;"", "_" &amp; L83, "") &amp;     IF(M83&lt;&gt;"", "_" &amp; M83, "") &amp;     IF(P83&lt;&gt;"", "_X" &amp; P83, "") &amp;     IF(Q83&lt;&gt;"", "_Y" &amp; Q83, "") &amp;     IF(R83&lt;&gt;"", "_Z" &amp; R83, "") &amp;     IF(N83&lt;&gt;"", "_" &amp; N83, "") &amp;     IF(O83&lt;&gt;"", "_" &amp; O83, ""))</f>
      </c>
      <c r="F83" s="5">
        <f>IF(I83="","",     "SM_" &amp; I83 &amp;     IF(J83&lt;&gt;"", "_" &amp; J83, "") &amp;     IF(K83&lt;&gt;"", "_" &amp; K83, "") &amp;     IF(L83&lt;&gt;"", "_" &amp; L83, "") &amp;     IF(M83&lt;&gt;"", "_" &amp; M83, "") &amp;     IF(P83&lt;&gt;"", "_X" &amp; P83, "") &amp;     IF(Q83&lt;&gt;"", "_Y" &amp; Q83, "") &amp;     IF(R83&lt;&gt;"", "_Z" &amp; R83, "") &amp;     IF(N83&lt;&gt;"", "_" &amp; N83, "") &amp;     IF(O83&lt;&gt;"", "_" &amp; O83, ""))</f>
      </c>
      <c r="G83" s="5"/>
      <c r="H83" s="5"/>
      <c r="I83" s="5" t="str">
        <v>Labor</v>
      </c>
      <c r="J83" s="5" t="str">
        <v>Window</v>
      </c>
      <c r="K83" s="5" t="str">
        <v>Small</v>
      </c>
      <c r="L83" s="5" t="str">
        <v>Center</v>
      </c>
      <c r="M83" s="5" t="str">
        <v>SingleFace</v>
      </c>
      <c r="N83" s="2" t="str">
        <v>A</v>
      </c>
      <c r="O83" s="11" t="str">
        <v>001</v>
      </c>
      <c r="P83" s="10">
        <v>100</v>
      </c>
      <c r="Q83" s="10">
        <v>20</v>
      </c>
      <c r="R83" s="10">
        <v>300</v>
      </c>
      <c r="S83" s="10" t="str">
        <v>DONE</v>
      </c>
      <c r="T83" s="10" t="str">
        <v>DONE</v>
      </c>
      <c r="U83" s="8"/>
      <c r="V83" s="8"/>
      <c r="W83" s="8"/>
      <c r="X83" s="8"/>
      <c r="Y83" s="8"/>
      <c r="Z83" s="8"/>
      <c r="AA83" s="8"/>
    </row>
    <row customHeight="true" hidden="true" ht="19" outlineLevel="2" r="84">
      <c r="A84" s="9"/>
      <c r="B84" s="9"/>
      <c r="C84" s="9"/>
      <c r="D84" s="9"/>
      <c r="E84" s="5">
        <f>IF(I84="","",     "BP_" &amp; I84 &amp;     IF(J84&lt;&gt;"", "_" &amp; J84, "") &amp;     IF(K84&lt;&gt;"", "_" &amp; K84, "") &amp;     IF(L84&lt;&gt;"", "_" &amp; L84, "") &amp;     IF(M84&lt;&gt;"", "_" &amp; M84, "") &amp;     IF(P84&lt;&gt;"", "_X" &amp; P84, "") &amp;     IF(Q84&lt;&gt;"", "_Y" &amp; Q84, "") &amp;     IF(R84&lt;&gt;"", "_Z" &amp; R84, "") &amp;     IF(N84&lt;&gt;"", "_" &amp; N84, "") &amp;     IF(O84&lt;&gt;"", "_" &amp; O84, ""))</f>
      </c>
      <c r="F84" s="5">
        <f>IF(I84="","",     "SM_" &amp; I84 &amp;     IF(J84&lt;&gt;"", "_" &amp; J84, "") &amp;     IF(K84&lt;&gt;"", "_" &amp; K84, "") &amp;     IF(L84&lt;&gt;"", "_" &amp; L84, "") &amp;     IF(M84&lt;&gt;"", "_" &amp; M84, "") &amp;     IF(P84&lt;&gt;"", "_X" &amp; P84, "") &amp;     IF(Q84&lt;&gt;"", "_Y" &amp; Q84, "") &amp;     IF(R84&lt;&gt;"", "_Z" &amp; R84, "") &amp;     IF(N84&lt;&gt;"", "_" &amp; N84, "") &amp;     IF(O84&lt;&gt;"", "_" &amp; O84, ""))</f>
      </c>
      <c r="G84" s="5"/>
      <c r="H84" s="5"/>
      <c r="I84" s="5" t="str">
        <v>Labor</v>
      </c>
      <c r="J84" s="5" t="str">
        <v>Window</v>
      </c>
      <c r="K84" s="5" t="str">
        <v>Small</v>
      </c>
      <c r="L84" s="5" t="str">
        <v>Side</v>
      </c>
      <c r="M84" s="5" t="str">
        <v>DoubleFace</v>
      </c>
      <c r="N84" s="2" t="str">
        <v>A</v>
      </c>
      <c r="O84" s="11" t="str">
        <v>001</v>
      </c>
      <c r="P84" s="10">
        <v>100</v>
      </c>
      <c r="Q84" s="10">
        <v>20</v>
      </c>
      <c r="R84" s="10">
        <v>300</v>
      </c>
      <c r="S84" s="10" t="str">
        <v>DONE</v>
      </c>
      <c r="T84" s="10" t="str">
        <v>DONE</v>
      </c>
      <c r="U84" s="8" t="str">
        <v>Center, Bottom</v>
      </c>
      <c r="V84" s="8"/>
      <c r="W84" s="8"/>
      <c r="X84" s="8"/>
      <c r="Y84" s="8"/>
      <c r="Z84" s="8"/>
      <c r="AA84" s="8"/>
    </row>
    <row customHeight="true" hidden="true" ht="19" outlineLevel="2" r="85">
      <c r="A85" s="9"/>
      <c r="B85" s="9"/>
      <c r="C85" s="9"/>
      <c r="D85" s="9"/>
      <c r="E85" s="5">
        <f>IF(I85="","",     "BP_" &amp; I85 &amp;     IF(J85&lt;&gt;"", "_" &amp; J85, "") &amp;     IF(K85&lt;&gt;"", "_" &amp; K85, "") &amp;     IF(L85&lt;&gt;"", "_" &amp; L85, "") &amp;     IF(M85&lt;&gt;"", "_" &amp; M85, "") &amp;     IF(P85&lt;&gt;"", "_X" &amp; P85, "") &amp;     IF(Q85&lt;&gt;"", "_Y" &amp; Q85, "") &amp;     IF(R85&lt;&gt;"", "_Z" &amp; R85, "") &amp;     IF(N85&lt;&gt;"", "_" &amp; N85, "") &amp;     IF(O85&lt;&gt;"", "_" &amp; O85, ""))</f>
      </c>
      <c r="F85" s="5">
        <f>IF(I85="","",     "SM_" &amp; I85 &amp;     IF(J85&lt;&gt;"", "_" &amp; J85, "") &amp;     IF(K85&lt;&gt;"", "_" &amp; K85, "") &amp;     IF(L85&lt;&gt;"", "_" &amp; L85, "") &amp;     IF(M85&lt;&gt;"", "_" &amp; M85, "") &amp;     IF(P85&lt;&gt;"", "_X" &amp; P85, "") &amp;     IF(Q85&lt;&gt;"", "_Y" &amp; Q85, "") &amp;     IF(R85&lt;&gt;"", "_Z" &amp; R85, "") &amp;     IF(N85&lt;&gt;"", "_" &amp; N85, "") &amp;     IF(O85&lt;&gt;"", "_" &amp; O85, ""))</f>
      </c>
      <c r="G85" s="5"/>
      <c r="H85" s="5"/>
      <c r="I85" s="5" t="str">
        <v>Labor</v>
      </c>
      <c r="J85" s="5" t="str">
        <v>Window</v>
      </c>
      <c r="K85" s="5" t="str">
        <v>Small</v>
      </c>
      <c r="L85" s="5" t="str">
        <v>Side</v>
      </c>
      <c r="M85" s="5" t="str">
        <v>DoubleFace</v>
      </c>
      <c r="N85" s="2" t="str">
        <v>B</v>
      </c>
      <c r="O85" s="11" t="str">
        <v>001</v>
      </c>
      <c r="P85" s="10">
        <v>100</v>
      </c>
      <c r="Q85" s="10">
        <v>20</v>
      </c>
      <c r="R85" s="10">
        <v>300</v>
      </c>
      <c r="S85" s="10" t="str">
        <v>DONE</v>
      </c>
      <c r="T85" s="10" t="str">
        <v>DONE</v>
      </c>
      <c r="U85" s="8"/>
      <c r="V85" s="8"/>
      <c r="W85" s="8"/>
      <c r="X85" s="8"/>
      <c r="Y85" s="8"/>
      <c r="Z85" s="8"/>
      <c r="AA85" s="8"/>
    </row>
    <row customHeight="true" hidden="true" ht="19" outlineLevel="2" r="86">
      <c r="A86" s="9"/>
      <c r="B86" s="9"/>
      <c r="C86" s="9"/>
      <c r="D86" s="9"/>
      <c r="E86" s="5">
        <f>IF(I86="","",     "BP_" &amp; I86 &amp;     IF(J86&lt;&gt;"", "_" &amp; J86, "") &amp;     IF(K86&lt;&gt;"", "_" &amp; K86, "") &amp;     IF(L86&lt;&gt;"", "_" &amp; L86, "") &amp;     IF(M86&lt;&gt;"", "_" &amp; M86, "") &amp;     IF(P86&lt;&gt;"", "_X" &amp; P86, "") &amp;     IF(Q86&lt;&gt;"", "_Y" &amp; Q86, "") &amp;     IF(R86&lt;&gt;"", "_Z" &amp; R86, "") &amp;     IF(N86&lt;&gt;"", "_" &amp; N86, "") &amp;     IF(O86&lt;&gt;"", "_" &amp; O86, ""))</f>
      </c>
      <c r="F86" s="5">
        <f>IF(I86="","",     "SM_" &amp; I86 &amp;     IF(J86&lt;&gt;"", "_" &amp; J86, "") &amp;     IF(K86&lt;&gt;"", "_" &amp; K86, "") &amp;     IF(L86&lt;&gt;"", "_" &amp; L86, "") &amp;     IF(M86&lt;&gt;"", "_" &amp; M86, "") &amp;     IF(P86&lt;&gt;"", "_X" &amp; P86, "") &amp;     IF(Q86&lt;&gt;"", "_Y" &amp; Q86, "") &amp;     IF(R86&lt;&gt;"", "_Z" &amp; R86, "") &amp;     IF(N86&lt;&gt;"", "_" &amp; N86, "") &amp;     IF(O86&lt;&gt;"", "_" &amp; O86, ""))</f>
      </c>
      <c r="G86" s="5"/>
      <c r="H86" s="5"/>
      <c r="I86" s="5" t="str">
        <v>Labor</v>
      </c>
      <c r="J86" s="5" t="str">
        <v>Window</v>
      </c>
      <c r="K86" s="5" t="str">
        <v>Small</v>
      </c>
      <c r="L86" s="5" t="str">
        <v>Side</v>
      </c>
      <c r="M86" s="5" t="str">
        <v>SingleFace</v>
      </c>
      <c r="N86" s="2" t="str">
        <v>A</v>
      </c>
      <c r="O86" s="11" t="str">
        <v>001</v>
      </c>
      <c r="P86" s="10">
        <v>100</v>
      </c>
      <c r="Q86" s="10">
        <v>20</v>
      </c>
      <c r="R86" s="10">
        <v>300</v>
      </c>
      <c r="S86" s="10" t="str">
        <v>DONE</v>
      </c>
      <c r="T86" s="10" t="str">
        <v>DONE</v>
      </c>
      <c r="U86" s="8"/>
      <c r="V86" s="8"/>
      <c r="W86" s="8"/>
      <c r="X86" s="8"/>
      <c r="Y86" s="8"/>
      <c r="Z86" s="8"/>
      <c r="AA86" s="8"/>
    </row>
    <row customHeight="true" hidden="true" ht="19" outlineLevel="2" r="87">
      <c r="A87" s="9"/>
      <c r="B87" s="9"/>
      <c r="C87" s="9"/>
      <c r="D87" s="9"/>
      <c r="E87" s="5">
        <f>IF(I87="","",     "BP_" &amp; I87 &amp;     IF(J87&lt;&gt;"", "_" &amp; J87, "") &amp;     IF(K87&lt;&gt;"", "_" &amp; K87, "") &amp;     IF(L87&lt;&gt;"", "_" &amp; L87, "") &amp;     IF(M87&lt;&gt;"", "_" &amp; M87, "") &amp;     IF(P87&lt;&gt;"", "_X" &amp; P87, "") &amp;     IF(Q87&lt;&gt;"", "_Y" &amp; Q87, "") &amp;     IF(R87&lt;&gt;"", "_Z" &amp; R87, "") &amp;     IF(N87&lt;&gt;"", "_" &amp; N87, "") &amp;     IF(O87&lt;&gt;"", "_" &amp; O87, ""))</f>
      </c>
      <c r="F87" s="5">
        <f>IF(I87="","",     "SM_" &amp; I87 &amp;     IF(J87&lt;&gt;"", "_" &amp; J87, "") &amp;     IF(K87&lt;&gt;"", "_" &amp; K87, "") &amp;     IF(L87&lt;&gt;"", "_" &amp; L87, "") &amp;     IF(M87&lt;&gt;"", "_" &amp; M87, "") &amp;     IF(P87&lt;&gt;"", "_X" &amp; P87, "") &amp;     IF(Q87&lt;&gt;"", "_Y" &amp; Q87, "") &amp;     IF(R87&lt;&gt;"", "_Z" &amp; R87, "") &amp;     IF(N87&lt;&gt;"", "_" &amp; N87, "") &amp;     IF(O87&lt;&gt;"", "_" &amp; O87, ""))</f>
      </c>
      <c r="G87" s="5"/>
      <c r="H87" s="5"/>
      <c r="I87" s="5" t="str">
        <v>Labor</v>
      </c>
      <c r="J87" s="5" t="str">
        <v>Window</v>
      </c>
      <c r="K87" s="5" t="str">
        <v>Small</v>
      </c>
      <c r="L87" s="5" t="str">
        <v>Side</v>
      </c>
      <c r="M87" s="5" t="str">
        <v>SingleFace</v>
      </c>
      <c r="N87" s="2" t="str">
        <v>B</v>
      </c>
      <c r="O87" s="11" t="str">
        <v>001</v>
      </c>
      <c r="P87" s="10">
        <v>100</v>
      </c>
      <c r="Q87" s="10">
        <v>20</v>
      </c>
      <c r="R87" s="10">
        <v>300</v>
      </c>
      <c r="S87" s="10" t="str">
        <v>DONE</v>
      </c>
      <c r="T87" s="10" t="str">
        <v>DONE</v>
      </c>
      <c r="U87" s="8"/>
      <c r="V87" s="8"/>
      <c r="W87" s="8"/>
      <c r="X87" s="8"/>
      <c r="Y87" s="8"/>
      <c r="Z87" s="8"/>
      <c r="AA87" s="8"/>
    </row>
    <row collapsed="true" r="88">
      <c r="A88" s="6"/>
      <c r="B88" s="6"/>
      <c r="C88" s="9" t="str">
        <v>Arch</v>
      </c>
      <c r="D88" s="6"/>
      <c r="E88" s="5"/>
      <c r="F88" s="5"/>
      <c r="G88" s="5"/>
      <c r="H88" s="5"/>
      <c r="I88" s="5"/>
      <c r="J88" s="4"/>
      <c r="K88" s="4"/>
      <c r="L88" s="4"/>
      <c r="M88" s="4"/>
      <c r="N88" s="4"/>
      <c r="O88" s="4"/>
      <c r="P88" s="8"/>
      <c r="Q88" s="8"/>
      <c r="R88" s="8"/>
      <c r="S88" s="10"/>
      <c r="T88" s="10"/>
      <c r="U88" s="8"/>
      <c r="V88" s="8"/>
      <c r="W88" s="8"/>
      <c r="X88" s="8"/>
      <c r="Y88" s="8"/>
      <c r="Z88" s="8"/>
      <c r="AA88" s="8"/>
    </row>
    <row hidden="true" outlineLevel="1" r="89">
      <c r="A89" s="9"/>
      <c r="B89" s="9"/>
      <c r="C89" s="9"/>
      <c r="D89" s="9"/>
      <c r="E89" s="5">
        <f>IF(I89="","",     "BP_" &amp; I89 &amp;     IF(J89&lt;&gt;"", "_" &amp; J89, "") &amp;     IF(K89&lt;&gt;"", "_" &amp; K89, "") &amp;     IF(L89&lt;&gt;"", "_" &amp; L89, "") &amp;     IF(M89&lt;&gt;"", "_" &amp; M89, "") &amp;     IF(P89&lt;&gt;"", "_X" &amp; P89, "") &amp;     IF(Q89&lt;&gt;"", "_Y" &amp; Q89, "") &amp;     IF(R89&lt;&gt;"", "_Z" &amp; R89, "") &amp;     IF(N89&lt;&gt;"", "_" &amp; N89, "") &amp;     IF(O89&lt;&gt;"", "_" &amp; O89, ""))</f>
      </c>
      <c r="F89" s="5">
        <f>IF(I89="","",     "SM_" &amp; I89 &amp;     IF(J89&lt;&gt;"", "_" &amp; J89, "") &amp;     IF(K89&lt;&gt;"", "_" &amp; K89, "") &amp;     IF(L89&lt;&gt;"", "_" &amp; L89, "") &amp;     IF(M89&lt;&gt;"", "_" &amp; M89, "") &amp;     IF(P89&lt;&gt;"", "_X" &amp; P89, "") &amp;     IF(Q89&lt;&gt;"", "_Y" &amp; Q89, "") &amp;     IF(R89&lt;&gt;"", "_Z" &amp; R89, "") &amp;     IF(N89&lt;&gt;"", "_" &amp; N89, "") &amp;     IF(O89&lt;&gt;"", "_" &amp; O89, ""))</f>
      </c>
      <c r="G89" s="5"/>
      <c r="H89" s="5"/>
      <c r="I89" s="5" t="str">
        <v>Labor</v>
      </c>
      <c r="J89" s="5" t="str">
        <v>Arch</v>
      </c>
      <c r="K89" s="5"/>
      <c r="L89" s="5"/>
      <c r="M89" s="5"/>
      <c r="N89" s="2" t="str">
        <v>A</v>
      </c>
      <c r="O89" s="11" t="str">
        <v>001</v>
      </c>
      <c r="P89" s="10">
        <v>400</v>
      </c>
      <c r="Q89" s="10">
        <v>40</v>
      </c>
      <c r="R89" s="10">
        <v>300</v>
      </c>
      <c r="S89" s="10"/>
      <c r="T89" s="10"/>
      <c r="U89" s="8"/>
      <c r="V89" s="8"/>
      <c r="W89" s="8"/>
      <c r="X89" s="8"/>
      <c r="Y89" s="8"/>
      <c r="Z89" s="8"/>
      <c r="AA89" s="8"/>
    </row>
    <row r="90">
      <c r="A90" s="6"/>
      <c r="B90" s="6"/>
      <c r="C90" s="6"/>
      <c r="D90" s="6"/>
      <c r="E90" s="5">
        <f>IF(I90="","",     "BP_" &amp; I90 &amp;     IF(J90&lt;&gt;"", "_" &amp; J90, "") &amp;     IF(K90&lt;&gt;"", "_" &amp; K90, "") &amp;     IF(L90&lt;&gt;"", "_" &amp; L90, "") &amp;     IF(M90&lt;&gt;"", "_" &amp; M90, "") &amp;     IF(P90&lt;&gt;"", "_X" &amp; P90, "") &amp;     IF(Q90&lt;&gt;"", "_Y" &amp; Q90, "") &amp;     IF(R90&lt;&gt;"", "_Z" &amp; R90, "") &amp;     IF(N90&lt;&gt;"", "_" &amp; N90, "") &amp;     IF(O90&lt;&gt;"", "_" &amp; O90, ""))</f>
      </c>
      <c r="F90" s="5">
        <f>IF(I90="","",     "SM_" &amp; I90 &amp;     IF(J90&lt;&gt;"", "_" &amp; J90, "") &amp;     IF(K90&lt;&gt;"", "_" &amp; K90, "") &amp;     IF(L90&lt;&gt;"", "_" &amp; L90, "") &amp;     IF(M90&lt;&gt;"", "_" &amp; M90, "") &amp;     IF(P90&lt;&gt;"", "_X" &amp; P90, "") &amp;     IF(Q90&lt;&gt;"", "_Y" &amp; Q90, "") &amp;     IF(R90&lt;&gt;"", "_Z" &amp; R90, "") &amp;     IF(N90&lt;&gt;"", "_" &amp; N90, "") &amp;     IF(O90&lt;&gt;"", "_" &amp; O90, ""))</f>
      </c>
      <c r="G90" s="4"/>
      <c r="H90" s="4"/>
      <c r="I90" s="4"/>
      <c r="J90" s="4"/>
      <c r="K90" s="4"/>
      <c r="L90" s="4"/>
      <c r="M90" s="4"/>
      <c r="N90" s="4"/>
      <c r="O90" s="4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6"/>
      <c r="B91" s="6"/>
      <c r="C91" s="6"/>
      <c r="D91" s="6"/>
      <c r="E91" s="5">
        <f>IF(I91="","",     "BP_" &amp; I91 &amp;     IF(J91&lt;&gt;"", "_" &amp; J91, "") &amp;     IF(K91&lt;&gt;"", "_" &amp; K91, "") &amp;     IF(L91&lt;&gt;"", "_" &amp; L91, "") &amp;     IF(M91&lt;&gt;"", "_" &amp; M91, "") &amp;     IF(P91&lt;&gt;"", "_X" &amp; P91, "") &amp;     IF(Q91&lt;&gt;"", "_Y" &amp; Q91, "") &amp;     IF(R91&lt;&gt;"", "_Z" &amp; R91, "") &amp;     IF(N91&lt;&gt;"", "_" &amp; N91, "") &amp;     IF(O91&lt;&gt;"", "_" &amp; O91, ""))</f>
      </c>
      <c r="F91" s="5">
        <f>IF(I91="","",     "SM_" &amp; I91 &amp;     IF(J91&lt;&gt;"", "_" &amp; J91, "") &amp;     IF(K91&lt;&gt;"", "_" &amp; K91, "") &amp;     IF(L91&lt;&gt;"", "_" &amp; L91, "") &amp;     IF(M91&lt;&gt;"", "_" &amp; M91, "") &amp;     IF(P91&lt;&gt;"", "_X" &amp; P91, "") &amp;     IF(Q91&lt;&gt;"", "_Y" &amp; Q91, "") &amp;     IF(R91&lt;&gt;"", "_Z" &amp; R91, "") &amp;     IF(N91&lt;&gt;"", "_" &amp; N91, "") &amp;     IF(O91&lt;&gt;"", "_" &amp; O91, ""))</f>
      </c>
      <c r="G91" s="4"/>
      <c r="H91" s="4"/>
      <c r="I91" s="4"/>
      <c r="J91" s="4"/>
      <c r="K91" s="4"/>
      <c r="L91" s="4"/>
      <c r="M91" s="4"/>
      <c r="N91" s="4"/>
      <c r="O91" s="4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"/>
      <c r="B92" s="6"/>
      <c r="C92" s="6"/>
      <c r="D92" s="6"/>
      <c r="E92" s="5">
        <f>IF(I92="","",     "BP_" &amp; I92 &amp;     IF(J92&lt;&gt;"", "_" &amp; J92, "") &amp;     IF(K92&lt;&gt;"", "_" &amp; K92, "") &amp;     IF(L92&lt;&gt;"", "_" &amp; L92, "") &amp;     IF(M92&lt;&gt;"", "_" &amp; M92, "") &amp;     IF(P92&lt;&gt;"", "_X" &amp; P92, "") &amp;     IF(Q92&lt;&gt;"", "_Y" &amp; Q92, "") &amp;     IF(R92&lt;&gt;"", "_Z" &amp; R92, "") &amp;     IF(N92&lt;&gt;"", "_" &amp; N92, "") &amp;     IF(O92&lt;&gt;"", "_" &amp; O92, ""))</f>
      </c>
      <c r="F92" s="5">
        <f>IF(I92="","",     "SM_" &amp; I92 &amp;     IF(J92&lt;&gt;"", "_" &amp; J92, "") &amp;     IF(K92&lt;&gt;"", "_" &amp; K92, "") &amp;     IF(L92&lt;&gt;"", "_" &amp; L92, "") &amp;     IF(M92&lt;&gt;"", "_" &amp; M92, "") &amp;     IF(P92&lt;&gt;"", "_X" &amp; P92, "") &amp;     IF(Q92&lt;&gt;"", "_Y" &amp; Q92, "") &amp;     IF(R92&lt;&gt;"", "_Z" &amp; R92, "") &amp;     IF(N92&lt;&gt;"", "_" &amp; N92, "") &amp;     IF(O92&lt;&gt;"", "_" &amp; O92, ""))</f>
      </c>
      <c r="G92" s="4"/>
      <c r="H92" s="4"/>
      <c r="I92" s="4"/>
      <c r="J92" s="4"/>
      <c r="K92" s="4"/>
      <c r="L92" s="4"/>
      <c r="M92" s="4"/>
      <c r="N92" s="4"/>
      <c r="O92" s="4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6"/>
      <c r="B93" s="6"/>
      <c r="C93" s="6"/>
      <c r="D93" s="6"/>
      <c r="E93" s="5">
        <f>IF(I93="","",     "BP_" &amp; I93 &amp;     IF(J93&lt;&gt;"", "_" &amp; J93, "") &amp;     IF(K93&lt;&gt;"", "_" &amp; K93, "") &amp;     IF(L93&lt;&gt;"", "_" &amp; L93, "") &amp;     IF(M93&lt;&gt;"", "_" &amp; M93, "") &amp;     IF(P93&lt;&gt;"", "_X" &amp; P93, "") &amp;     IF(Q93&lt;&gt;"", "_Y" &amp; Q93, "") &amp;     IF(R93&lt;&gt;"", "_Z" &amp; R93, "") &amp;     IF(N93&lt;&gt;"", "_" &amp; N93, "") &amp;     IF(O93&lt;&gt;"", "_" &amp; O93, ""))</f>
      </c>
      <c r="F93" s="5">
        <f>IF(I93="","",     "SM_" &amp; I93 &amp;     IF(J93&lt;&gt;"", "_" &amp; J93, "") &amp;     IF(K93&lt;&gt;"", "_" &amp; K93, "") &amp;     IF(L93&lt;&gt;"", "_" &amp; L93, "") &amp;     IF(M93&lt;&gt;"", "_" &amp; M93, "") &amp;     IF(P93&lt;&gt;"", "_X" &amp; P93, "") &amp;     IF(Q93&lt;&gt;"", "_Y" &amp; Q93, "") &amp;     IF(R93&lt;&gt;"", "_Z" &amp; R93, "") &amp;     IF(N93&lt;&gt;"", "_" &amp; N93, "") &amp;     IF(O93&lt;&gt;"", "_" &amp; O93, ""))</f>
      </c>
      <c r="G93" s="4"/>
      <c r="H93" s="4"/>
      <c r="I93" s="4"/>
      <c r="J93" s="4"/>
      <c r="K93" s="4"/>
      <c r="L93" s="4"/>
      <c r="M93" s="4"/>
      <c r="N93" s="4"/>
      <c r="O93" s="4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6"/>
      <c r="C94" s="6"/>
      <c r="D94" s="6"/>
      <c r="E94" s="5">
        <f>IF(I94="","",     "BP_" &amp; I94 &amp;     IF(J94&lt;&gt;"", "_" &amp; J94, "") &amp;     IF(K94&lt;&gt;"", "_" &amp; K94, "") &amp;     IF(L94&lt;&gt;"", "_" &amp; L94, "") &amp;     IF(M94&lt;&gt;"", "_" &amp; M94, "") &amp;     IF(P94&lt;&gt;"", "_X" &amp; P94, "") &amp;     IF(Q94&lt;&gt;"", "_Y" &amp; Q94, "") &amp;     IF(R94&lt;&gt;"", "_Z" &amp; R94, "") &amp;     IF(N94&lt;&gt;"", "_" &amp; N94, "") &amp;     IF(O94&lt;&gt;"", "_" &amp; O94, ""))</f>
      </c>
      <c r="F94" s="5">
        <f>IF(I94="","",     "SM_" &amp; I94 &amp;     IF(J94&lt;&gt;"", "_" &amp; J94, "") &amp;     IF(K94&lt;&gt;"", "_" &amp; K94, "") &amp;     IF(L94&lt;&gt;"", "_" &amp; L94, "") &amp;     IF(M94&lt;&gt;"", "_" &amp; M94, "") &amp;     IF(P94&lt;&gt;"", "_X" &amp; P94, "") &amp;     IF(Q94&lt;&gt;"", "_Y" &amp; Q94, "") &amp;     IF(R94&lt;&gt;"", "_Z" &amp; R94, "") &amp;     IF(N94&lt;&gt;"", "_" &amp; N94, "") &amp;     IF(O94&lt;&gt;"", "_" &amp; O94, ""))</f>
      </c>
      <c r="G94" s="4"/>
      <c r="H94" s="4"/>
      <c r="I94" s="4"/>
      <c r="J94" s="4"/>
      <c r="K94" s="4"/>
      <c r="L94" s="4"/>
      <c r="M94" s="4"/>
      <c r="N94" s="4"/>
      <c r="O94" s="4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6"/>
      <c r="C95" s="6"/>
      <c r="D95" s="6"/>
      <c r="E95" s="5">
        <f>IF(I95="","",     "BP_" &amp; I95 &amp;     IF(J95&lt;&gt;"", "_" &amp; J95, "") &amp;     IF(K95&lt;&gt;"", "_" &amp; K95, "") &amp;     IF(L95&lt;&gt;"", "_" &amp; L95, "") &amp;     IF(M95&lt;&gt;"", "_" &amp; M95, "") &amp;     IF(P95&lt;&gt;"", "_X" &amp; P95, "") &amp;     IF(Q95&lt;&gt;"", "_Y" &amp; Q95, "") &amp;     IF(R95&lt;&gt;"", "_Z" &amp; R95, "") &amp;     IF(N95&lt;&gt;"", "_" &amp; N95, "") &amp;     IF(O95&lt;&gt;"", "_" &amp; O95, ""))</f>
      </c>
      <c r="F95" s="5">
        <f>IF(I95="","",     "SM_" &amp; I95 &amp;     IF(J95&lt;&gt;"", "_" &amp; J95, "") &amp;     IF(K95&lt;&gt;"", "_" &amp; K95, "") &amp;     IF(L95&lt;&gt;"", "_" &amp; L95, "") &amp;     IF(M95&lt;&gt;"", "_" &amp; M95, "") &amp;     IF(P95&lt;&gt;"", "_X" &amp; P95, "") &amp;     IF(Q95&lt;&gt;"", "_Y" &amp; Q95, "") &amp;     IF(R95&lt;&gt;"", "_Z" &amp; R95, "") &amp;     IF(N95&lt;&gt;"", "_" &amp; N95, "") &amp;     IF(O95&lt;&gt;"", "_" &amp; O95, ""))</f>
      </c>
      <c r="G95" s="4"/>
      <c r="H95" s="4"/>
      <c r="I95" s="4"/>
      <c r="J95" s="4"/>
      <c r="K95" s="4"/>
      <c r="L95" s="4"/>
      <c r="M95" s="4"/>
      <c r="N95" s="4"/>
      <c r="O95" s="4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/>
      <c r="B96" s="6"/>
      <c r="C96" s="6"/>
      <c r="D96" s="6"/>
      <c r="E96" s="5">
        <f>IF(I96="","",     "BP_" &amp; I96 &amp;     IF(J96&lt;&gt;"", "_" &amp; J96, "") &amp;     IF(K96&lt;&gt;"", "_" &amp; K96, "") &amp;     IF(L96&lt;&gt;"", "_" &amp; L96, "") &amp;     IF(M96&lt;&gt;"", "_" &amp; M96, "") &amp;     IF(P96&lt;&gt;"", "_X" &amp; P96, "") &amp;     IF(Q96&lt;&gt;"", "_Y" &amp; Q96, "") &amp;     IF(R96&lt;&gt;"", "_Z" &amp; R96, "") &amp;     IF(N96&lt;&gt;"", "_" &amp; N96, "") &amp;     IF(O96&lt;&gt;"", "_" &amp; O96, ""))</f>
      </c>
      <c r="F96" s="5">
        <f>IF(I96="","",     "SM_" &amp; I96 &amp;     IF(J96&lt;&gt;"", "_" &amp; J96, "") &amp;     IF(K96&lt;&gt;"", "_" &amp; K96, "") &amp;     IF(L96&lt;&gt;"", "_" &amp; L96, "") &amp;     IF(M96&lt;&gt;"", "_" &amp; M96, "") &amp;     IF(P96&lt;&gt;"", "_X" &amp; P96, "") &amp;     IF(Q96&lt;&gt;"", "_Y" &amp; Q96, "") &amp;     IF(R96&lt;&gt;"", "_Z" &amp; R96, "") &amp;     IF(N96&lt;&gt;"", "_" &amp; N96, "") &amp;     IF(O96&lt;&gt;"", "_" &amp; O96, ""))</f>
      </c>
      <c r="G96" s="4"/>
      <c r="H96" s="4"/>
      <c r="I96" s="4"/>
      <c r="J96" s="4"/>
      <c r="K96" s="4"/>
      <c r="L96" s="4"/>
      <c r="M96" s="4"/>
      <c r="N96" s="4"/>
      <c r="O96" s="4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"/>
      <c r="B97" s="6"/>
      <c r="C97" s="6"/>
      <c r="D97" s="6"/>
      <c r="E97" s="5">
        <f>IF(I97="","",     "BP_" &amp; I97 &amp;     IF(J97&lt;&gt;"", "_" &amp; J97, "") &amp;     IF(K97&lt;&gt;"", "_" &amp; K97, "") &amp;     IF(L97&lt;&gt;"", "_" &amp; L97, "") &amp;     IF(M97&lt;&gt;"", "_" &amp; M97, "") &amp;     IF(P97&lt;&gt;"", "_X" &amp; P97, "") &amp;     IF(Q97&lt;&gt;"", "_Y" &amp; Q97, "") &amp;     IF(R97&lt;&gt;"", "_Z" &amp; R97, "") &amp;     IF(N97&lt;&gt;"", "_" &amp; N97, "") &amp;     IF(O97&lt;&gt;"", "_" &amp; O97, ""))</f>
      </c>
      <c r="F97" s="5">
        <f>IF(I97="","",     "SM_" &amp; I97 &amp;     IF(J97&lt;&gt;"", "_" &amp; J97, "") &amp;     IF(K97&lt;&gt;"", "_" &amp; K97, "") &amp;     IF(L97&lt;&gt;"", "_" &amp; L97, "") &amp;     IF(M97&lt;&gt;"", "_" &amp; M97, "") &amp;     IF(P97&lt;&gt;"", "_X" &amp; P97, "") &amp;     IF(Q97&lt;&gt;"", "_Y" &amp; Q97, "") &amp;     IF(R97&lt;&gt;"", "_Z" &amp; R97, "") &amp;     IF(N97&lt;&gt;"", "_" &amp; N97, "") &amp;     IF(O97&lt;&gt;"", "_" &amp; O97, ""))</f>
      </c>
      <c r="G97" s="4"/>
      <c r="H97" s="4"/>
      <c r="I97" s="4"/>
      <c r="J97" s="4"/>
      <c r="K97" s="4"/>
      <c r="L97" s="4"/>
      <c r="M97" s="4"/>
      <c r="N97" s="4"/>
      <c r="O97" s="4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6"/>
      <c r="B98" s="6"/>
      <c r="C98" s="6"/>
      <c r="D98" s="6"/>
      <c r="E98" s="5">
        <f>IF(I98="","",     "BP_" &amp; I98 &amp;     IF(J98&lt;&gt;"", "_" &amp; J98, "") &amp;     IF(K98&lt;&gt;"", "_" &amp; K98, "") &amp;     IF(L98&lt;&gt;"", "_" &amp; L98, "") &amp;     IF(M98&lt;&gt;"", "_" &amp; M98, "") &amp;     IF(P98&lt;&gt;"", "_X" &amp; P98, "") &amp;     IF(Q98&lt;&gt;"", "_Y" &amp; Q98, "") &amp;     IF(R98&lt;&gt;"", "_Z" &amp; R98, "") &amp;     IF(N98&lt;&gt;"", "_" &amp; N98, "") &amp;     IF(O98&lt;&gt;"", "_" &amp; O98, ""))</f>
      </c>
      <c r="F98" s="5">
        <f>IF(I98="","",     "SM_" &amp; I98 &amp;     IF(J98&lt;&gt;"", "_" &amp; J98, "") &amp;     IF(K98&lt;&gt;"", "_" &amp; K98, "") &amp;     IF(L98&lt;&gt;"", "_" &amp; L98, "") &amp;     IF(M98&lt;&gt;"", "_" &amp; M98, "") &amp;     IF(P98&lt;&gt;"", "_X" &amp; P98, "") &amp;     IF(Q98&lt;&gt;"", "_Y" &amp; Q98, "") &amp;     IF(R98&lt;&gt;"", "_Z" &amp; R98, "") &amp;     IF(N98&lt;&gt;"", "_" &amp; N98, "") &amp;     IF(O98&lt;&gt;"", "_" &amp; O98, ""))</f>
      </c>
      <c r="G98" s="4"/>
      <c r="H98" s="4"/>
      <c r="I98" s="4"/>
      <c r="J98" s="4"/>
      <c r="K98" s="4"/>
      <c r="L98" s="4"/>
      <c r="M98" s="4"/>
      <c r="N98" s="4"/>
      <c r="O98" s="4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"/>
      <c r="B99" s="6"/>
      <c r="C99" s="6"/>
      <c r="D99" s="6"/>
      <c r="E99" s="5">
        <f>IF(I99="","",     "BP_" &amp; I99 &amp;     IF(J99&lt;&gt;"", "_" &amp; J99, "") &amp;     IF(K99&lt;&gt;"", "_" &amp; K99, "") &amp;     IF(L99&lt;&gt;"", "_" &amp; L99, "") &amp;     IF(M99&lt;&gt;"", "_" &amp; M99, "") &amp;     IF(P99&lt;&gt;"", "_X" &amp; P99, "") &amp;     IF(Q99&lt;&gt;"", "_Y" &amp; Q99, "") &amp;     IF(R99&lt;&gt;"", "_Z" &amp; R99, "") &amp;     IF(N99&lt;&gt;"", "_" &amp; N99, "") &amp;     IF(O99&lt;&gt;"", "_" &amp; O99, ""))</f>
      </c>
      <c r="F99" s="5">
        <f>IF(I99="","",     "SM_" &amp; I99 &amp;     IF(J99&lt;&gt;"", "_" &amp; J99, "") &amp;     IF(K99&lt;&gt;"", "_" &amp; K99, "") &amp;     IF(L99&lt;&gt;"", "_" &amp; L99, "") &amp;     IF(M99&lt;&gt;"", "_" &amp; M99, "") &amp;     IF(P99&lt;&gt;"", "_X" &amp; P99, "") &amp;     IF(Q99&lt;&gt;"", "_Y" &amp; Q99, "") &amp;     IF(R99&lt;&gt;"", "_Z" &amp; R99, "") &amp;     IF(N99&lt;&gt;"", "_" &amp; N99, "") &amp;     IF(O99&lt;&gt;"", "_" &amp; O99, ""))</f>
      </c>
      <c r="G99" s="4"/>
      <c r="H99" s="4"/>
      <c r="I99" s="4"/>
      <c r="J99" s="4"/>
      <c r="K99" s="4"/>
      <c r="L99" s="4"/>
      <c r="M99" s="4"/>
      <c r="N99" s="4"/>
      <c r="O99" s="4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6"/>
      <c r="B100" s="6"/>
      <c r="C100" s="6"/>
      <c r="D100" s="6"/>
      <c r="E100" s="5">
        <f>IF(I100="","",     "BP_" &amp; I100 &amp;     IF(J100&lt;&gt;"", "_" &amp; J100, "") &amp;     IF(K100&lt;&gt;"", "_" &amp; K100, "") &amp;     IF(L100&lt;&gt;"", "_" &amp; L100, "") &amp;     IF(M100&lt;&gt;"", "_" &amp; M100, "") &amp;     IF(P100&lt;&gt;"", "_X" &amp; P100, "") &amp;     IF(Q100&lt;&gt;"", "_Y" &amp; Q100, "") &amp;     IF(R100&lt;&gt;"", "_Z" &amp; R100, "") &amp;     IF(N100&lt;&gt;"", "_" &amp; N100, "") &amp;     IF(O100&lt;&gt;"", "_" &amp; O100, ""))</f>
      </c>
      <c r="F100" s="5">
        <f>IF(I100="","",     "SM_" &amp; I100 &amp;     IF(J100&lt;&gt;"", "_" &amp; J100, "") &amp;     IF(K100&lt;&gt;"", "_" &amp; K100, "") &amp;     IF(L100&lt;&gt;"", "_" &amp; L100, "") &amp;     IF(M100&lt;&gt;"", "_" &amp; M100, "") &amp;     IF(P100&lt;&gt;"", "_X" &amp; P100, "") &amp;     IF(Q100&lt;&gt;"", "_Y" &amp; Q100, "") &amp;     IF(R100&lt;&gt;"", "_Z" &amp; R100, "") &amp;     IF(N100&lt;&gt;"", "_" &amp; N100, "") &amp;     IF(O100&lt;&gt;"", "_" &amp; O100, ""))</f>
      </c>
      <c r="G100" s="4"/>
      <c r="H100" s="4"/>
      <c r="I100" s="4"/>
      <c r="J100" s="4"/>
      <c r="K100" s="4"/>
      <c r="L100" s="4"/>
      <c r="M100" s="4"/>
      <c r="N100" s="4"/>
      <c r="O100" s="4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6"/>
      <c r="B101" s="6"/>
      <c r="C101" s="6"/>
      <c r="D101" s="6"/>
      <c r="E101" s="5">
        <f>IF(I101="","",     "BP_" &amp; I101 &amp;     IF(J101&lt;&gt;"", "_" &amp; J101, "") &amp;     IF(K101&lt;&gt;"", "_" &amp; K101, "") &amp;     IF(L101&lt;&gt;"", "_" &amp; L101, "") &amp;     IF(M101&lt;&gt;"", "_" &amp; M101, "") &amp;     IF(P101&lt;&gt;"", "_X" &amp; P101, "") &amp;     IF(Q101&lt;&gt;"", "_Y" &amp; Q101, "") &amp;     IF(R101&lt;&gt;"", "_Z" &amp; R101, "") &amp;     IF(N101&lt;&gt;"", "_" &amp; N101, "") &amp;     IF(O101&lt;&gt;"", "_" &amp; O101, ""))</f>
      </c>
      <c r="F101" s="5">
        <f>IF(I101="","",     "SM_" &amp; I101 &amp;     IF(J101&lt;&gt;"", "_" &amp; J101, "") &amp;     IF(K101&lt;&gt;"", "_" &amp; K101, "") &amp;     IF(L101&lt;&gt;"", "_" &amp; L101, "") &amp;     IF(M101&lt;&gt;"", "_" &amp; M101, "") &amp;     IF(P101&lt;&gt;"", "_X" &amp; P101, "") &amp;     IF(Q101&lt;&gt;"", "_Y" &amp; Q101, "") &amp;     IF(R101&lt;&gt;"", "_Z" &amp; R101, "") &amp;     IF(N101&lt;&gt;"", "_" &amp; N101, "") &amp;     IF(O101&lt;&gt;"", "_" &amp; O101, ""))</f>
      </c>
      <c r="G101" s="4"/>
      <c r="H101" s="4"/>
      <c r="I101" s="4"/>
      <c r="J101" s="4"/>
      <c r="K101" s="4"/>
      <c r="L101" s="4"/>
      <c r="M101" s="4"/>
      <c r="N101" s="4"/>
      <c r="O101" s="4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6"/>
      <c r="B102" s="6"/>
      <c r="C102" s="6"/>
      <c r="D102" s="6"/>
      <c r="E102" s="5">
        <f>IF(I102="","",     "BP_" &amp; I102 &amp;     IF(J102&lt;&gt;"", "_" &amp; J102, "") &amp;     IF(K102&lt;&gt;"", "_" &amp; K102, "") &amp;     IF(L102&lt;&gt;"", "_" &amp; L102, "") &amp;     IF(M102&lt;&gt;"", "_" &amp; M102, "") &amp;     IF(P102&lt;&gt;"", "_X" &amp; P102, "") &amp;     IF(Q102&lt;&gt;"", "_Y" &amp; Q102, "") &amp;     IF(R102&lt;&gt;"", "_Z" &amp; R102, "") &amp;     IF(N102&lt;&gt;"", "_" &amp; N102, "") &amp;     IF(O102&lt;&gt;"", "_" &amp; O102, ""))</f>
      </c>
      <c r="F102" s="5">
        <f>IF(I102="","",     "SM_" &amp; I102 &amp;     IF(J102&lt;&gt;"", "_" &amp; J102, "") &amp;     IF(K102&lt;&gt;"", "_" &amp; K102, "") &amp;     IF(L102&lt;&gt;"", "_" &amp; L102, "") &amp;     IF(M102&lt;&gt;"", "_" &amp; M102, "") &amp;     IF(P102&lt;&gt;"", "_X" &amp; P102, "") &amp;     IF(Q102&lt;&gt;"", "_Y" &amp; Q102, "") &amp;     IF(R102&lt;&gt;"", "_Z" &amp; R102, "") &amp;     IF(N102&lt;&gt;"", "_" &amp; N102, "") &amp;     IF(O102&lt;&gt;"", "_" &amp; O102, ""))</f>
      </c>
      <c r="G102" s="4"/>
      <c r="H102" s="4"/>
      <c r="I102" s="4"/>
      <c r="J102" s="4"/>
      <c r="K102" s="4"/>
      <c r="L102" s="4"/>
      <c r="M102" s="4"/>
      <c r="N102" s="4"/>
      <c r="O102" s="4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6"/>
      <c r="B103" s="6"/>
      <c r="C103" s="6"/>
      <c r="D103" s="6"/>
      <c r="E103" s="5">
        <f>IF(I103="","",     "BP_" &amp; I103 &amp;     IF(J103&lt;&gt;"", "_" &amp; J103, "") &amp;     IF(K103&lt;&gt;"", "_" &amp; K103, "") &amp;     IF(L103&lt;&gt;"", "_" &amp; L103, "") &amp;     IF(M103&lt;&gt;"", "_" &amp; M103, "") &amp;     IF(P103&lt;&gt;"", "_X" &amp; P103, "") &amp;     IF(Q103&lt;&gt;"", "_Y" &amp; Q103, "") &amp;     IF(R103&lt;&gt;"", "_Z" &amp; R103, "") &amp;     IF(N103&lt;&gt;"", "_" &amp; N103, "") &amp;     IF(O103&lt;&gt;"", "_" &amp; O103, ""))</f>
      </c>
      <c r="F103" s="5">
        <f>IF(I103="","",     "SM_" &amp; I103 &amp;     IF(J103&lt;&gt;"", "_" &amp; J103, "") &amp;     IF(K103&lt;&gt;"", "_" &amp; K103, "") &amp;     IF(L103&lt;&gt;"", "_" &amp; L103, "") &amp;     IF(M103&lt;&gt;"", "_" &amp; M103, "") &amp;     IF(P103&lt;&gt;"", "_X" &amp; P103, "") &amp;     IF(Q103&lt;&gt;"", "_Y" &amp; Q103, "") &amp;     IF(R103&lt;&gt;"", "_Z" &amp; R103, "") &amp;     IF(N103&lt;&gt;"", "_" &amp; N103, "") &amp;     IF(O103&lt;&gt;"", "_" &amp; O103, ""))</f>
      </c>
      <c r="G103" s="4"/>
      <c r="H103" s="4"/>
      <c r="I103" s="4"/>
      <c r="J103" s="4"/>
      <c r="K103" s="4"/>
      <c r="L103" s="4"/>
      <c r="M103" s="4"/>
      <c r="N103" s="4"/>
      <c r="O103" s="4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6"/>
      <c r="B104" s="6"/>
      <c r="C104" s="6"/>
      <c r="D104" s="6"/>
      <c r="E104" s="5">
        <f>IF(I104="","",     "BP_" &amp; I104 &amp;     IF(J104&lt;&gt;"", "_" &amp; J104, "") &amp;     IF(K104&lt;&gt;"", "_" &amp; K104, "") &amp;     IF(L104&lt;&gt;"", "_" &amp; L104, "") &amp;     IF(M104&lt;&gt;"", "_" &amp; M104, "") &amp;     IF(P104&lt;&gt;"", "_X" &amp; P104, "") &amp;     IF(Q104&lt;&gt;"", "_Y" &amp; Q104, "") &amp;     IF(R104&lt;&gt;"", "_Z" &amp; R104, "") &amp;     IF(N104&lt;&gt;"", "_" &amp; N104, "") &amp;     IF(O104&lt;&gt;"", "_" &amp; O104, ""))</f>
      </c>
      <c r="F104" s="5">
        <f>IF(I104="","",     "SM_" &amp; I104 &amp;     IF(J104&lt;&gt;"", "_" &amp; J104, "") &amp;     IF(K104&lt;&gt;"", "_" &amp; K104, "") &amp;     IF(L104&lt;&gt;"", "_" &amp; L104, "") &amp;     IF(M104&lt;&gt;"", "_" &amp; M104, "") &amp;     IF(P104&lt;&gt;"", "_X" &amp; P104, "") &amp;     IF(Q104&lt;&gt;"", "_Y" &amp; Q104, "") &amp;     IF(R104&lt;&gt;"", "_Z" &amp; R104, "") &amp;     IF(N104&lt;&gt;"", "_" &amp; N104, "") &amp;     IF(O104&lt;&gt;"", "_" &amp; O104, ""))</f>
      </c>
      <c r="G104" s="4"/>
      <c r="H104" s="4"/>
      <c r="I104" s="4"/>
      <c r="J104" s="4"/>
      <c r="K104" s="4"/>
      <c r="L104" s="4"/>
      <c r="M104" s="4"/>
      <c r="N104" s="4"/>
      <c r="O104" s="4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6"/>
      <c r="B105" s="6"/>
      <c r="C105" s="6"/>
      <c r="D105" s="6"/>
      <c r="E105" s="5">
        <f>IF(I105="","",     "BP_" &amp; I105 &amp;     IF(J105&lt;&gt;"", "_" &amp; J105, "") &amp;     IF(K105&lt;&gt;"", "_" &amp; K105, "") &amp;     IF(L105&lt;&gt;"", "_" &amp; L105, "") &amp;     IF(M105&lt;&gt;"", "_" &amp; M105, "") &amp;     IF(P105&lt;&gt;"", "_X" &amp; P105, "") &amp;     IF(Q105&lt;&gt;"", "_Y" &amp; Q105, "") &amp;     IF(R105&lt;&gt;"", "_Z" &amp; R105, "") &amp;     IF(N105&lt;&gt;"", "_" &amp; N105, "") &amp;     IF(O105&lt;&gt;"", "_" &amp; O105, ""))</f>
      </c>
      <c r="F105" s="5">
        <f>IF(I105="","",     "SM_" &amp; I105 &amp;     IF(J105&lt;&gt;"", "_" &amp; J105, "") &amp;     IF(K105&lt;&gt;"", "_" &amp; K105, "") &amp;     IF(L105&lt;&gt;"", "_" &amp; L105, "") &amp;     IF(M105&lt;&gt;"", "_" &amp; M105, "") &amp;     IF(P105&lt;&gt;"", "_X" &amp; P105, "") &amp;     IF(Q105&lt;&gt;"", "_Y" &amp; Q105, "") &amp;     IF(R105&lt;&gt;"", "_Z" &amp; R105, "") &amp;     IF(N105&lt;&gt;"", "_" &amp; N105, "") &amp;     IF(O105&lt;&gt;"", "_" &amp; O105, ""))</f>
      </c>
      <c r="G105" s="4"/>
      <c r="H105" s="4"/>
      <c r="I105" s="4"/>
      <c r="J105" s="4"/>
      <c r="K105" s="4"/>
      <c r="L105" s="4"/>
      <c r="M105" s="4"/>
      <c r="N105" s="4"/>
      <c r="O105" s="4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6"/>
      <c r="B106" s="6"/>
      <c r="C106" s="6"/>
      <c r="D106" s="6"/>
      <c r="E106" s="5">
        <f>IF(I106="","",     "BP_" &amp; I106 &amp;     IF(J106&lt;&gt;"", "_" &amp; J106, "") &amp;     IF(K106&lt;&gt;"", "_" &amp; K106, "") &amp;     IF(L106&lt;&gt;"", "_" &amp; L106, "") &amp;     IF(M106&lt;&gt;"", "_" &amp; M106, "") &amp;     IF(P106&lt;&gt;"", "_X" &amp; P106, "") &amp;     IF(Q106&lt;&gt;"", "_Y" &amp; Q106, "") &amp;     IF(R106&lt;&gt;"", "_Z" &amp; R106, "") &amp;     IF(N106&lt;&gt;"", "_" &amp; N106, "") &amp;     IF(O106&lt;&gt;"", "_" &amp; O106, ""))</f>
      </c>
      <c r="F106" s="5">
        <f>IF(I106="","",     "SM_" &amp; I106 &amp;     IF(J106&lt;&gt;"", "_" &amp; J106, "") &amp;     IF(K106&lt;&gt;"", "_" &amp; K106, "") &amp;     IF(L106&lt;&gt;"", "_" &amp; L106, "") &amp;     IF(M106&lt;&gt;"", "_" &amp; M106, "") &amp;     IF(P106&lt;&gt;"", "_X" &amp; P106, "") &amp;     IF(Q106&lt;&gt;"", "_Y" &amp; Q106, "") &amp;     IF(R106&lt;&gt;"", "_Z" &amp; R106, "") &amp;     IF(N106&lt;&gt;"", "_" &amp; N106, "") &amp;     IF(O106&lt;&gt;"", "_" &amp; O106, ""))</f>
      </c>
      <c r="G106" s="4"/>
      <c r="H106" s="4"/>
      <c r="I106" s="4"/>
      <c r="J106" s="4"/>
      <c r="K106" s="4"/>
      <c r="L106" s="4"/>
      <c r="M106" s="4"/>
      <c r="N106" s="4"/>
      <c r="O106" s="4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6"/>
      <c r="B107" s="6"/>
      <c r="C107" s="6"/>
      <c r="D107" s="6"/>
      <c r="E107" s="5">
        <f>IF(I107="","",     "BP_" &amp; I107 &amp;     IF(J107&lt;&gt;"", "_" &amp; J107, "") &amp;     IF(K107&lt;&gt;"", "_" &amp; K107, "") &amp;     IF(L107&lt;&gt;"", "_" &amp; L107, "") &amp;     IF(M107&lt;&gt;"", "_" &amp; M107, "") &amp;     IF(P107&lt;&gt;"", "_X" &amp; P107, "") &amp;     IF(Q107&lt;&gt;"", "_Y" &amp; Q107, "") &amp;     IF(R107&lt;&gt;"", "_Z" &amp; R107, "") &amp;     IF(N107&lt;&gt;"", "_" &amp; N107, "") &amp;     IF(O107&lt;&gt;"", "_" &amp; O107, ""))</f>
      </c>
      <c r="F107" s="5">
        <f>IF(I107="","",     "SM_" &amp; I107 &amp;     IF(J107&lt;&gt;"", "_" &amp; J107, "") &amp;     IF(K107&lt;&gt;"", "_" &amp; K107, "") &amp;     IF(L107&lt;&gt;"", "_" &amp; L107, "") &amp;     IF(M107&lt;&gt;"", "_" &amp; M107, "") &amp;     IF(P107&lt;&gt;"", "_X" &amp; P107, "") &amp;     IF(Q107&lt;&gt;"", "_Y" &amp; Q107, "") &amp;     IF(R107&lt;&gt;"", "_Z" &amp; R107, "") &amp;     IF(N107&lt;&gt;"", "_" &amp; N107, "") &amp;     IF(O107&lt;&gt;"", "_" &amp; O107, ""))</f>
      </c>
      <c r="G107" s="4"/>
      <c r="H107" s="4"/>
      <c r="I107" s="4"/>
      <c r="J107" s="4"/>
      <c r="K107" s="4"/>
      <c r="L107" s="4"/>
      <c r="M107" s="4"/>
      <c r="N107" s="4"/>
      <c r="O107" s="4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6"/>
      <c r="B108" s="6"/>
      <c r="C108" s="6"/>
      <c r="D108" s="6"/>
      <c r="E108" s="5">
        <f>IF(I108="","",     "BP_" &amp; I108 &amp;     IF(J108&lt;&gt;"", "_" &amp; J108, "") &amp;     IF(K108&lt;&gt;"", "_" &amp; K108, "") &amp;     IF(L108&lt;&gt;"", "_" &amp; L108, "") &amp;     IF(M108&lt;&gt;"", "_" &amp; M108, "") &amp;     IF(P108&lt;&gt;"", "_X" &amp; P108, "") &amp;     IF(Q108&lt;&gt;"", "_Y" &amp; Q108, "") &amp;     IF(R108&lt;&gt;"", "_Z" &amp; R108, "") &amp;     IF(N108&lt;&gt;"", "_" &amp; N108, "") &amp;     IF(O108&lt;&gt;"", "_" &amp; O108, ""))</f>
      </c>
      <c r="F108" s="5">
        <f>IF(I108="","",     "SM_" &amp; I108 &amp;     IF(J108&lt;&gt;"", "_" &amp; J108, "") &amp;     IF(K108&lt;&gt;"", "_" &amp; K108, "") &amp;     IF(L108&lt;&gt;"", "_" &amp; L108, "") &amp;     IF(M108&lt;&gt;"", "_" &amp; M108, "") &amp;     IF(P108&lt;&gt;"", "_X" &amp; P108, "") &amp;     IF(Q108&lt;&gt;"", "_Y" &amp; Q108, "") &amp;     IF(R108&lt;&gt;"", "_Z" &amp; R108, "") &amp;     IF(N108&lt;&gt;"", "_" &amp; N108, "") &amp;     IF(O108&lt;&gt;"", "_" &amp; O108, ""))</f>
      </c>
      <c r="G108" s="4"/>
      <c r="H108" s="4"/>
      <c r="I108" s="4"/>
      <c r="J108" s="4"/>
      <c r="K108" s="4"/>
      <c r="L108" s="4"/>
      <c r="M108" s="4"/>
      <c r="N108" s="4"/>
      <c r="O108" s="4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6"/>
      <c r="B109" s="6"/>
      <c r="C109" s="6"/>
      <c r="D109" s="6"/>
      <c r="E109" s="5">
        <f>IF(I109="","",     "BP_" &amp; I109 &amp;     IF(J109&lt;&gt;"", "_" &amp; J109, "") &amp;     IF(K109&lt;&gt;"", "_" &amp; K109, "") &amp;     IF(L109&lt;&gt;"", "_" &amp; L109, "") &amp;     IF(M109&lt;&gt;"", "_" &amp; M109, "") &amp;     IF(P109&lt;&gt;"", "_X" &amp; P109, "") &amp;     IF(Q109&lt;&gt;"", "_Y" &amp; Q109, "") &amp;     IF(R109&lt;&gt;"", "_Z" &amp; R109, "") &amp;     IF(N109&lt;&gt;"", "_" &amp; N109, "") &amp;     IF(O109&lt;&gt;"", "_" &amp; O109, ""))</f>
      </c>
      <c r="F109" s="5">
        <f>IF(I109="","",     "SM_" &amp; I109 &amp;     IF(J109&lt;&gt;"", "_" &amp; J109, "") &amp;     IF(K109&lt;&gt;"", "_" &amp; K109, "") &amp;     IF(L109&lt;&gt;"", "_" &amp; L109, "") &amp;     IF(M109&lt;&gt;"", "_" &amp; M109, "") &amp;     IF(P109&lt;&gt;"", "_X" &amp; P109, "") &amp;     IF(Q109&lt;&gt;"", "_Y" &amp; Q109, "") &amp;     IF(R109&lt;&gt;"", "_Z" &amp; R109, "") &amp;     IF(N109&lt;&gt;"", "_" &amp; N109, "") &amp;     IF(O109&lt;&gt;"", "_" &amp; O109, ""))</f>
      </c>
      <c r="G109" s="4"/>
      <c r="H109" s="4"/>
      <c r="I109" s="4"/>
      <c r="J109" s="4"/>
      <c r="K109" s="4"/>
      <c r="L109" s="4"/>
      <c r="M109" s="4"/>
      <c r="N109" s="4"/>
      <c r="O109" s="4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6"/>
      <c r="B110" s="6"/>
      <c r="C110" s="6"/>
      <c r="D110" s="6"/>
      <c r="E110" s="5">
        <f>IF(I110="","",     "BP_" &amp; I110 &amp;     IF(J110&lt;&gt;"", "_" &amp; J110, "") &amp;     IF(K110&lt;&gt;"", "_" &amp; K110, "") &amp;     IF(L110&lt;&gt;"", "_" &amp; L110, "") &amp;     IF(M110&lt;&gt;"", "_" &amp; M110, "") &amp;     IF(P110&lt;&gt;"", "_X" &amp; P110, "") &amp;     IF(Q110&lt;&gt;"", "_Y" &amp; Q110, "") &amp;     IF(R110&lt;&gt;"", "_Z" &amp; R110, "") &amp;     IF(N110&lt;&gt;"", "_" &amp; N110, "") &amp;     IF(O110&lt;&gt;"", "_" &amp; O110, ""))</f>
      </c>
      <c r="F110" s="5">
        <f>IF(I110="","",     "SM_" &amp; I110 &amp;     IF(J110&lt;&gt;"", "_" &amp; J110, "") &amp;     IF(K110&lt;&gt;"", "_" &amp; K110, "") &amp;     IF(L110&lt;&gt;"", "_" &amp; L110, "") &amp;     IF(M110&lt;&gt;"", "_" &amp; M110, "") &amp;     IF(P110&lt;&gt;"", "_X" &amp; P110, "") &amp;     IF(Q110&lt;&gt;"", "_Y" &amp; Q110, "") &amp;     IF(R110&lt;&gt;"", "_Z" &amp; R110, "") &amp;     IF(N110&lt;&gt;"", "_" &amp; N110, "") &amp;     IF(O110&lt;&gt;"", "_" &amp; O110, ""))</f>
      </c>
      <c r="G110" s="4"/>
      <c r="H110" s="4"/>
      <c r="I110" s="4"/>
      <c r="J110" s="4"/>
      <c r="K110" s="4"/>
      <c r="L110" s="4"/>
      <c r="M110" s="4"/>
      <c r="N110" s="4"/>
      <c r="O110" s="4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6"/>
      <c r="B111" s="6"/>
      <c r="C111" s="6"/>
      <c r="D111" s="6"/>
      <c r="E111" s="5">
        <f>IF(I111="","",     "BP_" &amp; I111 &amp;     IF(J111&lt;&gt;"", "_" &amp; J111, "") &amp;     IF(K111&lt;&gt;"", "_" &amp; K111, "") &amp;     IF(L111&lt;&gt;"", "_" &amp; L111, "") &amp;     IF(M111&lt;&gt;"", "_" &amp; M111, "") &amp;     IF(P111&lt;&gt;"", "_X" &amp; P111, "") &amp;     IF(Q111&lt;&gt;"", "_Y" &amp; Q111, "") &amp;     IF(R111&lt;&gt;"", "_Z" &amp; R111, "") &amp;     IF(N111&lt;&gt;"", "_" &amp; N111, "") &amp;     IF(O111&lt;&gt;"", "_" &amp; O111, ""))</f>
      </c>
      <c r="F111" s="5">
        <f>IF(I111="","",     "SM_" &amp; I111 &amp;     IF(J111&lt;&gt;"", "_" &amp; J111, "") &amp;     IF(K111&lt;&gt;"", "_" &amp; K111, "") &amp;     IF(L111&lt;&gt;"", "_" &amp; L111, "") &amp;     IF(M111&lt;&gt;"", "_" &amp; M111, "") &amp;     IF(P111&lt;&gt;"", "_X" &amp; P111, "") &amp;     IF(Q111&lt;&gt;"", "_Y" &amp; Q111, "") &amp;     IF(R111&lt;&gt;"", "_Z" &amp; R111, "") &amp;     IF(N111&lt;&gt;"", "_" &amp; N111, "") &amp;     IF(O111&lt;&gt;"", "_" &amp; O111, ""))</f>
      </c>
      <c r="G111" s="4"/>
      <c r="H111" s="4"/>
      <c r="I111" s="4"/>
      <c r="J111" s="4"/>
      <c r="K111" s="4"/>
      <c r="L111" s="4"/>
      <c r="M111" s="4"/>
      <c r="N111" s="4"/>
      <c r="O111" s="4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6"/>
      <c r="B112" s="6"/>
      <c r="C112" s="6"/>
      <c r="D112" s="6"/>
      <c r="E112" s="5">
        <f>IF(I112="","",     "BP_" &amp; I112 &amp;     IF(J112&lt;&gt;"", "_" &amp; J112, "") &amp;     IF(K112&lt;&gt;"", "_" &amp; K112, "") &amp;     IF(L112&lt;&gt;"", "_" &amp; L112, "") &amp;     IF(M112&lt;&gt;"", "_" &amp; M112, "") &amp;     IF(P112&lt;&gt;"", "_X" &amp; P112, "") &amp;     IF(Q112&lt;&gt;"", "_Y" &amp; Q112, "") &amp;     IF(R112&lt;&gt;"", "_Z" &amp; R112, "") &amp;     IF(N112&lt;&gt;"", "_" &amp; N112, "") &amp;     IF(O112&lt;&gt;"", "_" &amp; O112, ""))</f>
      </c>
      <c r="F112" s="5">
        <f>IF(I112="","",     "SM_" &amp; I112 &amp;     IF(J112&lt;&gt;"", "_" &amp; J112, "") &amp;     IF(K112&lt;&gt;"", "_" &amp; K112, "") &amp;     IF(L112&lt;&gt;"", "_" &amp; L112, "") &amp;     IF(M112&lt;&gt;"", "_" &amp; M112, "") &amp;     IF(P112&lt;&gt;"", "_X" &amp; P112, "") &amp;     IF(Q112&lt;&gt;"", "_Y" &amp; Q112, "") &amp;     IF(R112&lt;&gt;"", "_Z" &amp; R112, "") &amp;     IF(N112&lt;&gt;"", "_" &amp; N112, "") &amp;     IF(O112&lt;&gt;"", "_" &amp; O112, ""))</f>
      </c>
      <c r="G112" s="4"/>
      <c r="H112" s="4"/>
      <c r="I112" s="4"/>
      <c r="J112" s="4"/>
      <c r="K112" s="4"/>
      <c r="L112" s="4"/>
      <c r="M112" s="4"/>
      <c r="N112" s="4"/>
      <c r="O112" s="4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6"/>
      <c r="B113" s="6"/>
      <c r="C113" s="6"/>
      <c r="D113" s="6"/>
      <c r="E113" s="5">
        <f>IF(I113="","",     "BP_" &amp; I113 &amp;     IF(J113&lt;&gt;"", "_" &amp; J113, "") &amp;     IF(K113&lt;&gt;"", "_" &amp; K113, "") &amp;     IF(L113&lt;&gt;"", "_" &amp; L113, "") &amp;     IF(M113&lt;&gt;"", "_" &amp; M113, "") &amp;     IF(P113&lt;&gt;"", "_X" &amp; P113, "") &amp;     IF(Q113&lt;&gt;"", "_Y" &amp; Q113, "") &amp;     IF(R113&lt;&gt;"", "_Z" &amp; R113, "") &amp;     IF(N113&lt;&gt;"", "_" &amp; N113, "") &amp;     IF(O113&lt;&gt;"", "_" &amp; O113, ""))</f>
      </c>
      <c r="F113" s="5">
        <f>IF(I113="","",     "SM_" &amp; I113 &amp;     IF(J113&lt;&gt;"", "_" &amp; J113, "") &amp;     IF(K113&lt;&gt;"", "_" &amp; K113, "") &amp;     IF(L113&lt;&gt;"", "_" &amp; L113, "") &amp;     IF(M113&lt;&gt;"", "_" &amp; M113, "") &amp;     IF(P113&lt;&gt;"", "_X" &amp; P113, "") &amp;     IF(Q113&lt;&gt;"", "_Y" &amp; Q113, "") &amp;     IF(R113&lt;&gt;"", "_Z" &amp; R113, "") &amp;     IF(N113&lt;&gt;"", "_" &amp; N113, "") &amp;     IF(O113&lt;&gt;"", "_" &amp; O113, ""))</f>
      </c>
      <c r="G113" s="4"/>
      <c r="H113" s="4"/>
      <c r="I113" s="4"/>
      <c r="J113" s="4"/>
      <c r="K113" s="4"/>
      <c r="L113" s="4"/>
      <c r="M113" s="4"/>
      <c r="N113" s="4"/>
      <c r="O113" s="4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6"/>
      <c r="B114" s="6"/>
      <c r="C114" s="6"/>
      <c r="D114" s="6"/>
      <c r="E114" s="5">
        <f>IF(I114="","",     "BP_" &amp; I114 &amp;     IF(J114&lt;&gt;"", "_" &amp; J114, "") &amp;     IF(K114&lt;&gt;"", "_" &amp; K114, "") &amp;     IF(L114&lt;&gt;"", "_" &amp; L114, "") &amp;     IF(M114&lt;&gt;"", "_" &amp; M114, "") &amp;     IF(P114&lt;&gt;"", "_X" &amp; P114, "") &amp;     IF(Q114&lt;&gt;"", "_Y" &amp; Q114, "") &amp;     IF(R114&lt;&gt;"", "_Z" &amp; R114, "") &amp;     IF(N114&lt;&gt;"", "_" &amp; N114, "") &amp;     IF(O114&lt;&gt;"", "_" &amp; O114, ""))</f>
      </c>
      <c r="F114" s="5">
        <f>IF(I114="","",     "SM_" &amp; I114 &amp;     IF(J114&lt;&gt;"", "_" &amp; J114, "") &amp;     IF(K114&lt;&gt;"", "_" &amp; K114, "") &amp;     IF(L114&lt;&gt;"", "_" &amp; L114, "") &amp;     IF(M114&lt;&gt;"", "_" &amp; M114, "") &amp;     IF(P114&lt;&gt;"", "_X" &amp; P114, "") &amp;     IF(Q114&lt;&gt;"", "_Y" &amp; Q114, "") &amp;     IF(R114&lt;&gt;"", "_Z" &amp; R114, "") &amp;     IF(N114&lt;&gt;"", "_" &amp; N114, "") &amp;     IF(O114&lt;&gt;"", "_" &amp; O114, ""))</f>
      </c>
      <c r="G114" s="4"/>
      <c r="H114" s="4"/>
      <c r="I114" s="4"/>
      <c r="J114" s="4"/>
      <c r="K114" s="4"/>
      <c r="L114" s="4"/>
      <c r="M114" s="4"/>
      <c r="N114" s="4"/>
      <c r="O114" s="4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6"/>
      <c r="B115" s="6"/>
      <c r="C115" s="6"/>
      <c r="D115" s="6"/>
      <c r="E115" s="5">
        <f>IF(I115="","",     "BP_" &amp; I115 &amp;     IF(J115&lt;&gt;"", "_" &amp; J115, "") &amp;     IF(K115&lt;&gt;"", "_" &amp; K115, "") &amp;     IF(L115&lt;&gt;"", "_" &amp; L115, "") &amp;     IF(M115&lt;&gt;"", "_" &amp; M115, "") &amp;     IF(P115&lt;&gt;"", "_X" &amp; P115, "") &amp;     IF(Q115&lt;&gt;"", "_Y" &amp; Q115, "") &amp;     IF(R115&lt;&gt;"", "_Z" &amp; R115, "") &amp;     IF(N115&lt;&gt;"", "_" &amp; N115, "") &amp;     IF(O115&lt;&gt;"", "_" &amp; O115, ""))</f>
      </c>
      <c r="F115" s="5">
        <f>IF(I115="","",     "SM_" &amp; I115 &amp;     IF(J115&lt;&gt;"", "_" &amp; J115, "") &amp;     IF(K115&lt;&gt;"", "_" &amp; K115, "") &amp;     IF(L115&lt;&gt;"", "_" &amp; L115, "") &amp;     IF(M115&lt;&gt;"", "_" &amp; M115, "") &amp;     IF(P115&lt;&gt;"", "_X" &amp; P115, "") &amp;     IF(Q115&lt;&gt;"", "_Y" &amp; Q115, "") &amp;     IF(R115&lt;&gt;"", "_Z" &amp; R115, "") &amp;     IF(N115&lt;&gt;"", "_" &amp; N115, "") &amp;     IF(O115&lt;&gt;"", "_" &amp; O115, ""))</f>
      </c>
      <c r="G115" s="4"/>
      <c r="H115" s="4"/>
      <c r="I115" s="4"/>
      <c r="J115" s="4"/>
      <c r="K115" s="4"/>
      <c r="L115" s="4"/>
      <c r="M115" s="4"/>
      <c r="N115" s="4"/>
      <c r="O115" s="4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6"/>
      <c r="B116" s="6"/>
      <c r="C116" s="6"/>
      <c r="D116" s="6"/>
      <c r="E116" s="5">
        <f>IF(I116="","",     "BP_" &amp; I116 &amp;     IF(J116&lt;&gt;"", "_" &amp; J116, "") &amp;     IF(K116&lt;&gt;"", "_" &amp; K116, "") &amp;     IF(L116&lt;&gt;"", "_" &amp; L116, "") &amp;     IF(M116&lt;&gt;"", "_" &amp; M116, "") &amp;     IF(P116&lt;&gt;"", "_X" &amp; P116, "") &amp;     IF(Q116&lt;&gt;"", "_Y" &amp; Q116, "") &amp;     IF(R116&lt;&gt;"", "_Z" &amp; R116, "") &amp;     IF(N116&lt;&gt;"", "_" &amp; N116, "") &amp;     IF(O116&lt;&gt;"", "_" &amp; O116, ""))</f>
      </c>
      <c r="F116" s="5">
        <f>IF(I116="","",     "SM_" &amp; I116 &amp;     IF(J116&lt;&gt;"", "_" &amp; J116, "") &amp;     IF(K116&lt;&gt;"", "_" &amp; K116, "") &amp;     IF(L116&lt;&gt;"", "_" &amp; L116, "") &amp;     IF(M116&lt;&gt;"", "_" &amp; M116, "") &amp;     IF(P116&lt;&gt;"", "_X" &amp; P116, "") &amp;     IF(Q116&lt;&gt;"", "_Y" &amp; Q116, "") &amp;     IF(R116&lt;&gt;"", "_Z" &amp; R116, "") &amp;     IF(N116&lt;&gt;"", "_" &amp; N116, "") &amp;     IF(O116&lt;&gt;"", "_" &amp; O116, ""))</f>
      </c>
      <c r="G116" s="4"/>
      <c r="H116" s="4"/>
      <c r="I116" s="4"/>
      <c r="J116" s="4"/>
      <c r="K116" s="4"/>
      <c r="L116" s="4"/>
      <c r="M116" s="4"/>
      <c r="N116" s="4"/>
      <c r="O116" s="4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6"/>
      <c r="B117" s="6"/>
      <c r="C117" s="6"/>
      <c r="D117" s="6"/>
      <c r="E117" s="5">
        <f>IF(I117="","",     "BP_" &amp; I117 &amp;     IF(J117&lt;&gt;"", "_" &amp; J117, "") &amp;     IF(K117&lt;&gt;"", "_" &amp; K117, "") &amp;     IF(L117&lt;&gt;"", "_" &amp; L117, "") &amp;     IF(M117&lt;&gt;"", "_" &amp; M117, "") &amp;     IF(P117&lt;&gt;"", "_X" &amp; P117, "") &amp;     IF(Q117&lt;&gt;"", "_Y" &amp; Q117, "") &amp;     IF(R117&lt;&gt;"", "_Z" &amp; R117, "") &amp;     IF(N117&lt;&gt;"", "_" &amp; N117, "") &amp;     IF(O117&lt;&gt;"", "_" &amp; O117, ""))</f>
      </c>
      <c r="F117" s="5">
        <f>IF(I117="","",     "SM_" &amp; I117 &amp;     IF(J117&lt;&gt;"", "_" &amp; J117, "") &amp;     IF(K117&lt;&gt;"", "_" &amp; K117, "") &amp;     IF(L117&lt;&gt;"", "_" &amp; L117, "") &amp;     IF(M117&lt;&gt;"", "_" &amp; M117, "") &amp;     IF(P117&lt;&gt;"", "_X" &amp; P117, "") &amp;     IF(Q117&lt;&gt;"", "_Y" &amp; Q117, "") &amp;     IF(R117&lt;&gt;"", "_Z" &amp; R117, "") &amp;     IF(N117&lt;&gt;"", "_" &amp; N117, "") &amp;     IF(O117&lt;&gt;"", "_" &amp; O117, ""))</f>
      </c>
      <c r="G117" s="4"/>
      <c r="H117" s="4"/>
      <c r="I117" s="4"/>
      <c r="J117" s="4"/>
      <c r="K117" s="4"/>
      <c r="L117" s="4"/>
      <c r="M117" s="4"/>
      <c r="N117" s="4"/>
      <c r="O117" s="4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6"/>
      <c r="B118" s="6"/>
      <c r="C118" s="6"/>
      <c r="D118" s="6"/>
      <c r="E118" s="5">
        <f>IF(I118="","",     "BP_" &amp; I118 &amp;     IF(J118&lt;&gt;"", "_" &amp; J118, "") &amp;     IF(K118&lt;&gt;"", "_" &amp; K118, "") &amp;     IF(L118&lt;&gt;"", "_" &amp; L118, "") &amp;     IF(M118&lt;&gt;"", "_" &amp; M118, "") &amp;     IF(P118&lt;&gt;"", "_X" &amp; P118, "") &amp;     IF(Q118&lt;&gt;"", "_Y" &amp; Q118, "") &amp;     IF(R118&lt;&gt;"", "_Z" &amp; R118, "") &amp;     IF(N118&lt;&gt;"", "_" &amp; N118, "") &amp;     IF(O118&lt;&gt;"", "_" &amp; O118, ""))</f>
      </c>
      <c r="F118" s="5">
        <f>IF(I118="","",     "SM_" &amp; I118 &amp;     IF(J118&lt;&gt;"", "_" &amp; J118, "") &amp;     IF(K118&lt;&gt;"", "_" &amp; K118, "") &amp;     IF(L118&lt;&gt;"", "_" &amp; L118, "") &amp;     IF(M118&lt;&gt;"", "_" &amp; M118, "") &amp;     IF(P118&lt;&gt;"", "_X" &amp; P118, "") &amp;     IF(Q118&lt;&gt;"", "_Y" &amp; Q118, "") &amp;     IF(R118&lt;&gt;"", "_Z" &amp; R118, "") &amp;     IF(N118&lt;&gt;"", "_" &amp; N118, "") &amp;     IF(O118&lt;&gt;"", "_" &amp; O118, ""))</f>
      </c>
      <c r="G118" s="4"/>
      <c r="H118" s="4"/>
      <c r="I118" s="4"/>
      <c r="J118" s="4"/>
      <c r="K118" s="4"/>
      <c r="L118" s="4"/>
      <c r="M118" s="4"/>
      <c r="N118" s="4"/>
      <c r="O118" s="4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6"/>
      <c r="B119" s="6"/>
      <c r="C119" s="6"/>
      <c r="D119" s="6"/>
      <c r="E119" s="5">
        <f>IF(I119="","",     "BP_" &amp; I119 &amp;     IF(J119&lt;&gt;"", "_" &amp; J119, "") &amp;     IF(K119&lt;&gt;"", "_" &amp; K119, "") &amp;     IF(L119&lt;&gt;"", "_" &amp; L119, "") &amp;     IF(M119&lt;&gt;"", "_" &amp; M119, "") &amp;     IF(P119&lt;&gt;"", "_X" &amp; P119, "") &amp;     IF(Q119&lt;&gt;"", "_Y" &amp; Q119, "") &amp;     IF(R119&lt;&gt;"", "_Z" &amp; R119, "") &amp;     IF(N119&lt;&gt;"", "_" &amp; N119, "") &amp;     IF(O119&lt;&gt;"", "_" &amp; O119, ""))</f>
      </c>
      <c r="F119" s="5">
        <f>IF(I119="","",     "SM_" &amp; I119 &amp;     IF(J119&lt;&gt;"", "_" &amp; J119, "") &amp;     IF(K119&lt;&gt;"", "_" &amp; K119, "") &amp;     IF(L119&lt;&gt;"", "_" &amp; L119, "") &amp;     IF(M119&lt;&gt;"", "_" &amp; M119, "") &amp;     IF(P119&lt;&gt;"", "_X" &amp; P119, "") &amp;     IF(Q119&lt;&gt;"", "_Y" &amp; Q119, "") &amp;     IF(R119&lt;&gt;"", "_Z" &amp; R119, "") &amp;     IF(N119&lt;&gt;"", "_" &amp; N119, "") &amp;     IF(O119&lt;&gt;"", "_" &amp; O119, ""))</f>
      </c>
      <c r="G119" s="4"/>
      <c r="H119" s="4"/>
      <c r="I119" s="4"/>
      <c r="J119" s="4"/>
      <c r="K119" s="4"/>
      <c r="L119" s="4"/>
      <c r="M119" s="4"/>
      <c r="N119" s="4"/>
      <c r="O119" s="4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6"/>
      <c r="B120" s="6"/>
      <c r="C120" s="6"/>
      <c r="D120" s="6"/>
      <c r="E120" s="5">
        <f>IF(I120="","",     "BP_" &amp; I120 &amp;     IF(J120&lt;&gt;"", "_" &amp; J120, "") &amp;     IF(K120&lt;&gt;"", "_" &amp; K120, "") &amp;     IF(L120&lt;&gt;"", "_" &amp; L120, "") &amp;     IF(M120&lt;&gt;"", "_" &amp; M120, "") &amp;     IF(P120&lt;&gt;"", "_X" &amp; P120, "") &amp;     IF(Q120&lt;&gt;"", "_Y" &amp; Q120, "") &amp;     IF(R120&lt;&gt;"", "_Z" &amp; R120, "") &amp;     IF(N120&lt;&gt;"", "_" &amp; N120, "") &amp;     IF(O120&lt;&gt;"", "_" &amp; O120, ""))</f>
      </c>
      <c r="F120" s="5">
        <f>IF(I120="","",     "SM_" &amp; I120 &amp;     IF(J120&lt;&gt;"", "_" &amp; J120, "") &amp;     IF(K120&lt;&gt;"", "_" &amp; K120, "") &amp;     IF(L120&lt;&gt;"", "_" &amp; L120, "") &amp;     IF(M120&lt;&gt;"", "_" &amp; M120, "") &amp;     IF(P120&lt;&gt;"", "_X" &amp; P120, "") &amp;     IF(Q120&lt;&gt;"", "_Y" &amp; Q120, "") &amp;     IF(R120&lt;&gt;"", "_Z" &amp; R120, "") &amp;     IF(N120&lt;&gt;"", "_" &amp; N120, "") &amp;     IF(O120&lt;&gt;"", "_" &amp; O120, ""))</f>
      </c>
      <c r="G120" s="4"/>
      <c r="H120" s="4"/>
      <c r="I120" s="4"/>
      <c r="J120" s="4"/>
      <c r="K120" s="4"/>
      <c r="L120" s="4"/>
      <c r="M120" s="4"/>
      <c r="N120" s="4"/>
      <c r="O120" s="4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6"/>
      <c r="B121" s="6"/>
      <c r="C121" s="6"/>
      <c r="D121" s="6"/>
      <c r="E121" s="5">
        <f>IF(I121="","",     "BP_" &amp; I121 &amp;     IF(J121&lt;&gt;"", "_" &amp; J121, "") &amp;     IF(K121&lt;&gt;"", "_" &amp; K121, "") &amp;     IF(L121&lt;&gt;"", "_" &amp; L121, "") &amp;     IF(M121&lt;&gt;"", "_" &amp; M121, "") &amp;     IF(P121&lt;&gt;"", "_X" &amp; P121, "") &amp;     IF(Q121&lt;&gt;"", "_Y" &amp; Q121, "") &amp;     IF(R121&lt;&gt;"", "_Z" &amp; R121, "") &amp;     IF(N121&lt;&gt;"", "_" &amp; N121, "") &amp;     IF(O121&lt;&gt;"", "_" &amp; O121, ""))</f>
      </c>
      <c r="F121" s="5">
        <f>IF(I121="","",     "SM_" &amp; I121 &amp;     IF(J121&lt;&gt;"", "_" &amp; J121, "") &amp;     IF(K121&lt;&gt;"", "_" &amp; K121, "") &amp;     IF(L121&lt;&gt;"", "_" &amp; L121, "") &amp;     IF(M121&lt;&gt;"", "_" &amp; M121, "") &amp;     IF(P121&lt;&gt;"", "_X" &amp; P121, "") &amp;     IF(Q121&lt;&gt;"", "_Y" &amp; Q121, "") &amp;     IF(R121&lt;&gt;"", "_Z" &amp; R121, "") &amp;     IF(N121&lt;&gt;"", "_" &amp; N121, "") &amp;     IF(O121&lt;&gt;"", "_" &amp; O121, ""))</f>
      </c>
      <c r="G121" s="4"/>
      <c r="H121" s="4"/>
      <c r="I121" s="4"/>
      <c r="J121" s="4"/>
      <c r="K121" s="4"/>
      <c r="L121" s="4"/>
      <c r="M121" s="4"/>
      <c r="N121" s="4"/>
      <c r="O121" s="4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6"/>
      <c r="B122" s="6"/>
      <c r="C122" s="6"/>
      <c r="D122" s="6"/>
      <c r="E122" s="5">
        <f>IF(I122="","",     "BP_" &amp; I122 &amp;     IF(J122&lt;&gt;"", "_" &amp; J122, "") &amp;     IF(K122&lt;&gt;"", "_" &amp; K122, "") &amp;     IF(L122&lt;&gt;"", "_" &amp; L122, "") &amp;     IF(M122&lt;&gt;"", "_" &amp; M122, "") &amp;     IF(P122&lt;&gt;"", "_X" &amp; P122, "") &amp;     IF(Q122&lt;&gt;"", "_Y" &amp; Q122, "") &amp;     IF(R122&lt;&gt;"", "_Z" &amp; R122, "") &amp;     IF(N122&lt;&gt;"", "_" &amp; N122, "") &amp;     IF(O122&lt;&gt;"", "_" &amp; O122, ""))</f>
      </c>
      <c r="F122" s="5">
        <f>IF(I122="","",     "SM_" &amp; I122 &amp;     IF(J122&lt;&gt;"", "_" &amp; J122, "") &amp;     IF(K122&lt;&gt;"", "_" &amp; K122, "") &amp;     IF(L122&lt;&gt;"", "_" &amp; L122, "") &amp;     IF(M122&lt;&gt;"", "_" &amp; M122, "") &amp;     IF(P122&lt;&gt;"", "_X" &amp; P122, "") &amp;     IF(Q122&lt;&gt;"", "_Y" &amp; Q122, "") &amp;     IF(R122&lt;&gt;"", "_Z" &amp; R122, "") &amp;     IF(N122&lt;&gt;"", "_" &amp; N122, "") &amp;     IF(O122&lt;&gt;"", "_" &amp; O122, ""))</f>
      </c>
      <c r="G122" s="4"/>
      <c r="H122" s="4"/>
      <c r="I122" s="4"/>
      <c r="J122" s="4"/>
      <c r="K122" s="4"/>
      <c r="L122" s="4"/>
      <c r="M122" s="4"/>
      <c r="N122" s="4"/>
      <c r="O122" s="4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6"/>
      <c r="B123" s="6"/>
      <c r="C123" s="6"/>
      <c r="D123" s="6"/>
      <c r="E123" s="5">
        <f>IF(I123="","",     "BP_" &amp; I123 &amp;     IF(J123&lt;&gt;"", "_" &amp; J123, "") &amp;     IF(K123&lt;&gt;"", "_" &amp; K123, "") &amp;     IF(L123&lt;&gt;"", "_" &amp; L123, "") &amp;     IF(M123&lt;&gt;"", "_" &amp; M123, "") &amp;     IF(P123&lt;&gt;"", "_X" &amp; P123, "") &amp;     IF(Q123&lt;&gt;"", "_Y" &amp; Q123, "") &amp;     IF(R123&lt;&gt;"", "_Z" &amp; R123, "") &amp;     IF(N123&lt;&gt;"", "_" &amp; N123, "") &amp;     IF(O123&lt;&gt;"", "_" &amp; O123, ""))</f>
      </c>
      <c r="F123" s="5">
        <f>IF(I123="","",     "SM_" &amp; I123 &amp;     IF(J123&lt;&gt;"", "_" &amp; J123, "") &amp;     IF(K123&lt;&gt;"", "_" &amp; K123, "") &amp;     IF(L123&lt;&gt;"", "_" &amp; L123, "") &amp;     IF(M123&lt;&gt;"", "_" &amp; M123, "") &amp;     IF(P123&lt;&gt;"", "_X" &amp; P123, "") &amp;     IF(Q123&lt;&gt;"", "_Y" &amp; Q123, "") &amp;     IF(R123&lt;&gt;"", "_Z" &amp; R123, "") &amp;     IF(N123&lt;&gt;"", "_" &amp; N123, "") &amp;     IF(O123&lt;&gt;"", "_" &amp; O123, ""))</f>
      </c>
      <c r="G123" s="4"/>
      <c r="H123" s="4"/>
      <c r="I123" s="4"/>
      <c r="J123" s="4"/>
      <c r="K123" s="4"/>
      <c r="L123" s="4"/>
      <c r="M123" s="4"/>
      <c r="N123" s="4"/>
      <c r="O123" s="4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6"/>
      <c r="B124" s="6"/>
      <c r="C124" s="6"/>
      <c r="D124" s="6"/>
      <c r="E124" s="5">
        <f>IF(I124="","",     "BP_" &amp; I124 &amp;     IF(J124&lt;&gt;"", "_" &amp; J124, "") &amp;     IF(K124&lt;&gt;"", "_" &amp; K124, "") &amp;     IF(L124&lt;&gt;"", "_" &amp; L124, "") &amp;     IF(M124&lt;&gt;"", "_" &amp; M124, "") &amp;     IF(P124&lt;&gt;"", "_X" &amp; P124, "") &amp;     IF(Q124&lt;&gt;"", "_Y" &amp; Q124, "") &amp;     IF(R124&lt;&gt;"", "_Z" &amp; R124, "") &amp;     IF(N124&lt;&gt;"", "_" &amp; N124, "") &amp;     IF(O124&lt;&gt;"", "_" &amp; O124, ""))</f>
      </c>
      <c r="F124" s="5">
        <f>IF(I124="","",     "SM_" &amp; I124 &amp;     IF(J124&lt;&gt;"", "_" &amp; J124, "") &amp;     IF(K124&lt;&gt;"", "_" &amp; K124, "") &amp;     IF(L124&lt;&gt;"", "_" &amp; L124, "") &amp;     IF(M124&lt;&gt;"", "_" &amp; M124, "") &amp;     IF(P124&lt;&gt;"", "_X" &amp; P124, "") &amp;     IF(Q124&lt;&gt;"", "_Y" &amp; Q124, "") &amp;     IF(R124&lt;&gt;"", "_Z" &amp; R124, "") &amp;     IF(N124&lt;&gt;"", "_" &amp; N124, "") &amp;     IF(O124&lt;&gt;"", "_" &amp; O124, ""))</f>
      </c>
      <c r="G124" s="4"/>
      <c r="H124" s="4"/>
      <c r="I124" s="4"/>
      <c r="J124" s="4"/>
      <c r="K124" s="4"/>
      <c r="L124" s="4"/>
      <c r="M124" s="4"/>
      <c r="N124" s="4"/>
      <c r="O124" s="4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6"/>
      <c r="B125" s="6"/>
      <c r="C125" s="6"/>
      <c r="D125" s="6"/>
      <c r="E125" s="5">
        <f>IF(I125="","",     "BP_" &amp; I125 &amp;     IF(J125&lt;&gt;"", "_" &amp; J125, "") &amp;     IF(K125&lt;&gt;"", "_" &amp; K125, "") &amp;     IF(L125&lt;&gt;"", "_" &amp; L125, "") &amp;     IF(M125&lt;&gt;"", "_" &amp; M125, "") &amp;     IF(P125&lt;&gt;"", "_X" &amp; P125, "") &amp;     IF(Q125&lt;&gt;"", "_Y" &amp; Q125, "") &amp;     IF(R125&lt;&gt;"", "_Z" &amp; R125, "") &amp;     IF(N125&lt;&gt;"", "_" &amp; N125, "") &amp;     IF(O125&lt;&gt;"", "_" &amp; O125, ""))</f>
      </c>
      <c r="F125" s="5">
        <f>IF(I125="","",     "SM_" &amp; I125 &amp;     IF(J125&lt;&gt;"", "_" &amp; J125, "") &amp;     IF(K125&lt;&gt;"", "_" &amp; K125, "") &amp;     IF(L125&lt;&gt;"", "_" &amp; L125, "") &amp;     IF(M125&lt;&gt;"", "_" &amp; M125, "") &amp;     IF(P125&lt;&gt;"", "_X" &amp; P125, "") &amp;     IF(Q125&lt;&gt;"", "_Y" &amp; Q125, "") &amp;     IF(R125&lt;&gt;"", "_Z" &amp; R125, "") &amp;     IF(N125&lt;&gt;"", "_" &amp; N125, "") &amp;     IF(O125&lt;&gt;"", "_" &amp; O125, ""))</f>
      </c>
      <c r="G125" s="4"/>
      <c r="H125" s="4"/>
      <c r="I125" s="4"/>
      <c r="J125" s="4"/>
      <c r="K125" s="4"/>
      <c r="L125" s="4"/>
      <c r="M125" s="4"/>
      <c r="N125" s="4"/>
      <c r="O125" s="4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6"/>
      <c r="B126" s="6"/>
      <c r="C126" s="6"/>
      <c r="D126" s="6"/>
      <c r="E126" s="5">
        <f>IF(I126="","",     "BP_" &amp; I126 &amp;     IF(J126&lt;&gt;"", "_" &amp; J126, "") &amp;     IF(K126&lt;&gt;"", "_" &amp; K126, "") &amp;     IF(L126&lt;&gt;"", "_" &amp; L126, "") &amp;     IF(M126&lt;&gt;"", "_" &amp; M126, "") &amp;     IF(P126&lt;&gt;"", "_X" &amp; P126, "") &amp;     IF(Q126&lt;&gt;"", "_Y" &amp; Q126, "") &amp;     IF(R126&lt;&gt;"", "_Z" &amp; R126, "") &amp;     IF(N126&lt;&gt;"", "_" &amp; N126, "") &amp;     IF(O126&lt;&gt;"", "_" &amp; O126, ""))</f>
      </c>
      <c r="F126" s="5">
        <f>IF(I126="","",     "SM_" &amp; I126 &amp;     IF(J126&lt;&gt;"", "_" &amp; J126, "") &amp;     IF(K126&lt;&gt;"", "_" &amp; K126, "") &amp;     IF(L126&lt;&gt;"", "_" &amp; L126, "") &amp;     IF(M126&lt;&gt;"", "_" &amp; M126, "") &amp;     IF(P126&lt;&gt;"", "_X" &amp; P126, "") &amp;     IF(Q126&lt;&gt;"", "_Y" &amp; Q126, "") &amp;     IF(R126&lt;&gt;"", "_Z" &amp; R126, "") &amp;     IF(N126&lt;&gt;"", "_" &amp; N126, "") &amp;     IF(O126&lt;&gt;"", "_" &amp; O126, ""))</f>
      </c>
      <c r="G126" s="4"/>
      <c r="H126" s="4"/>
      <c r="I126" s="4"/>
      <c r="J126" s="4"/>
      <c r="K126" s="4"/>
      <c r="L126" s="4"/>
      <c r="M126" s="4"/>
      <c r="N126" s="4"/>
      <c r="O126" s="4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6"/>
      <c r="B127" s="6"/>
      <c r="C127" s="6"/>
      <c r="D127" s="6"/>
      <c r="E127" s="5">
        <f>IF(I127="","",     "BP_" &amp; I127 &amp;     IF(J127&lt;&gt;"", "_" &amp; J127, "") &amp;     IF(K127&lt;&gt;"", "_" &amp; K127, "") &amp;     IF(L127&lt;&gt;"", "_" &amp; L127, "") &amp;     IF(M127&lt;&gt;"", "_" &amp; M127, "") &amp;     IF(P127&lt;&gt;"", "_X" &amp; P127, "") &amp;     IF(Q127&lt;&gt;"", "_Y" &amp; Q127, "") &amp;     IF(R127&lt;&gt;"", "_Z" &amp; R127, "") &amp;     IF(N127&lt;&gt;"", "_" &amp; N127, "") &amp;     IF(O127&lt;&gt;"", "_" &amp; O127, ""))</f>
      </c>
      <c r="F127" s="5">
        <f>IF(I127="","",     "SM_" &amp; I127 &amp;     IF(J127&lt;&gt;"", "_" &amp; J127, "") &amp;     IF(K127&lt;&gt;"", "_" &amp; K127, "") &amp;     IF(L127&lt;&gt;"", "_" &amp; L127, "") &amp;     IF(M127&lt;&gt;"", "_" &amp; M127, "") &amp;     IF(P127&lt;&gt;"", "_X" &amp; P127, "") &amp;     IF(Q127&lt;&gt;"", "_Y" &amp; Q127, "") &amp;     IF(R127&lt;&gt;"", "_Z" &amp; R127, "") &amp;     IF(N127&lt;&gt;"", "_" &amp; N127, "") &amp;     IF(O127&lt;&gt;"", "_" &amp; O127, ""))</f>
      </c>
      <c r="G127" s="4"/>
      <c r="H127" s="4"/>
      <c r="I127" s="4"/>
      <c r="J127" s="4"/>
      <c r="K127" s="4"/>
      <c r="L127" s="4"/>
      <c r="M127" s="4"/>
      <c r="N127" s="4"/>
      <c r="O127" s="4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6"/>
      <c r="B128" s="6"/>
      <c r="C128" s="6"/>
      <c r="D128" s="6"/>
      <c r="E128" s="5">
        <f>IF(I128="","",     "BP_" &amp; I128 &amp;     IF(J128&lt;&gt;"", "_" &amp; J128, "") &amp;     IF(K128&lt;&gt;"", "_" &amp; K128, "") &amp;     IF(L128&lt;&gt;"", "_" &amp; L128, "") &amp;     IF(M128&lt;&gt;"", "_" &amp; M128, "") &amp;     IF(P128&lt;&gt;"", "_X" &amp; P128, "") &amp;     IF(Q128&lt;&gt;"", "_Y" &amp; Q128, "") &amp;     IF(R128&lt;&gt;"", "_Z" &amp; R128, "") &amp;     IF(N128&lt;&gt;"", "_" &amp; N128, "") &amp;     IF(O128&lt;&gt;"", "_" &amp; O128, ""))</f>
      </c>
      <c r="F128" s="5">
        <f>IF(I128="","",     "SM_" &amp; I128 &amp;     IF(J128&lt;&gt;"", "_" &amp; J128, "") &amp;     IF(K128&lt;&gt;"", "_" &amp; K128, "") &amp;     IF(L128&lt;&gt;"", "_" &amp; L128, "") &amp;     IF(M128&lt;&gt;"", "_" &amp; M128, "") &amp;     IF(P128&lt;&gt;"", "_X" &amp; P128, "") &amp;     IF(Q128&lt;&gt;"", "_Y" &amp; Q128, "") &amp;     IF(R128&lt;&gt;"", "_Z" &amp; R128, "") &amp;     IF(N128&lt;&gt;"", "_" &amp; N128, "") &amp;     IF(O128&lt;&gt;"", "_" &amp; O128, ""))</f>
      </c>
      <c r="G128" s="4"/>
      <c r="H128" s="4"/>
      <c r="I128" s="4"/>
      <c r="J128" s="4"/>
      <c r="K128" s="4"/>
      <c r="L128" s="4"/>
      <c r="M128" s="4"/>
      <c r="N128" s="4"/>
      <c r="O128" s="4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</sheetData>
  <conditionalFormatting sqref="E1:E1048576">
    <cfRule dxfId="0" priority="2" stopIfTrue="true" type="duplicateValues"/>
  </conditionalFormatting>
  <dataValidations count="1">
    <dataValidation allowBlank="true" errorStyle="stop" showDropDown="true" showErrorMessage="true" sqref="S2:S128 T2:T128" type="list">
      <formula1>"⭕,✅,❌,➖,❓,❗"</formula1>
    </dataValidation>
  </dataValidations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true" errorStyle="stop" showDropDown="true" showErrorMessage="true" xr:uid="{5FDD88F9-A35E-440E-BA10-E65499DC743A}">
          <x14:formula1>
            <xm:f>'引用数据库'!$E:$E</xm:f>
          </x14:formula1>
          <xm:sqref>L2:L5 L8 L10 L14:L15 L19 L23 L27 L31:L33 L61:L72 L88:L128 K2:K8 K18:K31 K33 K61:K63 K66:K128</xm:sqref>
        </x14:dataValidation>
        <x14:dataValidation type="list" allowBlank="true" errorStyle="stop" showDropDown="true" showErrorMessage="true" xr:uid="{06D9A16B-D8C4-4E3D-84AA-9BEAD62208D7}">
          <x14:formula1>
            <xm:f>'引用数据库'!$A$2:$A$99</xm:f>
          </x14:formula1>
          <xm:sqref>I2:I128</xm:sqref>
        </x14:dataValidation>
        <x14:dataValidation type="list" allowBlank="true" errorStyle="stop" showDropDown="true" showErrorMessage="true" xr:uid="{5513C622-22EB-419C-9602-9BD15E818D7F}">
          <x14:formula1>
            <xm:f>'引用数据库'!$G$2:$G$30</xm:f>
          </x14:formula1>
          <xm:sqref>M63:M65 M67:M70 M73:M87 M89 N2:N5 N32:N33 N61:N62 N66 N88 N90:N128 L9 L11:L12 L20:L21 L24:L25 L73:L87</xm:sqref>
        </x14:dataValidation>
        <x14:dataValidation type="list" allowBlank="true" errorStyle="stop" showDropDown="true" showErrorMessage="true" xr:uid="{67558AD4-1CF8-47DE-92C9-5593C6F1C6FF}">
          <x14:formula1>
            <xm:f>'引用数据库'!$C$2:$C$100</xm:f>
          </x14:formula1>
          <xm:sqref>J2:J128</xm:sqref>
        </x14:dataValidation>
      </x14:dataValidation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edafb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4"/>
    <col collapsed="true" hidden="false" max="2" min="2" style="0" width="32"/>
    <col collapsed="false" customWidth="true" hidden="true" max="3" min="3" outlineLevel="1" style="0" width="32"/>
    <col collapsed="false" customWidth="true" hidden="true" max="4" min="4" outlineLevel="1" style="0" width="32"/>
    <col collapsed="false" hidden="false" max="5" min="5" style="0" width="40"/>
    <col collapsed="false" customWidth="true" hidden="false" max="6" min="6" outlineLevel="1" style="0" width="40"/>
    <col collapsed="false" customWidth="true" hidden="false" max="7" min="7" outlineLevel="1" style="0" width="32"/>
    <col collapsed="false" customWidth="true" hidden="false" max="8" min="8" outlineLevel="1" style="0" width="32"/>
    <col collapsed="false" customWidth="true" hidden="false" max="9" min="9" outlineLevel="1" style="0" width="12"/>
    <col collapsed="false" customWidth="true" hidden="false" max="10" min="10" outlineLevel="1" style="0" width="11"/>
    <col collapsed="false" customWidth="true" hidden="false" max="11" min="11" style="0" width="13"/>
    <col collapsed="false" customWidth="true" hidden="false" max="12" min="12" style="0" width="1"/>
    <col collapsed="false" customWidth="true" hidden="false" max="13" min="13" style="0" width="8"/>
    <col collapsed="false" hidden="false" max="14" min="14" style="0" width="18"/>
    <col collapsed="false" customWidth="true" hidden="false" max="15" min="15" outlineLevel="1" style="0" width="18"/>
    <col collapsed="false" customWidth="true" hidden="false" max="16" min="16" outlineLevel="1" style="0" width="10"/>
    <col collapsed="false" customWidth="true" hidden="false" max="17" min="17" style="0" width="13"/>
    <col collapsed="false" customWidth="true" hidden="false" max="18" min="18" style="0" width="15"/>
    <col collapsed="false" customWidth="true" hidden="false" max="19" min="19" style="0" width="10"/>
    <col collapsed="false" customWidth="true" hidden="false" max="20" min="20" style="0" width="9"/>
    <col collapsed="false" hidden="false" max="21" min="21" style="0" width="8"/>
    <col collapsed="false" customWidth="true" hidden="false" max="22" min="22" outlineLevel="1" style="0" width="8"/>
    <col collapsed="false" customWidth="true" hidden="false" max="23" min="23" outlineLevel="1" style="0" width="8"/>
    <col collapsed="false" customWidth="true" hidden="false" max="24" min="24" outlineLevel="1" style="0" width="8"/>
    <col collapsed="false" customWidth="true" hidden="false" max="25" min="25" outlineLevel="1" style="0" width="8"/>
    <col collapsed="false" customWidth="true" hidden="false" max="26" min="26" outlineLevel="1" style="0" width="8"/>
    <col collapsed="false" customWidth="true" hidden="false" max="27" min="27" outlineLevel="1" style="0" width="8"/>
    <col collapsed="false" customWidth="true" hidden="false" max="28" min="28" outlineLevel="1" style="0" width="8"/>
    <col collapsed="false" customWidth="true" hidden="false" max="29" min="29" outlineLevel="1" style="0" width="8"/>
    <col collapsed="false" customWidth="true" hidden="false" max="30" min="30" outlineLevel="1" style="0" width="8"/>
    <col collapsed="false" customWidth="true" hidden="false" max="31" min="31" outlineLevel="1" style="0" width="8"/>
    <col collapsed="false" customWidth="true" hidden="false" max="32" min="32" outlineLevel="1" style="0" width="8"/>
    <col collapsed="false" customWidth="true" hidden="false" max="33" min="33" outlineLevel="1" style="0" width="8"/>
  </cols>
  <sheetData>
    <row r="1">
      <c r="A1" s="23"/>
      <c r="B1" s="23" t="str">
        <v>MapName</v>
      </c>
      <c r="C1" s="23" t="str">
        <v>EnemyMapName</v>
      </c>
      <c r="D1" s="23" t="str">
        <v>RewardMapName</v>
      </c>
      <c r="E1" s="23" t="str" xml:space="preserve">
        <v> </v>
      </c>
      <c r="F1" s="23" t="str">
        <v>MapRef</v>
      </c>
      <c r="G1" s="23" t="str">
        <v>EnemyRef</v>
      </c>
      <c r="H1" s="23" t="str">
        <v>RewardRef</v>
      </c>
      <c r="I1" s="26" t="str">
        <v>SectionID</v>
      </c>
      <c r="J1" s="26" t="str">
        <v>MapType</v>
      </c>
      <c r="K1" s="9" t="str">
        <v>StartFacing</v>
      </c>
      <c r="L1" s="23" t="str" xml:space="preserve">
        <v> </v>
      </c>
      <c r="M1" s="9" t="str">
        <v>Party</v>
      </c>
      <c r="N1" s="9" t="str">
        <v>EndFacing</v>
      </c>
      <c r="O1" s="26" t="str">
        <v>Allowed Level</v>
      </c>
      <c r="P1" s="26" t="str">
        <v>Variant</v>
      </c>
      <c r="Q1" s="26" t="str">
        <v>Section To</v>
      </c>
      <c r="R1" s="26" t="str">
        <v>Section From</v>
      </c>
      <c r="S1" s="9" t="str">
        <v>进度</v>
      </c>
      <c r="T1" s="9" t="str">
        <v>组合</v>
      </c>
      <c r="U1" s="6" t="str" xml:space="preserve">
        <v> </v>
      </c>
      <c r="V1" s="25" t="str">
        <v>总概率</v>
      </c>
      <c r="W1" s="24" t="str">
        <v>Initial</v>
      </c>
      <c r="X1" s="24">
        <v>1</v>
      </c>
      <c r="Y1" s="24">
        <v>2</v>
      </c>
      <c r="Z1" s="24">
        <v>3</v>
      </c>
      <c r="AA1" s="24">
        <v>4</v>
      </c>
      <c r="AB1" s="24">
        <v>5</v>
      </c>
      <c r="AC1" s="24">
        <v>6</v>
      </c>
      <c r="AD1" s="24">
        <v>7</v>
      </c>
      <c r="AE1" s="24">
        <v>8</v>
      </c>
      <c r="AF1" s="24">
        <v>9</v>
      </c>
      <c r="AG1" s="24">
        <v>10</v>
      </c>
    </row>
    <row r="2">
      <c r="A2" s="1"/>
      <c r="B2" s="3">
        <f t="array" ref="B2:B212">"_"</f>
      </c>
      <c r="C2" s="3">
        <f t="array" ref="C2:C212">"_"</f>
      </c>
      <c r="D2" s="3">
        <f t="array" ref="D2:D212">"_"</f>
      </c>
      <c r="E2" s="3"/>
      <c r="F2" s="3">
        <f t="array" ref="F2:F212">B2:B1000&amp;M2:M1000&amp;I2:I1000&amp;S2:S1000=""&amp;""&amp;"/Game/Levels/Maps/"&amp;"/SubLevel/"&amp;"_"&amp;"/"&amp;"."</f>
      </c>
      <c r="G2" s="3">
        <f t="array" ref="G2:G212">C2:C1000&amp;M2:M1000&amp;I2:I1000&amp;S2:S1000=""&amp;""&amp;"/Script/Engine.World'/Game/Levels/Maps/"&amp;"/SubLevel/"&amp;"_"&amp;"/"&amp;"."&amp;"'"</f>
      </c>
      <c r="H2" s="3">
        <f t="array" ref="H2:H212">D2:D1000&amp;M2:M1000&amp;I2:I1000&amp;S2:S1000=""&amp;""&amp;"/Script/Engine.World'/Game/Levels/Maps/"&amp;"/SubLevel/"&amp;"_"&amp;"/"&amp;"."&amp;"'"</f>
      </c>
      <c r="I2" s="19" t="str">
        <v>S01</v>
      </c>
      <c r="J2" s="3" t="str">
        <v>1_Initial</v>
      </c>
      <c r="K2" s="19" t="str">
        <v>0_Initial</v>
      </c>
      <c r="L2" s="3"/>
      <c r="M2" s="3" t="str">
        <v>Labor</v>
      </c>
      <c r="N2" s="19" t="str">
        <v>3_NagY</v>
      </c>
      <c r="O2" s="19" t="str">
        <v>1</v>
      </c>
      <c r="P2" s="19" t="str">
        <v>01</v>
      </c>
      <c r="Q2" s="19"/>
      <c r="R2" s="19"/>
      <c r="S2" s="3" t="str">
        <v>DONE</v>
      </c>
      <c r="T2" s="3">
        <f t="array" ref="T2:T212">""</f>
      </c>
      <c r="U2" s="1"/>
      <c r="V2" s="20">
        <f>IF(SUM(X2:AG2)=0, 0, SUM(X2:AG2) / SUM($X$2:$AG$1012))</f>
      </c>
      <c r="W2" s="20"/>
      <c r="X2" s="20">
        <f>IF(AND($S2="DONE", ISNUMBER(FIND(","&amp;X$1&amp;",", ","&amp;SUBSTITUTE($O2," ","")&amp;","))), 1/SUMPRODUCT(--ISNUMBER(FIND(","&amp;X$1&amp;",", ","&amp;SUBSTITUTE($O$2:$O$1012," ","")&amp;",")), --($S$2:$S$1012="DONE")), 0)</f>
      </c>
      <c r="Y2" s="20">
        <f>IF(AND($S2="DONE", ISNUMBER(FIND(","&amp;Y$1&amp;",", ","&amp;SUBSTITUTE($O2," ","")&amp;","))), 1/SUMPRODUCT(--ISNUMBER(FIND(","&amp;Y$1&amp;",", ","&amp;SUBSTITUTE($O$2:$O$1012," ","")&amp;",")), --($S$2:$S$1012="DONE")), 0)</f>
      </c>
      <c r="Z2" s="20">
        <f>IF(AND($S2="DONE", ISNUMBER(FIND(","&amp;Z$1&amp;",", ","&amp;SUBSTITUTE($O2," ","")&amp;","))), 1/SUMPRODUCT(--ISNUMBER(FIND(","&amp;Z$1&amp;",", ","&amp;SUBSTITUTE($O$2:$O$1012," ","")&amp;",")), --($S$2:$S$1012="DONE")), 0)</f>
      </c>
      <c r="AA2" s="20">
        <f>IF(AND($S2="DONE", ISNUMBER(FIND(","&amp;AA$1&amp;",", ","&amp;SUBSTITUTE($O2," ","")&amp;","))), 1/SUMPRODUCT(--ISNUMBER(FIND(","&amp;AA$1&amp;",", ","&amp;SUBSTITUTE($O$2:$O$1012," ","")&amp;",")), --($S$2:$S$1012="DONE")), 0)</f>
      </c>
      <c r="AB2" s="20">
        <f>IF(AND($S2="DONE", ISNUMBER(FIND(","&amp;AB$1&amp;",", ","&amp;SUBSTITUTE($O2," ","")&amp;","))), 1/SUMPRODUCT(--ISNUMBER(FIND(","&amp;AB$1&amp;",", ","&amp;SUBSTITUTE($O$2:$O$1012," ","")&amp;",")), --($S$2:$S$1012="DONE")), 0)</f>
      </c>
      <c r="AC2" s="20">
        <f>IF(AND($S2="DONE", ISNUMBER(FIND(","&amp;AC$1&amp;",", ","&amp;SUBSTITUTE($O2," ","")&amp;","))), 1/SUMPRODUCT(--ISNUMBER(FIND(","&amp;AC$1&amp;",", ","&amp;SUBSTITUTE($O$2:$O$1012," ","")&amp;",")), --($S$2:$S$1012="DONE")), 0)</f>
      </c>
      <c r="AD2" s="20">
        <f>IF(AND($S2="DONE", ISNUMBER(FIND(","&amp;AD$1&amp;",", ","&amp;SUBSTITUTE($O2," ","")&amp;","))), 1/SUMPRODUCT(--ISNUMBER(FIND(","&amp;AD$1&amp;",", ","&amp;SUBSTITUTE($O$2:$O$1012," ","")&amp;",")), --($S$2:$S$1012="DONE")), 0)</f>
      </c>
      <c r="AE2" s="20">
        <f>IF(AND($S2="DONE", ISNUMBER(FIND(","&amp;AE$1&amp;",", ","&amp;SUBSTITUTE($O2," ","")&amp;","))), 1/SUMPRODUCT(--ISNUMBER(FIND(","&amp;AE$1&amp;",", ","&amp;SUBSTITUTE($O$2:$O$1012," ","")&amp;",")), --($S$2:$S$1012="DONE")), 0)</f>
      </c>
      <c r="AF2" s="20">
        <f>IF(AND($S2="DONE", ISNUMBER(FIND(","&amp;AF$1&amp;",", ","&amp;SUBSTITUTE($O2," ","")&amp;","))), 1/SUMPRODUCT(--ISNUMBER(FIND(","&amp;AF$1&amp;",", ","&amp;SUBSTITUTE($O$2:$O$1012," ","")&amp;",")), --($S$2:$S$1012="DONE")), 0)</f>
      </c>
      <c r="AG2" s="20">
        <f>IF(AND($S2="DONE", ISNUMBER(FIND(","&amp;AG$1&amp;",", ","&amp;SUBSTITUTE($O2," ","")&amp;","))), 1/SUMPRODUCT(--ISNUMBER(FIND(","&amp;AG$1&amp;",", ","&amp;SUBSTITUTE($O$2:$O$1012," ","")&amp;",")), --($S$2:$S$1012="DONE")), 0)</f>
      </c>
    </row>
    <row customHeight="true" ht="20" r="3">
      <c r="A3" s="3"/>
      <c r="B3" s="3" t="str">
        <v>L_Labor_Initial_PosY_S01_01</v>
      </c>
      <c r="C3" s="3" t="str">
        <v>L_Labor_Initial_PosY_S01_01_Enemy</v>
      </c>
      <c r="D3" s="3" t="str">
        <v>L_Labor_Initial_PosY_S01_01_Reward</v>
      </c>
      <c r="E3" s="3"/>
      <c r="F3" s="3" t="str">
        <v>/Game/Levels/Maps/Labor/SubLevel/Labor_S01/L_Labor_Initial_PosY_S01_01.L_Labor_Initial_PosY_S01_01</v>
      </c>
      <c r="G3" s="3" t="str">
        <v>/Script/Engine.World'/Game/Levels/Maps/Labor/SubLevel/Labor_S01/L_Labor_Initial_PosY_S01_01_Enemy.L_Labor_Initial_PosY_S01_01_Enemy'</v>
      </c>
      <c r="H3" s="3" t="str">
        <v>/Script/Engine.World'/Game/Levels/Maps/Labor/SubLevel/Labor_S01/L_Labor_Initial_PosY_S01_01_Reward.L_Labor_Initial_PosY_S01_01_Reward'</v>
      </c>
      <c r="I3" s="19" t="str">
        <v>S01</v>
      </c>
      <c r="J3" s="3" t="str">
        <v>1_Initial</v>
      </c>
      <c r="K3" s="19" t="str">
        <v>0_Initial</v>
      </c>
      <c r="L3" s="3"/>
      <c r="M3" s="3" t="str">
        <v>Labor</v>
      </c>
      <c r="N3" s="19" t="str">
        <v>2_PosY</v>
      </c>
      <c r="O3" s="19" t="str">
        <v>1</v>
      </c>
      <c r="P3" s="19" t="str">
        <v>01</v>
      </c>
      <c r="Q3" s="19"/>
      <c r="R3" s="19"/>
      <c r="S3" s="3" t="str">
        <v>NEED FIX</v>
      </c>
      <c r="T3" s="3" t="str"/>
      <c r="U3" s="1"/>
      <c r="V3" s="20">
        <f>IF(SUM(X3:AG3)=0, 0, SUM(X3:AG3) / SUM($X$2:$AG$1012))</f>
      </c>
      <c r="W3" s="20"/>
      <c r="X3" s="20">
        <f>IF(AND($S3="DONE", ISNUMBER(FIND(","&amp;X$1&amp;",", ","&amp;SUBSTITUTE($O3," ","")&amp;","))), 1/SUMPRODUCT(--ISNUMBER(FIND(","&amp;X$1&amp;",", ","&amp;SUBSTITUTE($O$2:$O$1012," ","")&amp;",")), --($S$2:$S$1012="DONE")), 0)</f>
      </c>
      <c r="Y3" s="20">
        <f>IF(AND($S3="DONE", ISNUMBER(FIND(","&amp;Y$1&amp;",", ","&amp;SUBSTITUTE($O3," ","")&amp;","))), 1/SUMPRODUCT(--ISNUMBER(FIND(","&amp;Y$1&amp;",", ","&amp;SUBSTITUTE($O$2:$O$1012," ","")&amp;",")), --($S$2:$S$1012="DONE")), 0)</f>
      </c>
      <c r="Z3" s="20">
        <f>IF(AND($S3="DONE", ISNUMBER(FIND(","&amp;Z$1&amp;",", ","&amp;SUBSTITUTE($O3," ","")&amp;","))), 1/SUMPRODUCT(--ISNUMBER(FIND(","&amp;Z$1&amp;",", ","&amp;SUBSTITUTE($O$2:$O$1012," ","")&amp;",")), --($S$2:$S$1012="DONE")), 0)</f>
      </c>
      <c r="AA3" s="20">
        <f>IF(AND($S3="DONE", ISNUMBER(FIND(","&amp;AA$1&amp;",", ","&amp;SUBSTITUTE($O3," ","")&amp;","))), 1/SUMPRODUCT(--ISNUMBER(FIND(","&amp;AA$1&amp;",", ","&amp;SUBSTITUTE($O$2:$O$1012," ","")&amp;",")), --($S$2:$S$1012="DONE")), 0)</f>
      </c>
      <c r="AB3" s="20">
        <f>IF(AND($S3="DONE", ISNUMBER(FIND(","&amp;AB$1&amp;",", ","&amp;SUBSTITUTE($O3," ","")&amp;","))), 1/SUMPRODUCT(--ISNUMBER(FIND(","&amp;AB$1&amp;",", ","&amp;SUBSTITUTE($O$2:$O$1012," ","")&amp;",")), --($S$2:$S$1012="DONE")), 0)</f>
      </c>
      <c r="AC3" s="20">
        <f>IF(AND($S3="DONE", ISNUMBER(FIND(","&amp;AC$1&amp;",", ","&amp;SUBSTITUTE($O3," ","")&amp;","))), 1/SUMPRODUCT(--ISNUMBER(FIND(","&amp;AC$1&amp;",", ","&amp;SUBSTITUTE($O$2:$O$1012," ","")&amp;",")), --($S$2:$S$1012="DONE")), 0)</f>
      </c>
      <c r="AD3" s="20">
        <f>IF(AND($S3="DONE", ISNUMBER(FIND(","&amp;AD$1&amp;",", ","&amp;SUBSTITUTE($O3," ","")&amp;","))), 1/SUMPRODUCT(--ISNUMBER(FIND(","&amp;AD$1&amp;",", ","&amp;SUBSTITUTE($O$2:$O$1012," ","")&amp;",")), --($S$2:$S$1012="DONE")), 0)</f>
      </c>
      <c r="AE3" s="20">
        <f>IF(AND($S3="DONE", ISNUMBER(FIND(","&amp;AE$1&amp;",", ","&amp;SUBSTITUTE($O3," ","")&amp;","))), 1/SUMPRODUCT(--ISNUMBER(FIND(","&amp;AE$1&amp;",", ","&amp;SUBSTITUTE($O$2:$O$1012," ","")&amp;",")), --($S$2:$S$1012="DONE")), 0)</f>
      </c>
      <c r="AF3" s="20">
        <f>IF(AND($S3="DONE", ISNUMBER(FIND(","&amp;AF$1&amp;",", ","&amp;SUBSTITUTE($O3," ","")&amp;","))), 1/SUMPRODUCT(--ISNUMBER(FIND(","&amp;AF$1&amp;",", ","&amp;SUBSTITUTE($O$2:$O$1012," ","")&amp;",")), --($S$2:$S$1012="DONE")), 0)</f>
      </c>
      <c r="AG3" s="20">
        <f>IF(AND($S3="DONE", ISNUMBER(FIND(","&amp;AG$1&amp;",", ","&amp;SUBSTITUTE($O3," ","")&amp;","))), 1/SUMPRODUCT(--ISNUMBER(FIND(","&amp;AG$1&amp;",", ","&amp;SUBSTITUTE($O$2:$O$1012," ","")&amp;",")), --($S$2:$S$1012="DONE")), 0)</f>
      </c>
    </row>
    <row customHeight="true" ht="20" r="4">
      <c r="A4" s="3"/>
      <c r="B4" s="3" t="str">
        <v>L_Labor_Initial_NagX_S01_01</v>
      </c>
      <c r="C4" s="3" t="str">
        <v>L_Labor_Initial_NagX_S01_01_Enemy</v>
      </c>
      <c r="D4" s="3" t="str">
        <v>L_Labor_Initial_NagX_S01_01_Reward</v>
      </c>
      <c r="E4" s="3"/>
      <c r="F4" s="3" t="str">
        <v>/Game/Levels/Maps/Labor/SubLevel/Labor_S01/L_Labor_Initial_NagX_S01_01.L_Labor_Initial_NagX_S01_01</v>
      </c>
      <c r="G4" s="3" t="str">
        <v>/Script/Engine.World'/Game/Levels/Maps/Labor/SubLevel/Labor_S01/L_Labor_Initial_NagX_S01_01_Enemy.L_Labor_Initial_NagX_S01_01_Enemy'</v>
      </c>
      <c r="H4" s="3" t="str">
        <v>/Script/Engine.World'/Game/Levels/Maps/Labor/SubLevel/Labor_S01/L_Labor_Initial_NagX_S01_01_Reward.L_Labor_Initial_NagX_S01_01_Reward'</v>
      </c>
      <c r="I4" s="19" t="str">
        <v>S01</v>
      </c>
      <c r="J4" s="3" t="str">
        <v>1_Initial</v>
      </c>
      <c r="K4" s="19" t="str">
        <v>0_Initial</v>
      </c>
      <c r="L4" s="3"/>
      <c r="M4" s="3" t="str">
        <v>Labor</v>
      </c>
      <c r="N4" s="19" t="str">
        <v>1_NagX</v>
      </c>
      <c r="O4" s="19" t="str">
        <v>1</v>
      </c>
      <c r="P4" s="19" t="str">
        <v>01</v>
      </c>
      <c r="Q4" s="19"/>
      <c r="R4" s="19"/>
      <c r="S4" s="3" t="str">
        <v>NEED FIX</v>
      </c>
      <c r="T4" s="3" t="str"/>
      <c r="U4" s="1"/>
      <c r="V4" s="20">
        <f>IF(SUM(X4:AG4)=0, 0, SUM(X4:AG4) / SUM($X$2:$AG$1012))</f>
      </c>
      <c r="W4" s="20"/>
      <c r="X4" s="20">
        <f>IF(AND($S4="DONE", ISNUMBER(FIND(","&amp;X$1&amp;",", ","&amp;SUBSTITUTE($O4," ","")&amp;","))), 1/SUMPRODUCT(--ISNUMBER(FIND(","&amp;X$1&amp;",", ","&amp;SUBSTITUTE($O$2:$O$1012," ","")&amp;",")), --($S$2:$S$1012="DONE")), 0)</f>
      </c>
      <c r="Y4" s="20">
        <f>IF(AND($S4="DONE", ISNUMBER(FIND(","&amp;Y$1&amp;",", ","&amp;SUBSTITUTE($O4," ","")&amp;","))), 1/SUMPRODUCT(--ISNUMBER(FIND(","&amp;Y$1&amp;",", ","&amp;SUBSTITUTE($O$2:$O$1012," ","")&amp;",")), --($S$2:$S$1012="DONE")), 0)</f>
      </c>
      <c r="Z4" s="20">
        <f>IF(AND($S4="DONE", ISNUMBER(FIND(","&amp;Z$1&amp;",", ","&amp;SUBSTITUTE($O4," ","")&amp;","))), 1/SUMPRODUCT(--ISNUMBER(FIND(","&amp;Z$1&amp;",", ","&amp;SUBSTITUTE($O$2:$O$1012," ","")&amp;",")), --($S$2:$S$1012="DONE")), 0)</f>
      </c>
      <c r="AA4" s="20">
        <f>IF(AND($S4="DONE", ISNUMBER(FIND(","&amp;AA$1&amp;",", ","&amp;SUBSTITUTE($O4," ","")&amp;","))), 1/SUMPRODUCT(--ISNUMBER(FIND(","&amp;AA$1&amp;",", ","&amp;SUBSTITUTE($O$2:$O$1012," ","")&amp;",")), --($S$2:$S$1012="DONE")), 0)</f>
      </c>
      <c r="AB4" s="20">
        <f>IF(AND($S4="DONE", ISNUMBER(FIND(","&amp;AB$1&amp;",", ","&amp;SUBSTITUTE($O4," ","")&amp;","))), 1/SUMPRODUCT(--ISNUMBER(FIND(","&amp;AB$1&amp;",", ","&amp;SUBSTITUTE($O$2:$O$1012," ","")&amp;",")), --($S$2:$S$1012="DONE")), 0)</f>
      </c>
      <c r="AC4" s="20">
        <f>IF(AND($S4="DONE", ISNUMBER(FIND(","&amp;AC$1&amp;",", ","&amp;SUBSTITUTE($O4," ","")&amp;","))), 1/SUMPRODUCT(--ISNUMBER(FIND(","&amp;AC$1&amp;",", ","&amp;SUBSTITUTE($O$2:$O$1012," ","")&amp;",")), --($S$2:$S$1012="DONE")), 0)</f>
      </c>
      <c r="AD4" s="20">
        <f>IF(AND($S4="DONE", ISNUMBER(FIND(","&amp;AD$1&amp;",", ","&amp;SUBSTITUTE($O4," ","")&amp;","))), 1/SUMPRODUCT(--ISNUMBER(FIND(","&amp;AD$1&amp;",", ","&amp;SUBSTITUTE($O$2:$O$1012," ","")&amp;",")), --($S$2:$S$1012="DONE")), 0)</f>
      </c>
      <c r="AE4" s="20">
        <f>IF(AND($S4="DONE", ISNUMBER(FIND(","&amp;AE$1&amp;",", ","&amp;SUBSTITUTE($O4," ","")&amp;","))), 1/SUMPRODUCT(--ISNUMBER(FIND(","&amp;AE$1&amp;",", ","&amp;SUBSTITUTE($O$2:$O$1012," ","")&amp;",")), --($S$2:$S$1012="DONE")), 0)</f>
      </c>
      <c r="AF4" s="20">
        <f>IF(AND($S4="DONE", ISNUMBER(FIND(","&amp;AF$1&amp;",", ","&amp;SUBSTITUTE($O4," ","")&amp;","))), 1/SUMPRODUCT(--ISNUMBER(FIND(","&amp;AF$1&amp;",", ","&amp;SUBSTITUTE($O$2:$O$1012," ","")&amp;",")), --($S$2:$S$1012="DONE")), 0)</f>
      </c>
      <c r="AG4" s="20">
        <f>IF(AND($S4="DONE", ISNUMBER(FIND(","&amp;AG$1&amp;",", ","&amp;SUBSTITUTE($O4," ","")&amp;","))), 1/SUMPRODUCT(--ISNUMBER(FIND(","&amp;AG$1&amp;",", ","&amp;SUBSTITUTE($O$2:$O$1012," ","")&amp;",")), --($S$2:$S$1012="DONE")), 0)</f>
      </c>
    </row>
    <row customHeight="true" ht="20" r="5">
      <c r="A5" s="3"/>
      <c r="B5" s="3" t="str">
        <v>L_Labor_Initial_NagY_S01_01</v>
      </c>
      <c r="C5" s="3" t="str">
        <v>L_Labor_Initial_NagY_S01_01_Enemy</v>
      </c>
      <c r="D5" s="3" t="str">
        <v>L_Labor_Initial_NagY_S01_01_Reward</v>
      </c>
      <c r="E5" s="3"/>
      <c r="F5" s="3" t="str">
        <v>/Game/Levels/Maps/Labor/SubLevel/Labor_S01/L_Labor_Initial_NagY_S01_01.L_Labor_Initial_NagY_S01_01</v>
      </c>
      <c r="G5" s="3" t="str">
        <v>/Script/Engine.World'/Game/Levels/Maps/Labor/SubLevel/Labor_S01/L_Labor_Initial_NagY_S01_01_Enemy.L_Labor_Initial_NagY_S01_01_Enemy'</v>
      </c>
      <c r="H5" s="3" t="str">
        <v>/Script/Engine.World'/Game/Levels/Maps/Labor/SubLevel/Labor_S01/L_Labor_Initial_NagY_S01_01_Reward.L_Labor_Initial_NagY_S01_01_Reward'</v>
      </c>
      <c r="I5" s="19" t="str">
        <v>S01</v>
      </c>
      <c r="J5" s="3" t="str">
        <v>1_Initial</v>
      </c>
      <c r="K5" s="19" t="str">
        <v>0_Initial</v>
      </c>
      <c r="L5" s="3"/>
      <c r="M5" s="3" t="str">
        <v>Labor</v>
      </c>
      <c r="N5" s="19" t="str">
        <v>3_NagY</v>
      </c>
      <c r="O5" s="19" t="str">
        <v>1</v>
      </c>
      <c r="P5" s="19" t="str">
        <v>01</v>
      </c>
      <c r="Q5" s="19"/>
      <c r="R5" s="19"/>
      <c r="S5" s="3" t="str">
        <v>NEED FIX</v>
      </c>
      <c r="T5" s="3" t="str"/>
      <c r="U5" s="1"/>
      <c r="V5" s="20">
        <f>IF(SUM(X5:AG5)=0, 0, SUM(X5:AG5) / SUM($X$2:$AG$1012))</f>
      </c>
      <c r="W5" s="20"/>
      <c r="X5" s="20">
        <f>IF(AND($S5="DONE", ISNUMBER(FIND(","&amp;X$1&amp;",", ","&amp;SUBSTITUTE($O5," ","")&amp;","))), 1/SUMPRODUCT(--ISNUMBER(FIND(","&amp;X$1&amp;",", ","&amp;SUBSTITUTE($O$2:$O$1012," ","")&amp;",")), --($S$2:$S$1012="DONE")), 0)</f>
      </c>
      <c r="Y5" s="20">
        <f>IF(AND($S5="DONE", ISNUMBER(FIND(","&amp;Y$1&amp;",", ","&amp;SUBSTITUTE($O5," ","")&amp;","))), 1/SUMPRODUCT(--ISNUMBER(FIND(","&amp;Y$1&amp;",", ","&amp;SUBSTITUTE($O$2:$O$1012," ","")&amp;",")), --($S$2:$S$1012="DONE")), 0)</f>
      </c>
      <c r="Z5" s="20">
        <f>IF(AND($S5="DONE", ISNUMBER(FIND(","&amp;Z$1&amp;",", ","&amp;SUBSTITUTE($O5," ","")&amp;","))), 1/SUMPRODUCT(--ISNUMBER(FIND(","&amp;Z$1&amp;",", ","&amp;SUBSTITUTE($O$2:$O$1012," ","")&amp;",")), --($S$2:$S$1012="DONE")), 0)</f>
      </c>
      <c r="AA5" s="20">
        <f>IF(AND($S5="DONE", ISNUMBER(FIND(","&amp;AA$1&amp;",", ","&amp;SUBSTITUTE($O5," ","")&amp;","))), 1/SUMPRODUCT(--ISNUMBER(FIND(","&amp;AA$1&amp;",", ","&amp;SUBSTITUTE($O$2:$O$1012," ","")&amp;",")), --($S$2:$S$1012="DONE")), 0)</f>
      </c>
      <c r="AB5" s="20">
        <f>IF(AND($S5="DONE", ISNUMBER(FIND(","&amp;AB$1&amp;",", ","&amp;SUBSTITUTE($O5," ","")&amp;","))), 1/SUMPRODUCT(--ISNUMBER(FIND(","&amp;AB$1&amp;",", ","&amp;SUBSTITUTE($O$2:$O$1012," ","")&amp;",")), --($S$2:$S$1012="DONE")), 0)</f>
      </c>
      <c r="AC5" s="20">
        <f>IF(AND($S5="DONE", ISNUMBER(FIND(","&amp;AC$1&amp;",", ","&amp;SUBSTITUTE($O5," ","")&amp;","))), 1/SUMPRODUCT(--ISNUMBER(FIND(","&amp;AC$1&amp;",", ","&amp;SUBSTITUTE($O$2:$O$1012," ","")&amp;",")), --($S$2:$S$1012="DONE")), 0)</f>
      </c>
      <c r="AD5" s="20">
        <f>IF(AND($S5="DONE", ISNUMBER(FIND(","&amp;AD$1&amp;",", ","&amp;SUBSTITUTE($O5," ","")&amp;","))), 1/SUMPRODUCT(--ISNUMBER(FIND(","&amp;AD$1&amp;",", ","&amp;SUBSTITUTE($O$2:$O$1012," ","")&amp;",")), --($S$2:$S$1012="DONE")), 0)</f>
      </c>
      <c r="AE5" s="20">
        <f>IF(AND($S5="DONE", ISNUMBER(FIND(","&amp;AE$1&amp;",", ","&amp;SUBSTITUTE($O5," ","")&amp;","))), 1/SUMPRODUCT(--ISNUMBER(FIND(","&amp;AE$1&amp;",", ","&amp;SUBSTITUTE($O$2:$O$1012," ","")&amp;",")), --($S$2:$S$1012="DONE")), 0)</f>
      </c>
      <c r="AF5" s="20">
        <f>IF(AND($S5="DONE", ISNUMBER(FIND(","&amp;AF$1&amp;",", ","&amp;SUBSTITUTE($O5," ","")&amp;","))), 1/SUMPRODUCT(--ISNUMBER(FIND(","&amp;AF$1&amp;",", ","&amp;SUBSTITUTE($O$2:$O$1012," ","")&amp;",")), --($S$2:$S$1012="DONE")), 0)</f>
      </c>
      <c r="AG5" s="20">
        <f>IF(AND($S5="DONE", ISNUMBER(FIND(","&amp;AG$1&amp;",", ","&amp;SUBSTITUTE($O5," ","")&amp;","))), 1/SUMPRODUCT(--ISNUMBER(FIND(","&amp;AG$1&amp;",", ","&amp;SUBSTITUTE($O$2:$O$1012," ","")&amp;",")), --($S$2:$S$1012="DONE")), 0)</f>
      </c>
    </row>
    <row customHeight="true" ht="20" r="6">
      <c r="A6" s="3"/>
      <c r="B6" s="3" t="str">
        <v>L_Labor_PosX_NagY_S01_01</v>
      </c>
      <c r="C6" s="3" t="str">
        <v>L_Labor_PosX_NagY_S01_01_Enemy</v>
      </c>
      <c r="D6" s="3" t="str">
        <v>L_Labor_PosX_NagY_S01_01_Reward</v>
      </c>
      <c r="E6" s="3"/>
      <c r="F6" s="3" t="str">
        <v>/Game/Levels/Maps/Labor/SubLevel/Labor_S01/L_Labor_PosX_NagY_S01_01.L_Labor_PosX_NagY_S01_01</v>
      </c>
      <c r="G6" s="3" t="str">
        <v>/Script/Engine.World'/Game/Levels/Maps/Labor/SubLevel/Labor_S01/L_Labor_PosX_NagY_S01_01_Enemy.L_Labor_PosX_NagY_S01_01_Enemy'</v>
      </c>
      <c r="H6" s="3" t="str">
        <v>/Script/Engine.World'/Game/Levels/Maps/Labor/SubLevel/Labor_S01/L_Labor_PosX_NagY_S01_01_Reward.L_Labor_PosX_NagY_S01_01_Reward'</v>
      </c>
      <c r="I6" s="19" t="str">
        <v>S01</v>
      </c>
      <c r="J6" s="3" t="str">
        <v>0_Regular</v>
      </c>
      <c r="K6" s="19" t="str">
        <v>0_PosX</v>
      </c>
      <c r="L6" s="3"/>
      <c r="M6" s="3" t="str">
        <v>Labor</v>
      </c>
      <c r="N6" s="19" t="str">
        <v>3_NagY</v>
      </c>
      <c r="O6" s="19" t="str">
        <v>1,2,3,4,5,6,7,8</v>
      </c>
      <c r="P6" s="19" t="str">
        <v>01</v>
      </c>
      <c r="Q6" s="19"/>
      <c r="R6" s="19"/>
      <c r="S6" s="3" t="str">
        <v>DONE</v>
      </c>
      <c r="T6" s="3" t="str">
        <v>PosXNagY</v>
      </c>
      <c r="U6" s="1"/>
      <c r="V6" s="20">
        <f>IF(SUM(X6:AG6)=0, 0, SUM(X6:AG6) / SUM($X$2:$AG$1012))</f>
      </c>
      <c r="W6" s="20"/>
      <c r="X6" s="20">
        <f>IF(AND($S6="DONE", ISNUMBER(FIND(","&amp;X$1&amp;",", ","&amp;SUBSTITUTE($O6," ","")&amp;","))), 1/SUMPRODUCT(--ISNUMBER(FIND(","&amp;X$1&amp;",", ","&amp;SUBSTITUTE($O$2:$O$1012," ","")&amp;",")), --($S$2:$S$1012="DONE")), 0)</f>
      </c>
      <c r="Y6" s="20">
        <f>IF(AND($S6="DONE", ISNUMBER(FIND(","&amp;Y$1&amp;",", ","&amp;SUBSTITUTE($O6," ","")&amp;","))), 1/SUMPRODUCT(--ISNUMBER(FIND(","&amp;Y$1&amp;",", ","&amp;SUBSTITUTE($O$2:$O$1012," ","")&amp;",")), --($S$2:$S$1012="DONE")), 0)</f>
      </c>
      <c r="Z6" s="20">
        <f>IF(AND($S6="DONE", ISNUMBER(FIND(","&amp;Z$1&amp;",", ","&amp;SUBSTITUTE($O6," ","")&amp;","))), 1/SUMPRODUCT(--ISNUMBER(FIND(","&amp;Z$1&amp;",", ","&amp;SUBSTITUTE($O$2:$O$1012," ","")&amp;",")), --($S$2:$S$1012="DONE")), 0)</f>
      </c>
      <c r="AA6" s="20">
        <f>IF(AND($S6="DONE", ISNUMBER(FIND(","&amp;AA$1&amp;",", ","&amp;SUBSTITUTE($O6," ","")&amp;","))), 1/SUMPRODUCT(--ISNUMBER(FIND(","&amp;AA$1&amp;",", ","&amp;SUBSTITUTE($O$2:$O$1012," ","")&amp;",")), --($S$2:$S$1012="DONE")), 0)</f>
      </c>
      <c r="AB6" s="20">
        <f>IF(AND($S6="DONE", ISNUMBER(FIND(","&amp;AB$1&amp;",", ","&amp;SUBSTITUTE($O6," ","")&amp;","))), 1/SUMPRODUCT(--ISNUMBER(FIND(","&amp;AB$1&amp;",", ","&amp;SUBSTITUTE($O$2:$O$1012," ","")&amp;",")), --($S$2:$S$1012="DONE")), 0)</f>
      </c>
      <c r="AC6" s="20">
        <f>IF(AND($S6="DONE", ISNUMBER(FIND(","&amp;AC$1&amp;",", ","&amp;SUBSTITUTE($O6," ","")&amp;","))), 1/SUMPRODUCT(--ISNUMBER(FIND(","&amp;AC$1&amp;",", ","&amp;SUBSTITUTE($O$2:$O$1012," ","")&amp;",")), --($S$2:$S$1012="DONE")), 0)</f>
      </c>
      <c r="AD6" s="20">
        <f>IF(AND($S6="DONE", ISNUMBER(FIND(","&amp;AD$1&amp;",", ","&amp;SUBSTITUTE($O6," ","")&amp;","))), 1/SUMPRODUCT(--ISNUMBER(FIND(","&amp;AD$1&amp;",", ","&amp;SUBSTITUTE($O$2:$O$1012," ","")&amp;",")), --($S$2:$S$1012="DONE")), 0)</f>
      </c>
      <c r="AE6" s="20">
        <f>IF(AND($S6="DONE", ISNUMBER(FIND(","&amp;AE$1&amp;",", ","&amp;SUBSTITUTE($O6," ","")&amp;","))), 1/SUMPRODUCT(--ISNUMBER(FIND(","&amp;AE$1&amp;",", ","&amp;SUBSTITUTE($O$2:$O$1012," ","")&amp;",")), --($S$2:$S$1012="DONE")), 0)</f>
      </c>
      <c r="AF6" s="20">
        <f>IF(AND($S6="DONE", ISNUMBER(FIND(","&amp;AF$1&amp;",", ","&amp;SUBSTITUTE($O6," ","")&amp;","))), 1/SUMPRODUCT(--ISNUMBER(FIND(","&amp;AF$1&amp;",", ","&amp;SUBSTITUTE($O$2:$O$1012," ","")&amp;",")), --($S$2:$S$1012="DONE")), 0)</f>
      </c>
      <c r="AG6" s="20">
        <f>IF(AND($S6="DONE", ISNUMBER(FIND(","&amp;AG$1&amp;",", ","&amp;SUBSTITUTE($O6," ","")&amp;","))), 1/SUMPRODUCT(--ISNUMBER(FIND(","&amp;AG$1&amp;",", ","&amp;SUBSTITUTE($O$2:$O$1012," ","")&amp;",")), --($S$2:$S$1012="DONE")), 0)</f>
      </c>
    </row>
    <row r="7">
      <c r="A7" s="3"/>
      <c r="B7" s="3" t="str">
        <v>L_Labor_PosY_NagY_S02_01</v>
      </c>
      <c r="C7" s="3" t="str">
        <v>L_Labor_PosY_NagY_S02_01_Enemy</v>
      </c>
      <c r="D7" s="3" t="str">
        <v>L_Labor_PosY_NagY_S02_01_Reward</v>
      </c>
      <c r="E7" s="3"/>
      <c r="F7" s="3" t="str">
        <v>/Game/Levels/Maps/Labor/SubLevel/Labor_S02/L_Labor_PosY_NagY_S02_01.L_Labor_PosY_NagY_S02_01</v>
      </c>
      <c r="G7" s="3" t="str">
        <v>/Script/Engine.World'/Game/Levels/Maps/Labor/SubLevel/Labor_S02/L_Labor_PosY_NagY_S02_01_Enemy.L_Labor_PosY_NagY_S02_01_Enemy'</v>
      </c>
      <c r="H7" s="3" t="str">
        <v>/Script/Engine.World'/Game/Levels/Maps/Labor/SubLevel/Labor_S02/L_Labor_PosY_NagY_S02_01_Reward.L_Labor_PosY_NagY_S02_01_Reward'</v>
      </c>
      <c r="I7" s="19" t="str">
        <v>S02</v>
      </c>
      <c r="J7" s="3" t="str">
        <v>0_Regular</v>
      </c>
      <c r="K7" s="19" t="str">
        <v>2_PosY</v>
      </c>
      <c r="L7" s="3"/>
      <c r="M7" s="3" t="str">
        <v>Labor</v>
      </c>
      <c r="N7" s="19" t="str">
        <v>3_NagY</v>
      </c>
      <c r="O7" s="19" t="str">
        <v>1,2,3,4,5,6,7,8</v>
      </c>
      <c r="P7" s="19" t="str">
        <v>01</v>
      </c>
      <c r="Q7" s="19"/>
      <c r="R7" s="19"/>
      <c r="S7" s="3" t="str">
        <v>DONE</v>
      </c>
      <c r="T7" s="3" t="str">
        <v>PosYNagY</v>
      </c>
      <c r="U7" s="1"/>
      <c r="V7" s="20">
        <f>IF(SUM(X7:AG7)=0, 0, SUM(X7:AG7) / SUM($X$2:$AG$1012))</f>
      </c>
      <c r="W7" s="20"/>
      <c r="X7" s="20">
        <f>IF(AND($S7="DONE", ISNUMBER(FIND(","&amp;X$1&amp;",", ","&amp;SUBSTITUTE($O7," ","")&amp;","))), 1/SUMPRODUCT(--ISNUMBER(FIND(","&amp;X$1&amp;",", ","&amp;SUBSTITUTE($O$2:$O$1012," ","")&amp;",")), --($S$2:$S$1012="DONE")), 0)</f>
      </c>
      <c r="Y7" s="20">
        <f>IF(AND($S7="DONE", ISNUMBER(FIND(","&amp;Y$1&amp;",", ","&amp;SUBSTITUTE($O7," ","")&amp;","))), 1/SUMPRODUCT(--ISNUMBER(FIND(","&amp;Y$1&amp;",", ","&amp;SUBSTITUTE($O$2:$O$1012," ","")&amp;",")), --($S$2:$S$1012="DONE")), 0)</f>
      </c>
      <c r="Z7" s="20">
        <f>IF(AND($S7="DONE", ISNUMBER(FIND(","&amp;Z$1&amp;",", ","&amp;SUBSTITUTE($O7," ","")&amp;","))), 1/SUMPRODUCT(--ISNUMBER(FIND(","&amp;Z$1&amp;",", ","&amp;SUBSTITUTE($O$2:$O$1012," ","")&amp;",")), --($S$2:$S$1012="DONE")), 0)</f>
      </c>
      <c r="AA7" s="20">
        <f>IF(AND($S7="DONE", ISNUMBER(FIND(","&amp;AA$1&amp;",", ","&amp;SUBSTITUTE($O7," ","")&amp;","))), 1/SUMPRODUCT(--ISNUMBER(FIND(","&amp;AA$1&amp;",", ","&amp;SUBSTITUTE($O$2:$O$1012," ","")&amp;",")), --($S$2:$S$1012="DONE")), 0)</f>
      </c>
      <c r="AB7" s="20">
        <f>IF(AND($S7="DONE", ISNUMBER(FIND(","&amp;AB$1&amp;",", ","&amp;SUBSTITUTE($O7," ","")&amp;","))), 1/SUMPRODUCT(--ISNUMBER(FIND(","&amp;AB$1&amp;",", ","&amp;SUBSTITUTE($O$2:$O$1012," ","")&amp;",")), --($S$2:$S$1012="DONE")), 0)</f>
      </c>
      <c r="AC7" s="20">
        <f>IF(AND($S7="DONE", ISNUMBER(FIND(","&amp;AC$1&amp;",", ","&amp;SUBSTITUTE($O7," ","")&amp;","))), 1/SUMPRODUCT(--ISNUMBER(FIND(","&amp;AC$1&amp;",", ","&amp;SUBSTITUTE($O$2:$O$1012," ","")&amp;",")), --($S$2:$S$1012="DONE")), 0)</f>
      </c>
      <c r="AD7" s="20">
        <f>IF(AND($S7="DONE", ISNUMBER(FIND(","&amp;AD$1&amp;",", ","&amp;SUBSTITUTE($O7," ","")&amp;","))), 1/SUMPRODUCT(--ISNUMBER(FIND(","&amp;AD$1&amp;",", ","&amp;SUBSTITUTE($O$2:$O$1012," ","")&amp;",")), --($S$2:$S$1012="DONE")), 0)</f>
      </c>
      <c r="AE7" s="20">
        <f>IF(AND($S7="DONE", ISNUMBER(FIND(","&amp;AE$1&amp;",", ","&amp;SUBSTITUTE($O7," ","")&amp;","))), 1/SUMPRODUCT(--ISNUMBER(FIND(","&amp;AE$1&amp;",", ","&amp;SUBSTITUTE($O$2:$O$1012," ","")&amp;",")), --($S$2:$S$1012="DONE")), 0)</f>
      </c>
      <c r="AF7" s="20">
        <f>IF(AND($S7="DONE", ISNUMBER(FIND(","&amp;AF$1&amp;",", ","&amp;SUBSTITUTE($O7," ","")&amp;","))), 1/SUMPRODUCT(--ISNUMBER(FIND(","&amp;AF$1&amp;",", ","&amp;SUBSTITUTE($O$2:$O$1012," ","")&amp;",")), --($S$2:$S$1012="DONE")), 0)</f>
      </c>
      <c r="AG7" s="20">
        <f>IF(AND($S7="DONE", ISNUMBER(FIND(","&amp;AG$1&amp;",", ","&amp;SUBSTITUTE($O7," ","")&amp;","))), 1/SUMPRODUCT(--ISNUMBER(FIND(","&amp;AG$1&amp;",", ","&amp;SUBSTITUTE($O$2:$O$1012," ","")&amp;",")), --($S$2:$S$1012="DONE")), 0)</f>
      </c>
    </row>
    <row customHeight="true" ht="20" r="8">
      <c r="A8" s="3"/>
      <c r="B8" s="3" t="str">
        <v>L_Labor_PosX_NagX_S03_01</v>
      </c>
      <c r="C8" s="3" t="str">
        <v>L_Labor_PosX_NagX_S03_01_Enemy</v>
      </c>
      <c r="D8" s="3" t="str">
        <v>L_Labor_PosX_NagX_S03_01_Reward</v>
      </c>
      <c r="E8" s="3"/>
      <c r="F8" s="3" t="str">
        <v>/Game/Levels/Maps/Labor/SubLevel/Labor_S03/L_Labor_PosX_NagX_S03_01.L_Labor_PosX_NagX_S03_01</v>
      </c>
      <c r="G8" s="3" t="str">
        <v>/Script/Engine.World'/Game/Levels/Maps/Labor/SubLevel/Labor_S03/L_Labor_PosX_NagX_S03_01_Enemy.L_Labor_PosX_NagX_S03_01_Enemy'</v>
      </c>
      <c r="H8" s="3" t="str">
        <v>/Script/Engine.World'/Game/Levels/Maps/Labor/SubLevel/Labor_S03/L_Labor_PosX_NagX_S03_01_Reward.L_Labor_PosX_NagX_S03_01_Reward'</v>
      </c>
      <c r="I8" s="19" t="str">
        <v>S03</v>
      </c>
      <c r="J8" s="3" t="str">
        <v>0_Regular</v>
      </c>
      <c r="K8" s="19" t="str">
        <v>0_PosX</v>
      </c>
      <c r="L8" s="3"/>
      <c r="M8" s="3" t="str">
        <v>Labor</v>
      </c>
      <c r="N8" s="19" t="str">
        <v>1_NagX</v>
      </c>
      <c r="O8" s="19" t="str">
        <v>1,2,3,4,5,6,7,8</v>
      </c>
      <c r="P8" s="19" t="str">
        <v>01</v>
      </c>
      <c r="Q8" s="19"/>
      <c r="R8" s="19"/>
      <c r="S8" s="3" t="str">
        <v>DONE</v>
      </c>
      <c r="T8" s="3" t="str">
        <v>PosXNagX</v>
      </c>
      <c r="U8" s="1"/>
      <c r="V8" s="20">
        <f>IF(SUM(X8:AG8)=0, 0, SUM(X8:AG8) / SUM($X$2:$AG$1012))</f>
      </c>
      <c r="W8" s="20"/>
      <c r="X8" s="20">
        <f>IF(AND($S8="DONE", ISNUMBER(FIND(","&amp;X$1&amp;",", ","&amp;SUBSTITUTE($O8," ","")&amp;","))), 1/SUMPRODUCT(--ISNUMBER(FIND(","&amp;X$1&amp;",", ","&amp;SUBSTITUTE($O$2:$O$1012," ","")&amp;",")), --($S$2:$S$1012="DONE")), 0)</f>
      </c>
      <c r="Y8" s="20">
        <f>IF(AND($S8="DONE", ISNUMBER(FIND(","&amp;Y$1&amp;",", ","&amp;SUBSTITUTE($O8," ","")&amp;","))), 1/SUMPRODUCT(--ISNUMBER(FIND(","&amp;Y$1&amp;",", ","&amp;SUBSTITUTE($O$2:$O$1012," ","")&amp;",")), --($S$2:$S$1012="DONE")), 0)</f>
      </c>
      <c r="Z8" s="20">
        <f>IF(AND($S8="DONE", ISNUMBER(FIND(","&amp;Z$1&amp;",", ","&amp;SUBSTITUTE($O8," ","")&amp;","))), 1/SUMPRODUCT(--ISNUMBER(FIND(","&amp;Z$1&amp;",", ","&amp;SUBSTITUTE($O$2:$O$1012," ","")&amp;",")), --($S$2:$S$1012="DONE")), 0)</f>
      </c>
      <c r="AA8" s="20">
        <f>IF(AND($S8="DONE", ISNUMBER(FIND(","&amp;AA$1&amp;",", ","&amp;SUBSTITUTE($O8," ","")&amp;","))), 1/SUMPRODUCT(--ISNUMBER(FIND(","&amp;AA$1&amp;",", ","&amp;SUBSTITUTE($O$2:$O$1012," ","")&amp;",")), --($S$2:$S$1012="DONE")), 0)</f>
      </c>
      <c r="AB8" s="20">
        <f>IF(AND($S8="DONE", ISNUMBER(FIND(","&amp;AB$1&amp;",", ","&amp;SUBSTITUTE($O8," ","")&amp;","))), 1/SUMPRODUCT(--ISNUMBER(FIND(","&amp;AB$1&amp;",", ","&amp;SUBSTITUTE($O$2:$O$1012," ","")&amp;",")), --($S$2:$S$1012="DONE")), 0)</f>
      </c>
      <c r="AC8" s="20">
        <f>IF(AND($S8="DONE", ISNUMBER(FIND(","&amp;AC$1&amp;",", ","&amp;SUBSTITUTE($O8," ","")&amp;","))), 1/SUMPRODUCT(--ISNUMBER(FIND(","&amp;AC$1&amp;",", ","&amp;SUBSTITUTE($O$2:$O$1012," ","")&amp;",")), --($S$2:$S$1012="DONE")), 0)</f>
      </c>
      <c r="AD8" s="20">
        <f>IF(AND($S8="DONE", ISNUMBER(FIND(","&amp;AD$1&amp;",", ","&amp;SUBSTITUTE($O8," ","")&amp;","))), 1/SUMPRODUCT(--ISNUMBER(FIND(","&amp;AD$1&amp;",", ","&amp;SUBSTITUTE($O$2:$O$1012," ","")&amp;",")), --($S$2:$S$1012="DONE")), 0)</f>
      </c>
      <c r="AE8" s="20">
        <f>IF(AND($S8="DONE", ISNUMBER(FIND(","&amp;AE$1&amp;",", ","&amp;SUBSTITUTE($O8," ","")&amp;","))), 1/SUMPRODUCT(--ISNUMBER(FIND(","&amp;AE$1&amp;",", ","&amp;SUBSTITUTE($O$2:$O$1012," ","")&amp;",")), --($S$2:$S$1012="DONE")), 0)</f>
      </c>
      <c r="AF8" s="20">
        <f>IF(AND($S8="DONE", ISNUMBER(FIND(","&amp;AF$1&amp;",", ","&amp;SUBSTITUTE($O8," ","")&amp;","))), 1/SUMPRODUCT(--ISNUMBER(FIND(","&amp;AF$1&amp;",", ","&amp;SUBSTITUTE($O$2:$O$1012," ","")&amp;",")), --($S$2:$S$1012="DONE")), 0)</f>
      </c>
      <c r="AG8" s="20">
        <f>IF(AND($S8="DONE", ISNUMBER(FIND(","&amp;AG$1&amp;",", ","&amp;SUBSTITUTE($O8," ","")&amp;","))), 1/SUMPRODUCT(--ISNUMBER(FIND(","&amp;AG$1&amp;",", ","&amp;SUBSTITUTE($O$2:$O$1012," ","")&amp;",")), --($S$2:$S$1012="DONE")), 0)</f>
      </c>
    </row>
    <row customHeight="true" ht="20" r="9">
      <c r="A9" s="3"/>
      <c r="B9" s="3" t="str">
        <v>L_Labor_PosY_PosY_S04_01</v>
      </c>
      <c r="C9" s="3" t="str">
        <v>L_Labor_PosY_PosY_S04_01_Enemy</v>
      </c>
      <c r="D9" s="3" t="str">
        <v>L_Labor_PosY_PosY_S04_01_Reward</v>
      </c>
      <c r="E9" s="3"/>
      <c r="F9" s="3" t="str">
        <v>/Game/Levels/Maps/Labor/SubLevel/Labor_S04/L_Labor_PosY_PosY_S04_01.L_Labor_PosY_PosY_S04_01</v>
      </c>
      <c r="G9" s="3" t="str">
        <v>/Script/Engine.World'/Game/Levels/Maps/Labor/SubLevel/Labor_S04/L_Labor_PosY_PosY_S04_01_Enemy.L_Labor_PosY_PosY_S04_01_Enemy'</v>
      </c>
      <c r="H9" s="3" t="str">
        <v>/Script/Engine.World'/Game/Levels/Maps/Labor/SubLevel/Labor_S04/L_Labor_PosY_PosY_S04_01_Reward.L_Labor_PosY_PosY_S04_01_Reward'</v>
      </c>
      <c r="I9" s="19" t="str">
        <v>S04</v>
      </c>
      <c r="J9" s="3" t="str">
        <v>0_Regular</v>
      </c>
      <c r="K9" s="19" t="str">
        <v>2_PosY</v>
      </c>
      <c r="L9" s="3"/>
      <c r="M9" s="3" t="str">
        <v>Labor</v>
      </c>
      <c r="N9" s="19" t="str">
        <v>2_PosY</v>
      </c>
      <c r="O9" s="19" t="str">
        <v>1,2,3,4,5,6,7,8</v>
      </c>
      <c r="P9" s="19" t="str">
        <v>01</v>
      </c>
      <c r="Q9" s="19"/>
      <c r="R9" s="19"/>
      <c r="S9" s="3" t="str">
        <v>DONE</v>
      </c>
      <c r="T9" s="3" t="str">
        <v>PosYPosY</v>
      </c>
      <c r="U9" s="1"/>
      <c r="V9" s="20">
        <f>IF(SUM(X9:AG9)=0, 0, SUM(X9:AG9) / SUM($X$2:$AG$1012))</f>
      </c>
      <c r="W9" s="20"/>
      <c r="X9" s="20">
        <f>IF(AND($S9="DONE", ISNUMBER(FIND(","&amp;X$1&amp;",", ","&amp;SUBSTITUTE($O9," ","")&amp;","))), 1/SUMPRODUCT(--ISNUMBER(FIND(","&amp;X$1&amp;",", ","&amp;SUBSTITUTE($O$2:$O$1012," ","")&amp;",")), --($S$2:$S$1012="DONE")), 0)</f>
      </c>
      <c r="Y9" s="20">
        <f>IF(AND($S9="DONE", ISNUMBER(FIND(","&amp;Y$1&amp;",", ","&amp;SUBSTITUTE($O9," ","")&amp;","))), 1/SUMPRODUCT(--ISNUMBER(FIND(","&amp;Y$1&amp;",", ","&amp;SUBSTITUTE($O$2:$O$1012," ","")&amp;",")), --($S$2:$S$1012="DONE")), 0)</f>
      </c>
      <c r="Z9" s="20">
        <f>IF(AND($S9="DONE", ISNUMBER(FIND(","&amp;Z$1&amp;",", ","&amp;SUBSTITUTE($O9," ","")&amp;","))), 1/SUMPRODUCT(--ISNUMBER(FIND(","&amp;Z$1&amp;",", ","&amp;SUBSTITUTE($O$2:$O$1012," ","")&amp;",")), --($S$2:$S$1012="DONE")), 0)</f>
      </c>
      <c r="AA9" s="20">
        <f>IF(AND($S9="DONE", ISNUMBER(FIND(","&amp;AA$1&amp;",", ","&amp;SUBSTITUTE($O9," ","")&amp;","))), 1/SUMPRODUCT(--ISNUMBER(FIND(","&amp;AA$1&amp;",", ","&amp;SUBSTITUTE($O$2:$O$1012," ","")&amp;",")), --($S$2:$S$1012="DONE")), 0)</f>
      </c>
      <c r="AB9" s="20">
        <f>IF(AND($S9="DONE", ISNUMBER(FIND(","&amp;AB$1&amp;",", ","&amp;SUBSTITUTE($O9," ","")&amp;","))), 1/SUMPRODUCT(--ISNUMBER(FIND(","&amp;AB$1&amp;",", ","&amp;SUBSTITUTE($O$2:$O$1012," ","")&amp;",")), --($S$2:$S$1012="DONE")), 0)</f>
      </c>
      <c r="AC9" s="20">
        <f>IF(AND($S9="DONE", ISNUMBER(FIND(","&amp;AC$1&amp;",", ","&amp;SUBSTITUTE($O9," ","")&amp;","))), 1/SUMPRODUCT(--ISNUMBER(FIND(","&amp;AC$1&amp;",", ","&amp;SUBSTITUTE($O$2:$O$1012," ","")&amp;",")), --($S$2:$S$1012="DONE")), 0)</f>
      </c>
      <c r="AD9" s="20">
        <f>IF(AND($S9="DONE", ISNUMBER(FIND(","&amp;AD$1&amp;",", ","&amp;SUBSTITUTE($O9," ","")&amp;","))), 1/SUMPRODUCT(--ISNUMBER(FIND(","&amp;AD$1&amp;",", ","&amp;SUBSTITUTE($O$2:$O$1012," ","")&amp;",")), --($S$2:$S$1012="DONE")), 0)</f>
      </c>
      <c r="AE9" s="20">
        <f>IF(AND($S9="DONE", ISNUMBER(FIND(","&amp;AE$1&amp;",", ","&amp;SUBSTITUTE($O9," ","")&amp;","))), 1/SUMPRODUCT(--ISNUMBER(FIND(","&amp;AE$1&amp;",", ","&amp;SUBSTITUTE($O$2:$O$1012," ","")&amp;",")), --($S$2:$S$1012="DONE")), 0)</f>
      </c>
      <c r="AF9" s="20">
        <f>IF(AND($S9="DONE", ISNUMBER(FIND(","&amp;AF$1&amp;",", ","&amp;SUBSTITUTE($O9," ","")&amp;","))), 1/SUMPRODUCT(--ISNUMBER(FIND(","&amp;AF$1&amp;",", ","&amp;SUBSTITUTE($O$2:$O$1012," ","")&amp;",")), --($S$2:$S$1012="DONE")), 0)</f>
      </c>
      <c r="AG9" s="20">
        <f>IF(AND($S9="DONE", ISNUMBER(FIND(","&amp;AG$1&amp;",", ","&amp;SUBSTITUTE($O9," ","")&amp;","))), 1/SUMPRODUCT(--ISNUMBER(FIND(","&amp;AG$1&amp;",", ","&amp;SUBSTITUTE($O$2:$O$1012," ","")&amp;",")), --($S$2:$S$1012="DONE")), 0)</f>
      </c>
    </row>
    <row customHeight="true" ht="20" r="10">
      <c r="A10" s="3"/>
      <c r="B10" s="3" t="str">
        <v>L_Labor_NagY_PosY_S05_01</v>
      </c>
      <c r="C10" s="3" t="str">
        <v>L_Labor_NagY_PosY_S05_01_Enemy</v>
      </c>
      <c r="D10" s="3" t="str">
        <v>L_Labor_NagY_PosY_S05_01_Reward</v>
      </c>
      <c r="E10" s="3"/>
      <c r="F10" s="3" t="str">
        <v>/Game/Levels/Maps/Labor/SubLevel/Labor_S05/L_Labor_NagY_PosY_S05_01.L_Labor_NagY_PosY_S05_01</v>
      </c>
      <c r="G10" s="3" t="str">
        <v>/Script/Engine.World'/Game/Levels/Maps/Labor/SubLevel/Labor_S05/L_Labor_NagY_PosY_S05_01_Enemy.L_Labor_NagY_PosY_S05_01_Enemy'</v>
      </c>
      <c r="H10" s="3" t="str">
        <v>/Script/Engine.World'/Game/Levels/Maps/Labor/SubLevel/Labor_S05/L_Labor_NagY_PosY_S05_01_Reward.L_Labor_NagY_PosY_S05_01_Reward'</v>
      </c>
      <c r="I10" s="19" t="str">
        <v>S05</v>
      </c>
      <c r="J10" s="3" t="str">
        <v>0_Regular</v>
      </c>
      <c r="K10" s="19" t="str">
        <v>3_NagY</v>
      </c>
      <c r="L10" s="3"/>
      <c r="M10" s="3" t="str">
        <v>Labor</v>
      </c>
      <c r="N10" s="19" t="str">
        <v>2_PosY</v>
      </c>
      <c r="O10" s="19" t="str">
        <v>1,2,3,4,5,6,7,8</v>
      </c>
      <c r="P10" s="19" t="str">
        <v>01</v>
      </c>
      <c r="Q10" s="19"/>
      <c r="R10" s="19"/>
      <c r="S10" s="3" t="str">
        <v>DONE</v>
      </c>
      <c r="T10" s="3" t="str">
        <v>NagYPosY</v>
      </c>
      <c r="U10" s="1"/>
      <c r="V10" s="20">
        <f>IF(SUM(X10:AG10)=0, 0, SUM(X10:AG10) / SUM($X$2:$AG$1012))</f>
      </c>
      <c r="W10" s="20"/>
      <c r="X10" s="20">
        <f>IF(AND($S10="DONE", ISNUMBER(FIND(","&amp;X$1&amp;",", ","&amp;SUBSTITUTE($O10," ","")&amp;","))), 1/SUMPRODUCT(--ISNUMBER(FIND(","&amp;X$1&amp;",", ","&amp;SUBSTITUTE($O$2:$O$1012," ","")&amp;",")), --($S$2:$S$1012="DONE")), 0)</f>
      </c>
      <c r="Y10" s="20">
        <f>IF(AND($S10="DONE", ISNUMBER(FIND(","&amp;Y$1&amp;",", ","&amp;SUBSTITUTE($O10," ","")&amp;","))), 1/SUMPRODUCT(--ISNUMBER(FIND(","&amp;Y$1&amp;",", ","&amp;SUBSTITUTE($O$2:$O$1012," ","")&amp;",")), --($S$2:$S$1012="DONE")), 0)</f>
      </c>
      <c r="Z10" s="20">
        <f>IF(AND($S10="DONE", ISNUMBER(FIND(","&amp;Z$1&amp;",", ","&amp;SUBSTITUTE($O10," ","")&amp;","))), 1/SUMPRODUCT(--ISNUMBER(FIND(","&amp;Z$1&amp;",", ","&amp;SUBSTITUTE($O$2:$O$1012," ","")&amp;",")), --($S$2:$S$1012="DONE")), 0)</f>
      </c>
      <c r="AA10" s="20">
        <f>IF(AND($S10="DONE", ISNUMBER(FIND(","&amp;AA$1&amp;",", ","&amp;SUBSTITUTE($O10," ","")&amp;","))), 1/SUMPRODUCT(--ISNUMBER(FIND(","&amp;AA$1&amp;",", ","&amp;SUBSTITUTE($O$2:$O$1012," ","")&amp;",")), --($S$2:$S$1012="DONE")), 0)</f>
      </c>
      <c r="AB10" s="20">
        <f>IF(AND($S10="DONE", ISNUMBER(FIND(","&amp;AB$1&amp;",", ","&amp;SUBSTITUTE($O10," ","")&amp;","))), 1/SUMPRODUCT(--ISNUMBER(FIND(","&amp;AB$1&amp;",", ","&amp;SUBSTITUTE($O$2:$O$1012," ","")&amp;",")), --($S$2:$S$1012="DONE")), 0)</f>
      </c>
      <c r="AC10" s="20">
        <f>IF(AND($S10="DONE", ISNUMBER(FIND(","&amp;AC$1&amp;",", ","&amp;SUBSTITUTE($O10," ","")&amp;","))), 1/SUMPRODUCT(--ISNUMBER(FIND(","&amp;AC$1&amp;",", ","&amp;SUBSTITUTE($O$2:$O$1012," ","")&amp;",")), --($S$2:$S$1012="DONE")), 0)</f>
      </c>
      <c r="AD10" s="20">
        <f>IF(AND($S10="DONE", ISNUMBER(FIND(","&amp;AD$1&amp;",", ","&amp;SUBSTITUTE($O10," ","")&amp;","))), 1/SUMPRODUCT(--ISNUMBER(FIND(","&amp;AD$1&amp;",", ","&amp;SUBSTITUTE($O$2:$O$1012," ","")&amp;",")), --($S$2:$S$1012="DONE")), 0)</f>
      </c>
      <c r="AE10" s="20">
        <f>IF(AND($S10="DONE", ISNUMBER(FIND(","&amp;AE$1&amp;",", ","&amp;SUBSTITUTE($O10," ","")&amp;","))), 1/SUMPRODUCT(--ISNUMBER(FIND(","&amp;AE$1&amp;",", ","&amp;SUBSTITUTE($O$2:$O$1012," ","")&amp;",")), --($S$2:$S$1012="DONE")), 0)</f>
      </c>
      <c r="AF10" s="20">
        <f>IF(AND($S10="DONE", ISNUMBER(FIND(","&amp;AF$1&amp;",", ","&amp;SUBSTITUTE($O10," ","")&amp;","))), 1/SUMPRODUCT(--ISNUMBER(FIND(","&amp;AF$1&amp;",", ","&amp;SUBSTITUTE($O$2:$O$1012," ","")&amp;",")), --($S$2:$S$1012="DONE")), 0)</f>
      </c>
      <c r="AG10" s="20">
        <f>IF(AND($S10="DONE", ISNUMBER(FIND(","&amp;AG$1&amp;",", ","&amp;SUBSTITUTE($O10," ","")&amp;","))), 1/SUMPRODUCT(--ISNUMBER(FIND(","&amp;AG$1&amp;",", ","&amp;SUBSTITUTE($O$2:$O$1012," ","")&amp;",")), --($S$2:$S$1012="DONE")), 0)</f>
      </c>
    </row>
    <row r="11">
      <c r="A11" s="3"/>
      <c r="B11" s="3" t="str">
        <v>L_Labor_PosX_NagX_S06_01</v>
      </c>
      <c r="C11" s="3" t="str">
        <v>L_Labor_PosX_NagX_S06_01_Enemy</v>
      </c>
      <c r="D11" s="3" t="str">
        <v>L_Labor_PosX_NagX_S06_01_Reward</v>
      </c>
      <c r="E11" s="3"/>
      <c r="F11" s="3" t="str">
        <v>/Game/Levels/Maps/Labor/SubLevel/Labor_S06/L_Labor_PosX_NagX_S06_01.L_Labor_PosX_NagX_S06_01</v>
      </c>
      <c r="G11" s="3" t="str">
        <v>/Script/Engine.World'/Game/Levels/Maps/Labor/SubLevel/Labor_S06/L_Labor_PosX_NagX_S06_01_Enemy.L_Labor_PosX_NagX_S06_01_Enemy'</v>
      </c>
      <c r="H11" s="3" t="str">
        <v>/Script/Engine.World'/Game/Levels/Maps/Labor/SubLevel/Labor_S06/L_Labor_PosX_NagX_S06_01_Reward.L_Labor_PosX_NagX_S06_01_Reward'</v>
      </c>
      <c r="I11" s="19" t="str">
        <v>S06</v>
      </c>
      <c r="J11" s="3" t="str">
        <v>0_Regular</v>
      </c>
      <c r="K11" s="19" t="str">
        <v>0_PosX</v>
      </c>
      <c r="L11" s="3"/>
      <c r="M11" s="3" t="str">
        <v>Labor</v>
      </c>
      <c r="N11" s="19" t="str">
        <v>1_NagX</v>
      </c>
      <c r="O11" s="19" t="str">
        <v>1,2,3,4,5,6,7,8</v>
      </c>
      <c r="P11" s="19" t="str">
        <v>01</v>
      </c>
      <c r="Q11" s="19"/>
      <c r="R11" s="19"/>
      <c r="S11" s="3" t="str">
        <v>DONE</v>
      </c>
      <c r="T11" s="3" t="str">
        <v>PosXNagX</v>
      </c>
      <c r="U11" s="1"/>
      <c r="V11" s="20">
        <f>IF(SUM(X11:AG11)=0, 0, SUM(X11:AG11) / SUM($X$2:$AG$1012))</f>
      </c>
      <c r="W11" s="20"/>
      <c r="X11" s="20">
        <f>IF(AND($S11="DONE", ISNUMBER(FIND(","&amp;X$1&amp;",", ","&amp;SUBSTITUTE($O11," ","")&amp;","))), 1/SUMPRODUCT(--ISNUMBER(FIND(","&amp;X$1&amp;",", ","&amp;SUBSTITUTE($O$2:$O$1012," ","")&amp;",")), --($S$2:$S$1012="DONE")), 0)</f>
      </c>
      <c r="Y11" s="20">
        <f>IF(AND($S11="DONE", ISNUMBER(FIND(","&amp;Y$1&amp;",", ","&amp;SUBSTITUTE($O11," ","")&amp;","))), 1/SUMPRODUCT(--ISNUMBER(FIND(","&amp;Y$1&amp;",", ","&amp;SUBSTITUTE($O$2:$O$1012," ","")&amp;",")), --($S$2:$S$1012="DONE")), 0)</f>
      </c>
      <c r="Z11" s="20">
        <f>IF(AND($S11="DONE", ISNUMBER(FIND(","&amp;Z$1&amp;",", ","&amp;SUBSTITUTE($O11," ","")&amp;","))), 1/SUMPRODUCT(--ISNUMBER(FIND(","&amp;Z$1&amp;",", ","&amp;SUBSTITUTE($O$2:$O$1012," ","")&amp;",")), --($S$2:$S$1012="DONE")), 0)</f>
      </c>
      <c r="AA11" s="20">
        <f>IF(AND($S11="DONE", ISNUMBER(FIND(","&amp;AA$1&amp;",", ","&amp;SUBSTITUTE($O11," ","")&amp;","))), 1/SUMPRODUCT(--ISNUMBER(FIND(","&amp;AA$1&amp;",", ","&amp;SUBSTITUTE($O$2:$O$1012," ","")&amp;",")), --($S$2:$S$1012="DONE")), 0)</f>
      </c>
      <c r="AB11" s="20">
        <f>IF(AND($S11="DONE", ISNUMBER(FIND(","&amp;AB$1&amp;",", ","&amp;SUBSTITUTE($O11," ","")&amp;","))), 1/SUMPRODUCT(--ISNUMBER(FIND(","&amp;AB$1&amp;",", ","&amp;SUBSTITUTE($O$2:$O$1012," ","")&amp;",")), --($S$2:$S$1012="DONE")), 0)</f>
      </c>
      <c r="AC11" s="20">
        <f>IF(AND($S11="DONE", ISNUMBER(FIND(","&amp;AC$1&amp;",", ","&amp;SUBSTITUTE($O11," ","")&amp;","))), 1/SUMPRODUCT(--ISNUMBER(FIND(","&amp;AC$1&amp;",", ","&amp;SUBSTITUTE($O$2:$O$1012," ","")&amp;",")), --($S$2:$S$1012="DONE")), 0)</f>
      </c>
      <c r="AD11" s="20">
        <f>IF(AND($S11="DONE", ISNUMBER(FIND(","&amp;AD$1&amp;",", ","&amp;SUBSTITUTE($O11," ","")&amp;","))), 1/SUMPRODUCT(--ISNUMBER(FIND(","&amp;AD$1&amp;",", ","&amp;SUBSTITUTE($O$2:$O$1012," ","")&amp;",")), --($S$2:$S$1012="DONE")), 0)</f>
      </c>
      <c r="AE11" s="20">
        <f>IF(AND($S11="DONE", ISNUMBER(FIND(","&amp;AE$1&amp;",", ","&amp;SUBSTITUTE($O11," ","")&amp;","))), 1/SUMPRODUCT(--ISNUMBER(FIND(","&amp;AE$1&amp;",", ","&amp;SUBSTITUTE($O$2:$O$1012," ","")&amp;",")), --($S$2:$S$1012="DONE")), 0)</f>
      </c>
      <c r="AF11" s="20">
        <f>IF(AND($S11="DONE", ISNUMBER(FIND(","&amp;AF$1&amp;",", ","&amp;SUBSTITUTE($O11," ","")&amp;","))), 1/SUMPRODUCT(--ISNUMBER(FIND(","&amp;AF$1&amp;",", ","&amp;SUBSTITUTE($O$2:$O$1012," ","")&amp;",")), --($S$2:$S$1012="DONE")), 0)</f>
      </c>
      <c r="AG11" s="20">
        <f>IF(AND($S11="DONE", ISNUMBER(FIND(","&amp;AG$1&amp;",", ","&amp;SUBSTITUTE($O11," ","")&amp;","))), 1/SUMPRODUCT(--ISNUMBER(FIND(","&amp;AG$1&amp;",", ","&amp;SUBSTITUTE($O$2:$O$1012," ","")&amp;",")), --($S$2:$S$1012="DONE")), 0)</f>
      </c>
    </row>
    <row r="12">
      <c r="A12" s="3"/>
      <c r="B12" s="3" t="str">
        <v>L_Labor_PosX_PosY_S07_01</v>
      </c>
      <c r="C12" s="3" t="str">
        <v>L_Labor_PosX_PosY_S07_01_Enemy</v>
      </c>
      <c r="D12" s="3" t="str">
        <v>L_Labor_PosX_PosY_S07_01_Reward</v>
      </c>
      <c r="E12" s="3"/>
      <c r="F12" s="3" t="str">
        <v>/Game/Levels/Maps/Labor/SubLevel/Labor_S07/L_Labor_PosX_PosY_S07_01.L_Labor_PosX_PosY_S07_01</v>
      </c>
      <c r="G12" s="3" t="str">
        <v>/Script/Engine.World'/Game/Levels/Maps/Labor/SubLevel/Labor_S07/L_Labor_PosX_PosY_S07_01_Enemy.L_Labor_PosX_PosY_S07_01_Enemy'</v>
      </c>
      <c r="H12" s="3" t="str">
        <v>/Script/Engine.World'/Game/Levels/Maps/Labor/SubLevel/Labor_S07/L_Labor_PosX_PosY_S07_01_Reward.L_Labor_PosX_PosY_S07_01_Reward'</v>
      </c>
      <c r="I12" s="19" t="str">
        <v>S07</v>
      </c>
      <c r="J12" s="3" t="str">
        <v>0_Regular</v>
      </c>
      <c r="K12" s="19" t="str">
        <v>0_PosX</v>
      </c>
      <c r="L12" s="3"/>
      <c r="M12" s="3" t="str">
        <v>Labor</v>
      </c>
      <c r="N12" s="19" t="str">
        <v>2_PosY</v>
      </c>
      <c r="O12" s="19" t="str">
        <v>1,2,3,4,5,6,7,8</v>
      </c>
      <c r="P12" s="19" t="str">
        <v>01</v>
      </c>
      <c r="Q12" s="19"/>
      <c r="R12" s="19"/>
      <c r="S12" s="3" t="str">
        <v>DONE</v>
      </c>
      <c r="T12" s="3" t="str">
        <v>PosXPosY</v>
      </c>
      <c r="U12" s="1"/>
      <c r="V12" s="20">
        <f>IF(SUM(X12:AG12)=0, 0, SUM(X12:AG12) / SUM($X$2:$AG$1012))</f>
      </c>
      <c r="W12" s="20"/>
      <c r="X12" s="20">
        <f>IF(AND($S12="DONE", ISNUMBER(FIND(","&amp;X$1&amp;",", ","&amp;SUBSTITUTE($O12," ","")&amp;","))), 1/SUMPRODUCT(--ISNUMBER(FIND(","&amp;X$1&amp;",", ","&amp;SUBSTITUTE($O$2:$O$1012," ","")&amp;",")), --($S$2:$S$1012="DONE")), 0)</f>
      </c>
      <c r="Y12" s="20">
        <f>IF(AND($S12="DONE", ISNUMBER(FIND(","&amp;Y$1&amp;",", ","&amp;SUBSTITUTE($O12," ","")&amp;","))), 1/SUMPRODUCT(--ISNUMBER(FIND(","&amp;Y$1&amp;",", ","&amp;SUBSTITUTE($O$2:$O$1012," ","")&amp;",")), --($S$2:$S$1012="DONE")), 0)</f>
      </c>
      <c r="Z12" s="20">
        <f>IF(AND($S12="DONE", ISNUMBER(FIND(","&amp;Z$1&amp;",", ","&amp;SUBSTITUTE($O12," ","")&amp;","))), 1/SUMPRODUCT(--ISNUMBER(FIND(","&amp;Z$1&amp;",", ","&amp;SUBSTITUTE($O$2:$O$1012," ","")&amp;",")), --($S$2:$S$1012="DONE")), 0)</f>
      </c>
      <c r="AA12" s="20">
        <f>IF(AND($S12="DONE", ISNUMBER(FIND(","&amp;AA$1&amp;",", ","&amp;SUBSTITUTE($O12," ","")&amp;","))), 1/SUMPRODUCT(--ISNUMBER(FIND(","&amp;AA$1&amp;",", ","&amp;SUBSTITUTE($O$2:$O$1012," ","")&amp;",")), --($S$2:$S$1012="DONE")), 0)</f>
      </c>
      <c r="AB12" s="20">
        <f>IF(AND($S12="DONE", ISNUMBER(FIND(","&amp;AB$1&amp;",", ","&amp;SUBSTITUTE($O12," ","")&amp;","))), 1/SUMPRODUCT(--ISNUMBER(FIND(","&amp;AB$1&amp;",", ","&amp;SUBSTITUTE($O$2:$O$1012," ","")&amp;",")), --($S$2:$S$1012="DONE")), 0)</f>
      </c>
      <c r="AC12" s="20">
        <f>IF(AND($S12="DONE", ISNUMBER(FIND(","&amp;AC$1&amp;",", ","&amp;SUBSTITUTE($O12," ","")&amp;","))), 1/SUMPRODUCT(--ISNUMBER(FIND(","&amp;AC$1&amp;",", ","&amp;SUBSTITUTE($O$2:$O$1012," ","")&amp;",")), --($S$2:$S$1012="DONE")), 0)</f>
      </c>
      <c r="AD12" s="20">
        <f>IF(AND($S12="DONE", ISNUMBER(FIND(","&amp;AD$1&amp;",", ","&amp;SUBSTITUTE($O12," ","")&amp;","))), 1/SUMPRODUCT(--ISNUMBER(FIND(","&amp;AD$1&amp;",", ","&amp;SUBSTITUTE($O$2:$O$1012," ","")&amp;",")), --($S$2:$S$1012="DONE")), 0)</f>
      </c>
      <c r="AE12" s="20">
        <f>IF(AND($S12="DONE", ISNUMBER(FIND(","&amp;AE$1&amp;",", ","&amp;SUBSTITUTE($O12," ","")&amp;","))), 1/SUMPRODUCT(--ISNUMBER(FIND(","&amp;AE$1&amp;",", ","&amp;SUBSTITUTE($O$2:$O$1012," ","")&amp;",")), --($S$2:$S$1012="DONE")), 0)</f>
      </c>
      <c r="AF12" s="20">
        <f>IF(AND($S12="DONE", ISNUMBER(FIND(","&amp;AF$1&amp;",", ","&amp;SUBSTITUTE($O12," ","")&amp;","))), 1/SUMPRODUCT(--ISNUMBER(FIND(","&amp;AF$1&amp;",", ","&amp;SUBSTITUTE($O$2:$O$1012," ","")&amp;",")), --($S$2:$S$1012="DONE")), 0)</f>
      </c>
      <c r="AG12" s="20">
        <f>IF(AND($S12="DONE", ISNUMBER(FIND(","&amp;AG$1&amp;",", ","&amp;SUBSTITUTE($O12," ","")&amp;","))), 1/SUMPRODUCT(--ISNUMBER(FIND(","&amp;AG$1&amp;",", ","&amp;SUBSTITUTE($O$2:$O$1012," ","")&amp;",")), --($S$2:$S$1012="DONE")), 0)</f>
      </c>
    </row>
    <row r="13">
      <c r="A13" s="3"/>
      <c r="B13" s="3" t="str">
        <v>L_Labor_NagY_NagX_S08_01</v>
      </c>
      <c r="C13" s="3" t="str">
        <v>L_Labor_NagY_NagX_S08_01_Enemy</v>
      </c>
      <c r="D13" s="3" t="str">
        <v>L_Labor_NagY_NagX_S08_01_Reward</v>
      </c>
      <c r="E13" s="3"/>
      <c r="F13" s="3" t="str">
        <v>/Game/Levels/Maps/Labor/SubLevel/Labor_S08/L_Labor_NagY_NagX_S08_01.L_Labor_NagY_NagX_S08_01</v>
      </c>
      <c r="G13" s="3" t="str">
        <v>/Script/Engine.World'/Game/Levels/Maps/Labor/SubLevel/Labor_S08/L_Labor_NagY_NagX_S08_01_Enemy.L_Labor_NagY_NagX_S08_01_Enemy'</v>
      </c>
      <c r="H13" s="3" t="str">
        <v>/Script/Engine.World'/Game/Levels/Maps/Labor/SubLevel/Labor_S08/L_Labor_NagY_NagX_S08_01_Reward.L_Labor_NagY_NagX_S08_01_Reward'</v>
      </c>
      <c r="I13" s="19" t="str">
        <v>S08</v>
      </c>
      <c r="J13" s="3" t="str">
        <v>2_Reward</v>
      </c>
      <c r="K13" s="3" t="str">
        <v>3_NagY</v>
      </c>
      <c r="L13" s="3"/>
      <c r="M13" s="3" t="str">
        <v>Labor</v>
      </c>
      <c r="N13" s="3" t="str">
        <v>1_NagX</v>
      </c>
      <c r="O13" s="19" t="str">
        <v>1,2,3,4,5,6,7,8</v>
      </c>
      <c r="P13" s="19" t="str">
        <v>01</v>
      </c>
      <c r="Q13" s="19"/>
      <c r="R13" s="19"/>
      <c r="S13" s="3" t="str">
        <v>DONE</v>
      </c>
      <c r="T13" s="3" t="str">
        <v>NagYNagX</v>
      </c>
      <c r="U13" s="1"/>
      <c r="V13" s="20">
        <f>IF(SUM(X13:AG13)=0, 0, SUM(X13:AG13) / SUM($X$2:$AG$1012))</f>
      </c>
      <c r="W13" s="20"/>
      <c r="X13" s="20">
        <f>IF(AND($S13="DONE", ISNUMBER(FIND(","&amp;X$1&amp;",", ","&amp;SUBSTITUTE($O13," ","")&amp;","))), 1/SUMPRODUCT(--ISNUMBER(FIND(","&amp;X$1&amp;",", ","&amp;SUBSTITUTE($O$2:$O$1012," ","")&amp;",")), --($S$2:$S$1012="DONE")), 0)</f>
      </c>
      <c r="Y13" s="20">
        <f>IF(AND($S13="DONE", ISNUMBER(FIND(","&amp;Y$1&amp;",", ","&amp;SUBSTITUTE($O13," ","")&amp;","))), 1/SUMPRODUCT(--ISNUMBER(FIND(","&amp;Y$1&amp;",", ","&amp;SUBSTITUTE($O$2:$O$1012," ","")&amp;",")), --($S$2:$S$1012="DONE")), 0)</f>
      </c>
      <c r="Z13" s="20">
        <f>IF(AND($S13="DONE", ISNUMBER(FIND(","&amp;Z$1&amp;",", ","&amp;SUBSTITUTE($O13," ","")&amp;","))), 1/SUMPRODUCT(--ISNUMBER(FIND(","&amp;Z$1&amp;",", ","&amp;SUBSTITUTE($O$2:$O$1012," ","")&amp;",")), --($S$2:$S$1012="DONE")), 0)</f>
      </c>
      <c r="AA13" s="20">
        <f>IF(AND($S13="DONE", ISNUMBER(FIND(","&amp;AA$1&amp;",", ","&amp;SUBSTITUTE($O13," ","")&amp;","))), 1/SUMPRODUCT(--ISNUMBER(FIND(","&amp;AA$1&amp;",", ","&amp;SUBSTITUTE($O$2:$O$1012," ","")&amp;",")), --($S$2:$S$1012="DONE")), 0)</f>
      </c>
      <c r="AB13" s="20">
        <f>IF(AND($S13="DONE", ISNUMBER(FIND(","&amp;AB$1&amp;",", ","&amp;SUBSTITUTE($O13," ","")&amp;","))), 1/SUMPRODUCT(--ISNUMBER(FIND(","&amp;AB$1&amp;",", ","&amp;SUBSTITUTE($O$2:$O$1012," ","")&amp;",")), --($S$2:$S$1012="DONE")), 0)</f>
      </c>
      <c r="AC13" s="20">
        <f>IF(AND($S13="DONE", ISNUMBER(FIND(","&amp;AC$1&amp;",", ","&amp;SUBSTITUTE($O13," ","")&amp;","))), 1/SUMPRODUCT(--ISNUMBER(FIND(","&amp;AC$1&amp;",", ","&amp;SUBSTITUTE($O$2:$O$1012," ","")&amp;",")), --($S$2:$S$1012="DONE")), 0)</f>
      </c>
      <c r="AD13" s="20">
        <f>IF(AND($S13="DONE", ISNUMBER(FIND(","&amp;AD$1&amp;",", ","&amp;SUBSTITUTE($O13," ","")&amp;","))), 1/SUMPRODUCT(--ISNUMBER(FIND(","&amp;AD$1&amp;",", ","&amp;SUBSTITUTE($O$2:$O$1012," ","")&amp;",")), --($S$2:$S$1012="DONE")), 0)</f>
      </c>
      <c r="AE13" s="20">
        <f>IF(AND($S13="DONE", ISNUMBER(FIND(","&amp;AE$1&amp;",", ","&amp;SUBSTITUTE($O13," ","")&amp;","))), 1/SUMPRODUCT(--ISNUMBER(FIND(","&amp;AE$1&amp;",", ","&amp;SUBSTITUTE($O$2:$O$1012," ","")&amp;",")), --($S$2:$S$1012="DONE")), 0)</f>
      </c>
      <c r="AF13" s="20">
        <f>IF(AND($S13="DONE", ISNUMBER(FIND(","&amp;AF$1&amp;",", ","&amp;SUBSTITUTE($O13," ","")&amp;","))), 1/SUMPRODUCT(--ISNUMBER(FIND(","&amp;AF$1&amp;",", ","&amp;SUBSTITUTE($O$2:$O$1012," ","")&amp;",")), --($S$2:$S$1012="DONE")), 0)</f>
      </c>
      <c r="AG13" s="20">
        <f>IF(AND($S13="DONE", ISNUMBER(FIND(","&amp;AG$1&amp;",", ","&amp;SUBSTITUTE($O13," ","")&amp;","))), 1/SUMPRODUCT(--ISNUMBER(FIND(","&amp;AG$1&amp;",", ","&amp;SUBSTITUTE($O$2:$O$1012," ","")&amp;",")), --($S$2:$S$1012="DONE")), 0)</f>
      </c>
    </row>
    <row r="14">
      <c r="A14" s="3"/>
      <c r="B14" s="3" t="str">
        <v>L_Labor_Initial_NagY_S09_01</v>
      </c>
      <c r="C14" s="3" t="str">
        <v>L_Labor_Initial_NagY_S09_01_Enemy</v>
      </c>
      <c r="D14" s="3" t="str">
        <v>L_Labor_Initial_NagY_S09_01_Reward</v>
      </c>
      <c r="E14" s="3"/>
      <c r="F14" s="3" t="str">
        <v>/Game/Levels/Maps/Labor/SubLevel/Labor_S09/L_Labor_Initial_NagY_S09_01.L_Labor_Initial_NagY_S09_01</v>
      </c>
      <c r="G14" s="3" t="str">
        <v>/Script/Engine.World'/Game/Levels/Maps/Labor/SubLevel/Labor_S09/L_Labor_Initial_NagY_S09_01_Enemy.L_Labor_Initial_NagY_S09_01_Enemy'</v>
      </c>
      <c r="H14" s="3" t="str">
        <v>/Script/Engine.World'/Game/Levels/Maps/Labor/SubLevel/Labor_S09/L_Labor_Initial_NagY_S09_01_Reward.L_Labor_Initial_NagY_S09_01_Reward'</v>
      </c>
      <c r="I14" s="19" t="str">
        <v>S09</v>
      </c>
      <c r="J14" s="3" t="str">
        <v>1_Initial</v>
      </c>
      <c r="K14" s="3" t="str">
        <v>0_Initial</v>
      </c>
      <c r="L14" s="3"/>
      <c r="M14" s="3" t="str">
        <v>Labor</v>
      </c>
      <c r="N14" s="3" t="str">
        <v>3_NagY</v>
      </c>
      <c r="O14" s="19" t="str">
        <v>1</v>
      </c>
      <c r="P14" s="19" t="str">
        <v>01</v>
      </c>
      <c r="Q14" s="19"/>
      <c r="R14" s="19"/>
      <c r="S14" s="3" t="str">
        <v>DONE</v>
      </c>
      <c r="T14" s="3" t="str">
        <v>InitialNagY</v>
      </c>
      <c r="U14" s="1"/>
      <c r="V14" s="20">
        <f>IF(SUM(X14:AG14)=0, 0, SUM(X14:AG14) / SUM($X$2:$AG$1012))</f>
      </c>
      <c r="W14" s="20"/>
      <c r="X14" s="20">
        <f>IF(AND($S14="DONE", ISNUMBER(FIND(","&amp;X$1&amp;",", ","&amp;SUBSTITUTE($O14," ","")&amp;","))), 1/SUMPRODUCT(--ISNUMBER(FIND(","&amp;X$1&amp;",", ","&amp;SUBSTITUTE($O$2:$O$1012," ","")&amp;",")), --($S$2:$S$1012="DONE")), 0)</f>
      </c>
      <c r="Y14" s="20">
        <f>IF(AND($S14="DONE", ISNUMBER(FIND(","&amp;Y$1&amp;",", ","&amp;SUBSTITUTE($O14," ","")&amp;","))), 1/SUMPRODUCT(--ISNUMBER(FIND(","&amp;Y$1&amp;",", ","&amp;SUBSTITUTE($O$2:$O$1012," ","")&amp;",")), --($S$2:$S$1012="DONE")), 0)</f>
      </c>
      <c r="Z14" s="20">
        <f>IF(AND($S14="DONE", ISNUMBER(FIND(","&amp;Z$1&amp;",", ","&amp;SUBSTITUTE($O14," ","")&amp;","))), 1/SUMPRODUCT(--ISNUMBER(FIND(","&amp;Z$1&amp;",", ","&amp;SUBSTITUTE($O$2:$O$1012," ","")&amp;",")), --($S$2:$S$1012="DONE")), 0)</f>
      </c>
      <c r="AA14" s="20">
        <f>IF(AND($S14="DONE", ISNUMBER(FIND(","&amp;AA$1&amp;",", ","&amp;SUBSTITUTE($O14," ","")&amp;","))), 1/SUMPRODUCT(--ISNUMBER(FIND(","&amp;AA$1&amp;",", ","&amp;SUBSTITUTE($O$2:$O$1012," ","")&amp;",")), --($S$2:$S$1012="DONE")), 0)</f>
      </c>
      <c r="AB14" s="20">
        <f>IF(AND($S14="DONE", ISNUMBER(FIND(","&amp;AB$1&amp;",", ","&amp;SUBSTITUTE($O14," ","")&amp;","))), 1/SUMPRODUCT(--ISNUMBER(FIND(","&amp;AB$1&amp;",", ","&amp;SUBSTITUTE($O$2:$O$1012," ","")&amp;",")), --($S$2:$S$1012="DONE")), 0)</f>
      </c>
      <c r="AC14" s="20">
        <f>IF(AND($S14="DONE", ISNUMBER(FIND(","&amp;AC$1&amp;",", ","&amp;SUBSTITUTE($O14," ","")&amp;","))), 1/SUMPRODUCT(--ISNUMBER(FIND(","&amp;AC$1&amp;",", ","&amp;SUBSTITUTE($O$2:$O$1012," ","")&amp;",")), --($S$2:$S$1012="DONE")), 0)</f>
      </c>
      <c r="AD14" s="20">
        <f>IF(AND($S14="DONE", ISNUMBER(FIND(","&amp;AD$1&amp;",", ","&amp;SUBSTITUTE($O14," ","")&amp;","))), 1/SUMPRODUCT(--ISNUMBER(FIND(","&amp;AD$1&amp;",", ","&amp;SUBSTITUTE($O$2:$O$1012," ","")&amp;",")), --($S$2:$S$1012="DONE")), 0)</f>
      </c>
      <c r="AE14" s="20">
        <f>IF(AND($S14="DONE", ISNUMBER(FIND(","&amp;AE$1&amp;",", ","&amp;SUBSTITUTE($O14," ","")&amp;","))), 1/SUMPRODUCT(--ISNUMBER(FIND(","&amp;AE$1&amp;",", ","&amp;SUBSTITUTE($O$2:$O$1012," ","")&amp;",")), --($S$2:$S$1012="DONE")), 0)</f>
      </c>
      <c r="AF14" s="20">
        <f>IF(AND($S14="DONE", ISNUMBER(FIND(","&amp;AF$1&amp;",", ","&amp;SUBSTITUTE($O14," ","")&amp;","))), 1/SUMPRODUCT(--ISNUMBER(FIND(","&amp;AF$1&amp;",", ","&amp;SUBSTITUTE($O$2:$O$1012," ","")&amp;",")), --($S$2:$S$1012="DONE")), 0)</f>
      </c>
      <c r="AG14" s="20">
        <f>IF(AND($S14="DONE", ISNUMBER(FIND(","&amp;AG$1&amp;",", ","&amp;SUBSTITUTE($O14," ","")&amp;","))), 1/SUMPRODUCT(--ISNUMBER(FIND(","&amp;AG$1&amp;",", ","&amp;SUBSTITUTE($O$2:$O$1012," ","")&amp;",")), --($S$2:$S$1012="DONE")), 0)</f>
      </c>
    </row>
    <row r="15">
      <c r="A15" s="3"/>
      <c r="B15" s="3" t="str">
        <v>L_Labor_Initial_NagX_S09_01</v>
      </c>
      <c r="C15" s="3" t="str">
        <v>L_Labor_Initial_NagX_S09_01_Enemy</v>
      </c>
      <c r="D15" s="3" t="str">
        <v>L_Labor_Initial_NagX_S09_01_Reward</v>
      </c>
      <c r="E15" s="3"/>
      <c r="F15" s="3" t="str">
        <v>/Game/Levels/Maps/Labor/SubLevel/Labor_S09/L_Labor_Initial_NagX_S09_01.L_Labor_Initial_NagX_S09_01</v>
      </c>
      <c r="G15" s="3" t="str">
        <v>/Script/Engine.World'/Game/Levels/Maps/Labor/SubLevel/Labor_S09/L_Labor_Initial_NagX_S09_01_Enemy.L_Labor_Initial_NagX_S09_01_Enemy'</v>
      </c>
      <c r="H15" s="3" t="str">
        <v>/Script/Engine.World'/Game/Levels/Maps/Labor/SubLevel/Labor_S09/L_Labor_Initial_NagX_S09_01_Reward.L_Labor_Initial_NagX_S09_01_Reward'</v>
      </c>
      <c r="I15" s="19" t="str">
        <v>S09</v>
      </c>
      <c r="J15" s="3" t="str">
        <v>1_Initial</v>
      </c>
      <c r="K15" s="3" t="str">
        <v>0_Initial</v>
      </c>
      <c r="L15" s="3"/>
      <c r="M15" s="3" t="str">
        <v>Labor</v>
      </c>
      <c r="N15" s="3" t="str">
        <v>1_NagX</v>
      </c>
      <c r="O15" s="19" t="str">
        <v>1</v>
      </c>
      <c r="P15" s="19" t="str">
        <v>01</v>
      </c>
      <c r="Q15" s="19"/>
      <c r="R15" s="19"/>
      <c r="S15" s="3" t="str">
        <v>NEED FIX</v>
      </c>
      <c r="T15" s="3" t="str"/>
      <c r="U15" s="1"/>
      <c r="V15" s="20">
        <f>IF(SUM(X15:AG15)=0, 0, SUM(X15:AG15) / SUM($X$2:$AG$1012))</f>
      </c>
      <c r="W15" s="20"/>
      <c r="X15" s="20">
        <f>IF(AND($S15="DONE", ISNUMBER(FIND(","&amp;X$1&amp;",", ","&amp;SUBSTITUTE($O15," ","")&amp;","))), 1/SUMPRODUCT(--ISNUMBER(FIND(","&amp;X$1&amp;",", ","&amp;SUBSTITUTE($O$2:$O$1012," ","")&amp;",")), --($S$2:$S$1012="DONE")), 0)</f>
      </c>
      <c r="Y15" s="20">
        <f>IF(AND($S15="DONE", ISNUMBER(FIND(","&amp;Y$1&amp;",", ","&amp;SUBSTITUTE($O15," ","")&amp;","))), 1/SUMPRODUCT(--ISNUMBER(FIND(","&amp;Y$1&amp;",", ","&amp;SUBSTITUTE($O$2:$O$1012," ","")&amp;",")), --($S$2:$S$1012="DONE")), 0)</f>
      </c>
      <c r="Z15" s="20">
        <f>IF(AND($S15="DONE", ISNUMBER(FIND(","&amp;Z$1&amp;",", ","&amp;SUBSTITUTE($O15," ","")&amp;","))), 1/SUMPRODUCT(--ISNUMBER(FIND(","&amp;Z$1&amp;",", ","&amp;SUBSTITUTE($O$2:$O$1012," ","")&amp;",")), --($S$2:$S$1012="DONE")), 0)</f>
      </c>
      <c r="AA15" s="20">
        <f>IF(AND($S15="DONE", ISNUMBER(FIND(","&amp;AA$1&amp;",", ","&amp;SUBSTITUTE($O15," ","")&amp;","))), 1/SUMPRODUCT(--ISNUMBER(FIND(","&amp;AA$1&amp;",", ","&amp;SUBSTITUTE($O$2:$O$1012," ","")&amp;",")), --($S$2:$S$1012="DONE")), 0)</f>
      </c>
      <c r="AB15" s="20">
        <f>IF(AND($S15="DONE", ISNUMBER(FIND(","&amp;AB$1&amp;",", ","&amp;SUBSTITUTE($O15," ","")&amp;","))), 1/SUMPRODUCT(--ISNUMBER(FIND(","&amp;AB$1&amp;",", ","&amp;SUBSTITUTE($O$2:$O$1012," ","")&amp;",")), --($S$2:$S$1012="DONE")), 0)</f>
      </c>
      <c r="AC15" s="20">
        <f>IF(AND($S15="DONE", ISNUMBER(FIND(","&amp;AC$1&amp;",", ","&amp;SUBSTITUTE($O15," ","")&amp;","))), 1/SUMPRODUCT(--ISNUMBER(FIND(","&amp;AC$1&amp;",", ","&amp;SUBSTITUTE($O$2:$O$1012," ","")&amp;",")), --($S$2:$S$1012="DONE")), 0)</f>
      </c>
      <c r="AD15" s="20">
        <f>IF(AND($S15="DONE", ISNUMBER(FIND(","&amp;AD$1&amp;",", ","&amp;SUBSTITUTE($O15," ","")&amp;","))), 1/SUMPRODUCT(--ISNUMBER(FIND(","&amp;AD$1&amp;",", ","&amp;SUBSTITUTE($O$2:$O$1012," ","")&amp;",")), --($S$2:$S$1012="DONE")), 0)</f>
      </c>
      <c r="AE15" s="20">
        <f>IF(AND($S15="DONE", ISNUMBER(FIND(","&amp;AE$1&amp;",", ","&amp;SUBSTITUTE($O15," ","")&amp;","))), 1/SUMPRODUCT(--ISNUMBER(FIND(","&amp;AE$1&amp;",", ","&amp;SUBSTITUTE($O$2:$O$1012," ","")&amp;",")), --($S$2:$S$1012="DONE")), 0)</f>
      </c>
      <c r="AF15" s="20">
        <f>IF(AND($S15="DONE", ISNUMBER(FIND(","&amp;AF$1&amp;",", ","&amp;SUBSTITUTE($O15," ","")&amp;","))), 1/SUMPRODUCT(--ISNUMBER(FIND(","&amp;AF$1&amp;",", ","&amp;SUBSTITUTE($O$2:$O$1012," ","")&amp;",")), --($S$2:$S$1012="DONE")), 0)</f>
      </c>
      <c r="AG15" s="20">
        <f>IF(AND($S15="DONE", ISNUMBER(FIND(","&amp;AG$1&amp;",", ","&amp;SUBSTITUTE($O15," ","")&amp;","))), 1/SUMPRODUCT(--ISNUMBER(FIND(","&amp;AG$1&amp;",", ","&amp;SUBSTITUTE($O$2:$O$1012," ","")&amp;",")), --($S$2:$S$1012="DONE")), 0)</f>
      </c>
    </row>
    <row r="16">
      <c r="A16" s="3"/>
      <c r="B16" s="3" t="str">
        <v>L_Labor_Initial_PosY_S09_01</v>
      </c>
      <c r="C16" s="3" t="str">
        <v>L_Labor_Initial_PosY_S09_01_Enemy</v>
      </c>
      <c r="D16" s="3" t="str">
        <v>L_Labor_Initial_PosY_S09_01_Reward</v>
      </c>
      <c r="E16" s="3"/>
      <c r="F16" s="3" t="str">
        <v>/Game/Levels/Maps/Labor/SubLevel/Labor_S09/L_Labor_Initial_PosY_S09_01.L_Labor_Initial_PosY_S09_01</v>
      </c>
      <c r="G16" s="3" t="str">
        <v>/Script/Engine.World'/Game/Levels/Maps/Labor/SubLevel/Labor_S09/L_Labor_Initial_PosY_S09_01_Enemy.L_Labor_Initial_PosY_S09_01_Enemy'</v>
      </c>
      <c r="H16" s="3" t="str">
        <v>/Script/Engine.World'/Game/Levels/Maps/Labor/SubLevel/Labor_S09/L_Labor_Initial_PosY_S09_01_Reward.L_Labor_Initial_PosY_S09_01_Reward'</v>
      </c>
      <c r="I16" s="19" t="str">
        <v>S09</v>
      </c>
      <c r="J16" s="3" t="str">
        <v>1_Initial</v>
      </c>
      <c r="K16" s="3" t="str">
        <v>0_Initial</v>
      </c>
      <c r="L16" s="3"/>
      <c r="M16" s="3" t="str">
        <v>Labor</v>
      </c>
      <c r="N16" s="19" t="str">
        <v>2_PosY</v>
      </c>
      <c r="O16" s="19" t="str">
        <v>1</v>
      </c>
      <c r="P16" s="19" t="str">
        <v>01</v>
      </c>
      <c r="Q16" s="19"/>
      <c r="R16" s="19"/>
      <c r="S16" s="3" t="str">
        <v>NEED FIX</v>
      </c>
      <c r="T16" s="3" t="str"/>
      <c r="U16" s="1"/>
      <c r="V16" s="20">
        <f>IF(SUM(X16:AG16)=0, 0, SUM(X16:AG16) / SUM($X$2:$AG$1012))</f>
      </c>
      <c r="W16" s="20"/>
      <c r="X16" s="20">
        <f>IF(AND($S16="DONE", ISNUMBER(FIND(","&amp;X$1&amp;",", ","&amp;SUBSTITUTE($O16," ","")&amp;","))), 1/SUMPRODUCT(--ISNUMBER(FIND(","&amp;X$1&amp;",", ","&amp;SUBSTITUTE($O$2:$O$1012," ","")&amp;",")), --($S$2:$S$1012="DONE")), 0)</f>
      </c>
      <c r="Y16" s="20">
        <f>IF(AND($S16="DONE", ISNUMBER(FIND(","&amp;Y$1&amp;",", ","&amp;SUBSTITUTE($O16," ","")&amp;","))), 1/SUMPRODUCT(--ISNUMBER(FIND(","&amp;Y$1&amp;",", ","&amp;SUBSTITUTE($O$2:$O$1012," ","")&amp;",")), --($S$2:$S$1012="DONE")), 0)</f>
      </c>
      <c r="Z16" s="20">
        <f>IF(AND($S16="DONE", ISNUMBER(FIND(","&amp;Z$1&amp;",", ","&amp;SUBSTITUTE($O16," ","")&amp;","))), 1/SUMPRODUCT(--ISNUMBER(FIND(","&amp;Z$1&amp;",", ","&amp;SUBSTITUTE($O$2:$O$1012," ","")&amp;",")), --($S$2:$S$1012="DONE")), 0)</f>
      </c>
      <c r="AA16" s="20">
        <f>IF(AND($S16="DONE", ISNUMBER(FIND(","&amp;AA$1&amp;",", ","&amp;SUBSTITUTE($O16," ","")&amp;","))), 1/SUMPRODUCT(--ISNUMBER(FIND(","&amp;AA$1&amp;",", ","&amp;SUBSTITUTE($O$2:$O$1012," ","")&amp;",")), --($S$2:$S$1012="DONE")), 0)</f>
      </c>
      <c r="AB16" s="20">
        <f>IF(AND($S16="DONE", ISNUMBER(FIND(","&amp;AB$1&amp;",", ","&amp;SUBSTITUTE($O16," ","")&amp;","))), 1/SUMPRODUCT(--ISNUMBER(FIND(","&amp;AB$1&amp;",", ","&amp;SUBSTITUTE($O$2:$O$1012," ","")&amp;",")), --($S$2:$S$1012="DONE")), 0)</f>
      </c>
      <c r="AC16" s="20">
        <f>IF(AND($S16="DONE", ISNUMBER(FIND(","&amp;AC$1&amp;",", ","&amp;SUBSTITUTE($O16," ","")&amp;","))), 1/SUMPRODUCT(--ISNUMBER(FIND(","&amp;AC$1&amp;",", ","&amp;SUBSTITUTE($O$2:$O$1012," ","")&amp;",")), --($S$2:$S$1012="DONE")), 0)</f>
      </c>
      <c r="AD16" s="20">
        <f>IF(AND($S16="DONE", ISNUMBER(FIND(","&amp;AD$1&amp;",", ","&amp;SUBSTITUTE($O16," ","")&amp;","))), 1/SUMPRODUCT(--ISNUMBER(FIND(","&amp;AD$1&amp;",", ","&amp;SUBSTITUTE($O$2:$O$1012," ","")&amp;",")), --($S$2:$S$1012="DONE")), 0)</f>
      </c>
      <c r="AE16" s="20">
        <f>IF(AND($S16="DONE", ISNUMBER(FIND(","&amp;AE$1&amp;",", ","&amp;SUBSTITUTE($O16," ","")&amp;","))), 1/SUMPRODUCT(--ISNUMBER(FIND(","&amp;AE$1&amp;",", ","&amp;SUBSTITUTE($O$2:$O$1012," ","")&amp;",")), --($S$2:$S$1012="DONE")), 0)</f>
      </c>
      <c r="AF16" s="20">
        <f>IF(AND($S16="DONE", ISNUMBER(FIND(","&amp;AF$1&amp;",", ","&amp;SUBSTITUTE($O16," ","")&amp;","))), 1/SUMPRODUCT(--ISNUMBER(FIND(","&amp;AF$1&amp;",", ","&amp;SUBSTITUTE($O$2:$O$1012," ","")&amp;",")), --($S$2:$S$1012="DONE")), 0)</f>
      </c>
      <c r="AG16" s="20">
        <f>IF(AND($S16="DONE", ISNUMBER(FIND(","&amp;AG$1&amp;",", ","&amp;SUBSTITUTE($O16," ","")&amp;","))), 1/SUMPRODUCT(--ISNUMBER(FIND(","&amp;AG$1&amp;",", ","&amp;SUBSTITUTE($O$2:$O$1012," ","")&amp;",")), --($S$2:$S$1012="DONE")), 0)</f>
      </c>
    </row>
    <row r="17">
      <c r="A17" s="3"/>
      <c r="B17" s="3" t="str">
        <v>L_Labor_Initial_NagY_S09_01</v>
      </c>
      <c r="C17" s="3" t="str">
        <v>L_Labor_Initial_NagY_S09_01_Enemy</v>
      </c>
      <c r="D17" s="3" t="str">
        <v>L_Labor_Initial_NagY_S09_01_Reward</v>
      </c>
      <c r="E17" s="3"/>
      <c r="F17" s="3" t="str">
        <v>/Game/Levels/Maps/Labor/SubLevel/Labor_S09/L_Labor_Initial_NagY_S09_01.L_Labor_Initial_NagY_S09_01</v>
      </c>
      <c r="G17" s="3" t="str">
        <v>/Script/Engine.World'/Game/Levels/Maps/Labor/SubLevel/Labor_S09/L_Labor_Initial_NagY_S09_01_Enemy.L_Labor_Initial_NagY_S09_01_Enemy'</v>
      </c>
      <c r="H17" s="3" t="str">
        <v>/Script/Engine.World'/Game/Levels/Maps/Labor/SubLevel/Labor_S09/L_Labor_Initial_NagY_S09_01_Reward.L_Labor_Initial_NagY_S09_01_Reward'</v>
      </c>
      <c r="I17" s="19" t="str">
        <v>S09</v>
      </c>
      <c r="J17" s="3" t="str">
        <v>1_Initial</v>
      </c>
      <c r="K17" s="3" t="str">
        <v>0_Initial</v>
      </c>
      <c r="L17" s="3"/>
      <c r="M17" s="3" t="str">
        <v>Labor</v>
      </c>
      <c r="N17" s="19" t="str">
        <v>3_NagY</v>
      </c>
      <c r="O17" s="19" t="str">
        <v>1</v>
      </c>
      <c r="P17" s="19" t="str">
        <v>01</v>
      </c>
      <c r="Q17" s="19"/>
      <c r="R17" s="19"/>
      <c r="S17" s="3" t="str">
        <v>NEED FIX</v>
      </c>
      <c r="T17" s="3" t="str"/>
      <c r="U17" s="1"/>
      <c r="V17" s="20">
        <f>IF(SUM(X17:AG17)=0, 0, SUM(X17:AG17) / SUM($X$2:$AG$1012))</f>
      </c>
      <c r="W17" s="20"/>
      <c r="X17" s="20">
        <f>IF(AND($S17="DONE", ISNUMBER(FIND(","&amp;X$1&amp;",", ","&amp;SUBSTITUTE($O17," ","")&amp;","))), 1/SUMPRODUCT(--ISNUMBER(FIND(","&amp;X$1&amp;",", ","&amp;SUBSTITUTE($O$2:$O$1012," ","")&amp;",")), --($S$2:$S$1012="DONE")), 0)</f>
      </c>
      <c r="Y17" s="20">
        <f>IF(AND($S17="DONE", ISNUMBER(FIND(","&amp;Y$1&amp;",", ","&amp;SUBSTITUTE($O17," ","")&amp;","))), 1/SUMPRODUCT(--ISNUMBER(FIND(","&amp;Y$1&amp;",", ","&amp;SUBSTITUTE($O$2:$O$1012," ","")&amp;",")), --($S$2:$S$1012="DONE")), 0)</f>
      </c>
      <c r="Z17" s="20">
        <f>IF(AND($S17="DONE", ISNUMBER(FIND(","&amp;Z$1&amp;",", ","&amp;SUBSTITUTE($O17," ","")&amp;","))), 1/SUMPRODUCT(--ISNUMBER(FIND(","&amp;Z$1&amp;",", ","&amp;SUBSTITUTE($O$2:$O$1012," ","")&amp;",")), --($S$2:$S$1012="DONE")), 0)</f>
      </c>
      <c r="AA17" s="20">
        <f>IF(AND($S17="DONE", ISNUMBER(FIND(","&amp;AA$1&amp;",", ","&amp;SUBSTITUTE($O17," ","")&amp;","))), 1/SUMPRODUCT(--ISNUMBER(FIND(","&amp;AA$1&amp;",", ","&amp;SUBSTITUTE($O$2:$O$1012," ","")&amp;",")), --($S$2:$S$1012="DONE")), 0)</f>
      </c>
      <c r="AB17" s="20">
        <f>IF(AND($S17="DONE", ISNUMBER(FIND(","&amp;AB$1&amp;",", ","&amp;SUBSTITUTE($O17," ","")&amp;","))), 1/SUMPRODUCT(--ISNUMBER(FIND(","&amp;AB$1&amp;",", ","&amp;SUBSTITUTE($O$2:$O$1012," ","")&amp;",")), --($S$2:$S$1012="DONE")), 0)</f>
      </c>
      <c r="AC17" s="20">
        <f>IF(AND($S17="DONE", ISNUMBER(FIND(","&amp;AC$1&amp;",", ","&amp;SUBSTITUTE($O17," ","")&amp;","))), 1/SUMPRODUCT(--ISNUMBER(FIND(","&amp;AC$1&amp;",", ","&amp;SUBSTITUTE($O$2:$O$1012," ","")&amp;",")), --($S$2:$S$1012="DONE")), 0)</f>
      </c>
      <c r="AD17" s="20">
        <f>IF(AND($S17="DONE", ISNUMBER(FIND(","&amp;AD$1&amp;",", ","&amp;SUBSTITUTE($O17," ","")&amp;","))), 1/SUMPRODUCT(--ISNUMBER(FIND(","&amp;AD$1&amp;",", ","&amp;SUBSTITUTE($O$2:$O$1012," ","")&amp;",")), --($S$2:$S$1012="DONE")), 0)</f>
      </c>
      <c r="AE17" s="20">
        <f>IF(AND($S17="DONE", ISNUMBER(FIND(","&amp;AE$1&amp;",", ","&amp;SUBSTITUTE($O17," ","")&amp;","))), 1/SUMPRODUCT(--ISNUMBER(FIND(","&amp;AE$1&amp;",", ","&amp;SUBSTITUTE($O$2:$O$1012," ","")&amp;",")), --($S$2:$S$1012="DONE")), 0)</f>
      </c>
      <c r="AF17" s="20">
        <f>IF(AND($S17="DONE", ISNUMBER(FIND(","&amp;AF$1&amp;",", ","&amp;SUBSTITUTE($O17," ","")&amp;","))), 1/SUMPRODUCT(--ISNUMBER(FIND(","&amp;AF$1&amp;",", ","&amp;SUBSTITUTE($O$2:$O$1012," ","")&amp;",")), --($S$2:$S$1012="DONE")), 0)</f>
      </c>
      <c r="AG17" s="20">
        <f>IF(AND($S17="DONE", ISNUMBER(FIND(","&amp;AG$1&amp;",", ","&amp;SUBSTITUTE($O17," ","")&amp;","))), 1/SUMPRODUCT(--ISNUMBER(FIND(","&amp;AG$1&amp;",", ","&amp;SUBSTITUTE($O$2:$O$1012," ","")&amp;",")), --($S$2:$S$1012="DONE")), 0)</f>
      </c>
    </row>
    <row customHeight="true" ht="20" r="18">
      <c r="A18" s="3"/>
      <c r="B18" s="3" t="str">
        <v>L_Labor_Initial_NagY_S09_01</v>
      </c>
      <c r="C18" s="3" t="str">
        <v>L_Labor_Initial_NagY_S09_01_Enemy</v>
      </c>
      <c r="D18" s="3" t="str">
        <v>L_Labor_Initial_NagY_S09_01_Reward</v>
      </c>
      <c r="E18" s="3"/>
      <c r="F18" s="3" t="str">
        <v>/Game/Levels/Maps/Labor/SubLevel/Labor_S09/L_Labor_Initial_NagY_S09_01.L_Labor_Initial_NagY_S09_01</v>
      </c>
      <c r="G18" s="3" t="str">
        <v>/Script/Engine.World'/Game/Levels/Maps/Labor/SubLevel/Labor_S09/L_Labor_Initial_NagY_S09_01_Enemy.L_Labor_Initial_NagY_S09_01_Enemy'</v>
      </c>
      <c r="H18" s="3" t="str">
        <v>/Script/Engine.World'/Game/Levels/Maps/Labor/SubLevel/Labor_S09/L_Labor_Initial_NagY_S09_01_Reward.L_Labor_Initial_NagY_S09_01_Reward'</v>
      </c>
      <c r="I18" s="19" t="str">
        <v>S09</v>
      </c>
      <c r="J18" s="3" t="str">
        <v>0_Regular</v>
      </c>
      <c r="K18" s="3" t="str">
        <v>0_Initial</v>
      </c>
      <c r="L18" s="3"/>
      <c r="M18" s="3" t="str">
        <v>Labor</v>
      </c>
      <c r="N18" s="19" t="str">
        <v>3_NagY</v>
      </c>
      <c r="O18" s="19" t="str">
        <v>1,2,3,4,5,6,7,8</v>
      </c>
      <c r="P18" s="19" t="str">
        <v>01</v>
      </c>
      <c r="Q18" s="19"/>
      <c r="R18" s="19"/>
      <c r="S18" s="3" t="str">
        <v>NEED FIX</v>
      </c>
      <c r="T18" s="3" t="str"/>
      <c r="U18" s="1"/>
      <c r="V18" s="20">
        <f>IF(SUM(X18:AG18)=0, 0, SUM(X18:AG18) / SUM($X$2:$AG$1012))</f>
      </c>
      <c r="W18" s="20"/>
      <c r="X18" s="20">
        <f>IF(AND($S18="DONE", ISNUMBER(FIND(","&amp;X$1&amp;",", ","&amp;SUBSTITUTE($O18," ","")&amp;","))), 1/SUMPRODUCT(--ISNUMBER(FIND(","&amp;X$1&amp;",", ","&amp;SUBSTITUTE($O$2:$O$1012," ","")&amp;",")), --($S$2:$S$1012="DONE")), 0)</f>
      </c>
      <c r="Y18" s="20">
        <f>IF(AND($S18="DONE", ISNUMBER(FIND(","&amp;Y$1&amp;",", ","&amp;SUBSTITUTE($O18," ","")&amp;","))), 1/SUMPRODUCT(--ISNUMBER(FIND(","&amp;Y$1&amp;",", ","&amp;SUBSTITUTE($O$2:$O$1012," ","")&amp;",")), --($S$2:$S$1012="DONE")), 0)</f>
      </c>
      <c r="Z18" s="20">
        <f>IF(AND($S18="DONE", ISNUMBER(FIND(","&amp;Z$1&amp;",", ","&amp;SUBSTITUTE($O18," ","")&amp;","))), 1/SUMPRODUCT(--ISNUMBER(FIND(","&amp;Z$1&amp;",", ","&amp;SUBSTITUTE($O$2:$O$1012," ","")&amp;",")), --($S$2:$S$1012="DONE")), 0)</f>
      </c>
      <c r="AA18" s="20">
        <f>IF(AND($S18="DONE", ISNUMBER(FIND(","&amp;AA$1&amp;",", ","&amp;SUBSTITUTE($O18," ","")&amp;","))), 1/SUMPRODUCT(--ISNUMBER(FIND(","&amp;AA$1&amp;",", ","&amp;SUBSTITUTE($O$2:$O$1012," ","")&amp;",")), --($S$2:$S$1012="DONE")), 0)</f>
      </c>
      <c r="AB18" s="20">
        <f>IF(AND($S18="DONE", ISNUMBER(FIND(","&amp;AB$1&amp;",", ","&amp;SUBSTITUTE($O18," ","")&amp;","))), 1/SUMPRODUCT(--ISNUMBER(FIND(","&amp;AB$1&amp;",", ","&amp;SUBSTITUTE($O$2:$O$1012," ","")&amp;",")), --($S$2:$S$1012="DONE")), 0)</f>
      </c>
      <c r="AC18" s="20">
        <f>IF(AND($S18="DONE", ISNUMBER(FIND(","&amp;AC$1&amp;",", ","&amp;SUBSTITUTE($O18," ","")&amp;","))), 1/SUMPRODUCT(--ISNUMBER(FIND(","&amp;AC$1&amp;",", ","&amp;SUBSTITUTE($O$2:$O$1012," ","")&amp;",")), --($S$2:$S$1012="DONE")), 0)</f>
      </c>
      <c r="AD18" s="20">
        <f>IF(AND($S18="DONE", ISNUMBER(FIND(","&amp;AD$1&amp;",", ","&amp;SUBSTITUTE($O18," ","")&amp;","))), 1/SUMPRODUCT(--ISNUMBER(FIND(","&amp;AD$1&amp;",", ","&amp;SUBSTITUTE($O$2:$O$1012," ","")&amp;",")), --($S$2:$S$1012="DONE")), 0)</f>
      </c>
      <c r="AE18" s="20">
        <f>IF(AND($S18="DONE", ISNUMBER(FIND(","&amp;AE$1&amp;",", ","&amp;SUBSTITUTE($O18," ","")&amp;","))), 1/SUMPRODUCT(--ISNUMBER(FIND(","&amp;AE$1&amp;",", ","&amp;SUBSTITUTE($O$2:$O$1012," ","")&amp;",")), --($S$2:$S$1012="DONE")), 0)</f>
      </c>
      <c r="AF18" s="20">
        <f>IF(AND($S18="DONE", ISNUMBER(FIND(","&amp;AF$1&amp;",", ","&amp;SUBSTITUTE($O18," ","")&amp;","))), 1/SUMPRODUCT(--ISNUMBER(FIND(","&amp;AF$1&amp;",", ","&amp;SUBSTITUTE($O$2:$O$1012," ","")&amp;",")), --($S$2:$S$1012="DONE")), 0)</f>
      </c>
      <c r="AG18" s="20">
        <f>IF(AND($S18="DONE", ISNUMBER(FIND(","&amp;AG$1&amp;",", ","&amp;SUBSTITUTE($O18," ","")&amp;","))), 1/SUMPRODUCT(--ISNUMBER(FIND(","&amp;AG$1&amp;",", ","&amp;SUBSTITUTE($O$2:$O$1012," ","")&amp;",")), --($S$2:$S$1012="DONE")), 0)</f>
      </c>
    </row>
    <row customHeight="true" ht="20" r="19">
      <c r="A19" s="3"/>
      <c r="B19" s="3" t="str">
        <v>L_Labor_PosX_BossToGift_S09_01</v>
      </c>
      <c r="C19" s="3" t="str">
        <v>L_Labor_PosX_BossToGift_S09_01_Enemy</v>
      </c>
      <c r="D19" s="3" t="str">
        <v>L_Labor_PosX_BossToGift_S09_01_Reward</v>
      </c>
      <c r="E19" s="3"/>
      <c r="F19" s="3" t="str">
        <v>/Game/Levels/Maps/Labor/SubLevel/Labor_S09/L_Labor_PosX_BossToGift_S09_01.L_Labor_PosX_BossToGift_S09_01</v>
      </c>
      <c r="G19" s="3" t="str">
        <v>/Script/Engine.World'/Game/Levels/Maps/Labor/SubLevel/Labor_S09/L_Labor_PosX_BossToGift_S09_01_Enemy.L_Labor_PosX_BossToGift_S09_01_Enemy'</v>
      </c>
      <c r="H19" s="3" t="str">
        <v>/Script/Engine.World'/Game/Levels/Maps/Labor/SubLevel/Labor_S09/L_Labor_PosX_BossToGift_S09_01_Reward.L_Labor_PosX_BossToGift_S09_01_Reward'</v>
      </c>
      <c r="I19" s="19" t="str">
        <v>S09</v>
      </c>
      <c r="J19" s="3" t="str">
        <v>3_Boss</v>
      </c>
      <c r="K19" s="3" t="str">
        <v>0_PosX</v>
      </c>
      <c r="L19" s="3"/>
      <c r="M19" s="3" t="str">
        <v>Labor</v>
      </c>
      <c r="N19" s="19" t="str">
        <v>4_BossToGift</v>
      </c>
      <c r="O19" s="19" t="str">
        <v>9</v>
      </c>
      <c r="P19" s="19" t="str">
        <v>01</v>
      </c>
      <c r="Q19" s="19"/>
      <c r="R19" s="19"/>
      <c r="S19" s="3" t="str">
        <v>NEED FIX</v>
      </c>
      <c r="T19" s="3" t="str"/>
      <c r="U19" s="3"/>
      <c r="V19" s="20">
        <f>IF(SUM(X19:AG19)=0, 0, SUM(X19:AG19) / SUM($X$2:$AG$1012))</f>
      </c>
      <c r="W19" s="20"/>
      <c r="X19" s="20">
        <f>IF(AND($S19="DONE", ISNUMBER(FIND(","&amp;X$1&amp;",", ","&amp;SUBSTITUTE($O19," ","")&amp;","))), 1/SUMPRODUCT(--ISNUMBER(FIND(","&amp;X$1&amp;",", ","&amp;SUBSTITUTE($O$2:$O$1012," ","")&amp;",")), --($S$2:$S$1012="DONE")), 0)</f>
      </c>
      <c r="Y19" s="20">
        <f>IF(AND($S19="DONE", ISNUMBER(FIND(","&amp;Y$1&amp;",", ","&amp;SUBSTITUTE($O19," ","")&amp;","))), 1/SUMPRODUCT(--ISNUMBER(FIND(","&amp;Y$1&amp;",", ","&amp;SUBSTITUTE($O$2:$O$1012," ","")&amp;",")), --($S$2:$S$1012="DONE")), 0)</f>
      </c>
      <c r="Z19" s="20">
        <f>IF(AND($S19="DONE", ISNUMBER(FIND(","&amp;Z$1&amp;",", ","&amp;SUBSTITUTE($O19," ","")&amp;","))), 1/SUMPRODUCT(--ISNUMBER(FIND(","&amp;Z$1&amp;",", ","&amp;SUBSTITUTE($O$2:$O$1012," ","")&amp;",")), --($S$2:$S$1012="DONE")), 0)</f>
      </c>
      <c r="AA19" s="20">
        <f>IF(AND($S19="DONE", ISNUMBER(FIND(","&amp;AA$1&amp;",", ","&amp;SUBSTITUTE($O19," ","")&amp;","))), 1/SUMPRODUCT(--ISNUMBER(FIND(","&amp;AA$1&amp;",", ","&amp;SUBSTITUTE($O$2:$O$1012," ","")&amp;",")), --($S$2:$S$1012="DONE")), 0)</f>
      </c>
      <c r="AB19" s="20">
        <f>IF(AND($S19="DONE", ISNUMBER(FIND(","&amp;AB$1&amp;",", ","&amp;SUBSTITUTE($O19," ","")&amp;","))), 1/SUMPRODUCT(--ISNUMBER(FIND(","&amp;AB$1&amp;",", ","&amp;SUBSTITUTE($O$2:$O$1012," ","")&amp;",")), --($S$2:$S$1012="DONE")), 0)</f>
      </c>
      <c r="AC19" s="20">
        <f>IF(AND($S19="DONE", ISNUMBER(FIND(","&amp;AC$1&amp;",", ","&amp;SUBSTITUTE($O19," ","")&amp;","))), 1/SUMPRODUCT(--ISNUMBER(FIND(","&amp;AC$1&amp;",", ","&amp;SUBSTITUTE($O$2:$O$1012," ","")&amp;",")), --($S$2:$S$1012="DONE")), 0)</f>
      </c>
      <c r="AD19" s="20">
        <f>IF(AND($S19="DONE", ISNUMBER(FIND(","&amp;AD$1&amp;",", ","&amp;SUBSTITUTE($O19," ","")&amp;","))), 1/SUMPRODUCT(--ISNUMBER(FIND(","&amp;AD$1&amp;",", ","&amp;SUBSTITUTE($O$2:$O$1012," ","")&amp;",")), --($S$2:$S$1012="DONE")), 0)</f>
      </c>
      <c r="AE19" s="20">
        <f>IF(AND($S19="DONE", ISNUMBER(FIND(","&amp;AE$1&amp;",", ","&amp;SUBSTITUTE($O19," ","")&amp;","))), 1/SUMPRODUCT(--ISNUMBER(FIND(","&amp;AE$1&amp;",", ","&amp;SUBSTITUTE($O$2:$O$1012," ","")&amp;",")), --($S$2:$S$1012="DONE")), 0)</f>
      </c>
      <c r="AF19" s="20">
        <f>IF(AND($S19="DONE", ISNUMBER(FIND(","&amp;AF$1&amp;",", ","&amp;SUBSTITUTE($O19," ","")&amp;","))), 1/SUMPRODUCT(--ISNUMBER(FIND(","&amp;AF$1&amp;",", ","&amp;SUBSTITUTE($O$2:$O$1012," ","")&amp;",")), --($S$2:$S$1012="DONE")), 0)</f>
      </c>
      <c r="AG19" s="20">
        <f>IF(AND($S19="DONE", ISNUMBER(FIND(","&amp;AG$1&amp;",", ","&amp;SUBSTITUTE($O19," ","")&amp;","))), 1/SUMPRODUCT(--ISNUMBER(FIND(","&amp;AG$1&amp;",", ","&amp;SUBSTITUTE($O$2:$O$1012," ","")&amp;",")), --($S$2:$S$1012="DONE")), 0)</f>
      </c>
    </row>
    <row customHeight="true" ht="20" r="20">
      <c r="A20" s="3"/>
      <c r="B20" s="3" t="str">
        <v>L_Labor_NagX_BossToGift_S09_01</v>
      </c>
      <c r="C20" s="3" t="str">
        <v>L_Labor_NagX_BossToGift_S09_01_Enemy</v>
      </c>
      <c r="D20" s="3" t="str">
        <v>L_Labor_NagX_BossToGift_S09_01_Reward</v>
      </c>
      <c r="E20" s="3"/>
      <c r="F20" s="3" t="str">
        <v>/Game/Levels/Maps/Labor/SubLevel/Labor_S09/L_Labor_NagX_BossToGift_S09_01.L_Labor_NagX_BossToGift_S09_01</v>
      </c>
      <c r="G20" s="3" t="str">
        <v>/Script/Engine.World'/Game/Levels/Maps/Labor/SubLevel/Labor_S09/L_Labor_NagX_BossToGift_S09_01_Enemy.L_Labor_NagX_BossToGift_S09_01_Enemy'</v>
      </c>
      <c r="H20" s="3" t="str">
        <v>/Script/Engine.World'/Game/Levels/Maps/Labor/SubLevel/Labor_S09/L_Labor_NagX_BossToGift_S09_01_Reward.L_Labor_NagX_BossToGift_S09_01_Reward'</v>
      </c>
      <c r="I20" s="19" t="str">
        <v>S09</v>
      </c>
      <c r="J20" s="3" t="str">
        <v>3_Boss</v>
      </c>
      <c r="K20" s="3" t="str">
        <v>1_NagX</v>
      </c>
      <c r="L20" s="3"/>
      <c r="M20" s="3" t="str">
        <v>Labor</v>
      </c>
      <c r="N20" s="19" t="str">
        <v>4_BossToGift</v>
      </c>
      <c r="O20" s="19" t="str">
        <v>9</v>
      </c>
      <c r="P20" s="19" t="str">
        <v>01</v>
      </c>
      <c r="Q20" s="19"/>
      <c r="R20" s="19"/>
      <c r="S20" s="3" t="str">
        <v>DONE</v>
      </c>
      <c r="T20" s="3" t="str">
        <v>NagXBossToGift</v>
      </c>
      <c r="U20" s="3"/>
      <c r="V20" s="20">
        <f>IF(SUM(X20:AG20)=0, 0, SUM(X20:AG20) / SUM($X$2:$AG$1012))</f>
      </c>
      <c r="W20" s="20"/>
      <c r="X20" s="20">
        <f>IF(AND($S20="DONE", ISNUMBER(FIND(","&amp;X$1&amp;",", ","&amp;SUBSTITUTE($O20," ","")&amp;","))), 1/SUMPRODUCT(--ISNUMBER(FIND(","&amp;X$1&amp;",", ","&amp;SUBSTITUTE($O$2:$O$1012," ","")&amp;",")), --($S$2:$S$1012="DONE")), 0)</f>
      </c>
      <c r="Y20" s="20">
        <f>IF(AND($S20="DONE", ISNUMBER(FIND(","&amp;Y$1&amp;",", ","&amp;SUBSTITUTE($O20," ","")&amp;","))), 1/SUMPRODUCT(--ISNUMBER(FIND(","&amp;Y$1&amp;",", ","&amp;SUBSTITUTE($O$2:$O$1012," ","")&amp;",")), --($S$2:$S$1012="DONE")), 0)</f>
      </c>
      <c r="Z20" s="20">
        <f>IF(AND($S20="DONE", ISNUMBER(FIND(","&amp;Z$1&amp;",", ","&amp;SUBSTITUTE($O20," ","")&amp;","))), 1/SUMPRODUCT(--ISNUMBER(FIND(","&amp;Z$1&amp;",", ","&amp;SUBSTITUTE($O$2:$O$1012," ","")&amp;",")), --($S$2:$S$1012="DONE")), 0)</f>
      </c>
      <c r="AA20" s="20">
        <f>IF(AND($S20="DONE", ISNUMBER(FIND(","&amp;AA$1&amp;",", ","&amp;SUBSTITUTE($O20," ","")&amp;","))), 1/SUMPRODUCT(--ISNUMBER(FIND(","&amp;AA$1&amp;",", ","&amp;SUBSTITUTE($O$2:$O$1012," ","")&amp;",")), --($S$2:$S$1012="DONE")), 0)</f>
      </c>
      <c r="AB20" s="20">
        <f>IF(AND($S20="DONE", ISNUMBER(FIND(","&amp;AB$1&amp;",", ","&amp;SUBSTITUTE($O20," ","")&amp;","))), 1/SUMPRODUCT(--ISNUMBER(FIND(","&amp;AB$1&amp;",", ","&amp;SUBSTITUTE($O$2:$O$1012," ","")&amp;",")), --($S$2:$S$1012="DONE")), 0)</f>
      </c>
      <c r="AC20" s="20">
        <f>IF(AND($S20="DONE", ISNUMBER(FIND(","&amp;AC$1&amp;",", ","&amp;SUBSTITUTE($O20," ","")&amp;","))), 1/SUMPRODUCT(--ISNUMBER(FIND(","&amp;AC$1&amp;",", ","&amp;SUBSTITUTE($O$2:$O$1012," ","")&amp;",")), --($S$2:$S$1012="DONE")), 0)</f>
      </c>
      <c r="AD20" s="20">
        <f>IF(AND($S20="DONE", ISNUMBER(FIND(","&amp;AD$1&amp;",", ","&amp;SUBSTITUTE($O20," ","")&amp;","))), 1/SUMPRODUCT(--ISNUMBER(FIND(","&amp;AD$1&amp;",", ","&amp;SUBSTITUTE($O$2:$O$1012," ","")&amp;",")), --($S$2:$S$1012="DONE")), 0)</f>
      </c>
      <c r="AE20" s="20">
        <f>IF(AND($S20="DONE", ISNUMBER(FIND(","&amp;AE$1&amp;",", ","&amp;SUBSTITUTE($O20," ","")&amp;","))), 1/SUMPRODUCT(--ISNUMBER(FIND(","&amp;AE$1&amp;",", ","&amp;SUBSTITUTE($O$2:$O$1012," ","")&amp;",")), --($S$2:$S$1012="DONE")), 0)</f>
      </c>
      <c r="AF20" s="20">
        <f>IF(AND($S20="DONE", ISNUMBER(FIND(","&amp;AF$1&amp;",", ","&amp;SUBSTITUTE($O20," ","")&amp;","))), 1/SUMPRODUCT(--ISNUMBER(FIND(","&amp;AF$1&amp;",", ","&amp;SUBSTITUTE($O$2:$O$1012," ","")&amp;",")), --($S$2:$S$1012="DONE")), 0)</f>
      </c>
      <c r="AG20" s="20">
        <f>IF(AND($S20="DONE", ISNUMBER(FIND(","&amp;AG$1&amp;",", ","&amp;SUBSTITUTE($O20," ","")&amp;","))), 1/SUMPRODUCT(--ISNUMBER(FIND(","&amp;AG$1&amp;",", ","&amp;SUBSTITUTE($O$2:$O$1012," ","")&amp;",")), --($S$2:$S$1012="DONE")), 0)</f>
      </c>
    </row>
    <row customHeight="true" ht="20" r="21">
      <c r="A21" s="3"/>
      <c r="B21" s="3" t="str">
        <v>L_Labor_PosY_BossToGift_S09_01</v>
      </c>
      <c r="C21" s="3" t="str">
        <v>L_Labor_PosY_BossToGift_S09_01_Enemy</v>
      </c>
      <c r="D21" s="3" t="str">
        <v>L_Labor_PosY_BossToGift_S09_01_Reward</v>
      </c>
      <c r="E21" s="3"/>
      <c r="F21" s="3" t="str">
        <v>/Game/Levels/Maps/Labor/SubLevel/Labor_S09/L_Labor_PosY_BossToGift_S09_01.L_Labor_PosY_BossToGift_S09_01</v>
      </c>
      <c r="G21" s="3" t="str">
        <v>/Script/Engine.World'/Game/Levels/Maps/Labor/SubLevel/Labor_S09/L_Labor_PosY_BossToGift_S09_01_Enemy.L_Labor_PosY_BossToGift_S09_01_Enemy'</v>
      </c>
      <c r="H21" s="3" t="str">
        <v>/Script/Engine.World'/Game/Levels/Maps/Labor/SubLevel/Labor_S09/L_Labor_PosY_BossToGift_S09_01_Reward.L_Labor_PosY_BossToGift_S09_01_Reward'</v>
      </c>
      <c r="I21" s="19" t="str">
        <v>S09</v>
      </c>
      <c r="J21" s="3" t="str">
        <v>3_Boss</v>
      </c>
      <c r="K21" s="3" t="str">
        <v>2_PosY</v>
      </c>
      <c r="L21" s="3"/>
      <c r="M21" s="3" t="str">
        <v>Labor</v>
      </c>
      <c r="N21" s="19" t="str">
        <v>4_BossToGift</v>
      </c>
      <c r="O21" s="19" t="str">
        <v>9</v>
      </c>
      <c r="P21" s="19" t="str">
        <v>01</v>
      </c>
      <c r="Q21" s="19"/>
      <c r="R21" s="19"/>
      <c r="S21" s="3" t="str">
        <v>NEED FIX</v>
      </c>
      <c r="T21" s="3" t="str"/>
      <c r="U21" s="3"/>
      <c r="V21" s="20">
        <f>IF(SUM(X21:AG21)=0, 0, SUM(X21:AG21) / SUM($X$2:$AG$1012))</f>
      </c>
      <c r="W21" s="20"/>
      <c r="X21" s="20">
        <f>IF(AND($S21="DONE", ISNUMBER(FIND(","&amp;X$1&amp;",", ","&amp;SUBSTITUTE($O21," ","")&amp;","))), 1/SUMPRODUCT(--ISNUMBER(FIND(","&amp;X$1&amp;",", ","&amp;SUBSTITUTE($O$2:$O$1012," ","")&amp;",")), --($S$2:$S$1012="DONE")), 0)</f>
      </c>
      <c r="Y21" s="20">
        <f>IF(AND($S21="DONE", ISNUMBER(FIND(","&amp;Y$1&amp;",", ","&amp;SUBSTITUTE($O21," ","")&amp;","))), 1/SUMPRODUCT(--ISNUMBER(FIND(","&amp;Y$1&amp;",", ","&amp;SUBSTITUTE($O$2:$O$1012," ","")&amp;",")), --($S$2:$S$1012="DONE")), 0)</f>
      </c>
      <c r="Z21" s="20">
        <f>IF(AND($S21="DONE", ISNUMBER(FIND(","&amp;Z$1&amp;",", ","&amp;SUBSTITUTE($O21," ","")&amp;","))), 1/SUMPRODUCT(--ISNUMBER(FIND(","&amp;Z$1&amp;",", ","&amp;SUBSTITUTE($O$2:$O$1012," ","")&amp;",")), --($S$2:$S$1012="DONE")), 0)</f>
      </c>
      <c r="AA21" s="20">
        <f>IF(AND($S21="DONE", ISNUMBER(FIND(","&amp;AA$1&amp;",", ","&amp;SUBSTITUTE($O21," ","")&amp;","))), 1/SUMPRODUCT(--ISNUMBER(FIND(","&amp;AA$1&amp;",", ","&amp;SUBSTITUTE($O$2:$O$1012," ","")&amp;",")), --($S$2:$S$1012="DONE")), 0)</f>
      </c>
      <c r="AB21" s="20">
        <f>IF(AND($S21="DONE", ISNUMBER(FIND(","&amp;AB$1&amp;",", ","&amp;SUBSTITUTE($O21," ","")&amp;","))), 1/SUMPRODUCT(--ISNUMBER(FIND(","&amp;AB$1&amp;",", ","&amp;SUBSTITUTE($O$2:$O$1012," ","")&amp;",")), --($S$2:$S$1012="DONE")), 0)</f>
      </c>
      <c r="AC21" s="20">
        <f>IF(AND($S21="DONE", ISNUMBER(FIND(","&amp;AC$1&amp;",", ","&amp;SUBSTITUTE($O21," ","")&amp;","))), 1/SUMPRODUCT(--ISNUMBER(FIND(","&amp;AC$1&amp;",", ","&amp;SUBSTITUTE($O$2:$O$1012," ","")&amp;",")), --($S$2:$S$1012="DONE")), 0)</f>
      </c>
      <c r="AD21" s="20">
        <f>IF(AND($S21="DONE", ISNUMBER(FIND(","&amp;AD$1&amp;",", ","&amp;SUBSTITUTE($O21," ","")&amp;","))), 1/SUMPRODUCT(--ISNUMBER(FIND(","&amp;AD$1&amp;",", ","&amp;SUBSTITUTE($O$2:$O$1012," ","")&amp;",")), --($S$2:$S$1012="DONE")), 0)</f>
      </c>
      <c r="AE21" s="20">
        <f>IF(AND($S21="DONE", ISNUMBER(FIND(","&amp;AE$1&amp;",", ","&amp;SUBSTITUTE($O21," ","")&amp;","))), 1/SUMPRODUCT(--ISNUMBER(FIND(","&amp;AE$1&amp;",", ","&amp;SUBSTITUTE($O$2:$O$1012," ","")&amp;",")), --($S$2:$S$1012="DONE")), 0)</f>
      </c>
      <c r="AF21" s="20">
        <f>IF(AND($S21="DONE", ISNUMBER(FIND(","&amp;AF$1&amp;",", ","&amp;SUBSTITUTE($O21," ","")&amp;","))), 1/SUMPRODUCT(--ISNUMBER(FIND(","&amp;AF$1&amp;",", ","&amp;SUBSTITUTE($O$2:$O$1012," ","")&amp;",")), --($S$2:$S$1012="DONE")), 0)</f>
      </c>
      <c r="AG21" s="20">
        <f>IF(AND($S21="DONE", ISNUMBER(FIND(","&amp;AG$1&amp;",", ","&amp;SUBSTITUTE($O21," ","")&amp;","))), 1/SUMPRODUCT(--ISNUMBER(FIND(","&amp;AG$1&amp;",", ","&amp;SUBSTITUTE($O$2:$O$1012," ","")&amp;",")), --($S$2:$S$1012="DONE")), 0)</f>
      </c>
    </row>
    <row customHeight="true" ht="20" r="22">
      <c r="A22" s="3"/>
      <c r="B22" s="3" t="str">
        <v>L_Labor_NagY_BossToGift_S09_01</v>
      </c>
      <c r="C22" s="3" t="str">
        <v>L_Labor_NagY_BossToGift_S09_01_Enemy</v>
      </c>
      <c r="D22" s="3" t="str">
        <v>L_Labor_NagY_BossToGift_S09_01_Reward</v>
      </c>
      <c r="E22" s="3"/>
      <c r="F22" s="3" t="str">
        <v>/Game/Levels/Maps/Labor/SubLevel/Labor_S09/L_Labor_NagY_BossToGift_S09_01.L_Labor_NagY_BossToGift_S09_01</v>
      </c>
      <c r="G22" s="3" t="str">
        <v>/Script/Engine.World'/Game/Levels/Maps/Labor/SubLevel/Labor_S09/L_Labor_NagY_BossToGift_S09_01_Enemy.L_Labor_NagY_BossToGift_S09_01_Enemy'</v>
      </c>
      <c r="H22" s="3" t="str">
        <v>/Script/Engine.World'/Game/Levels/Maps/Labor/SubLevel/Labor_S09/L_Labor_NagY_BossToGift_S09_01_Reward.L_Labor_NagY_BossToGift_S09_01_Reward'</v>
      </c>
      <c r="I22" s="19" t="str">
        <v>S09</v>
      </c>
      <c r="J22" s="3" t="str">
        <v>3_Boss</v>
      </c>
      <c r="K22" s="3" t="str">
        <v>3_NagY</v>
      </c>
      <c r="L22" s="3"/>
      <c r="M22" s="3" t="str">
        <v>Labor</v>
      </c>
      <c r="N22" s="19" t="str">
        <v>4_BossToGift</v>
      </c>
      <c r="O22" s="19" t="str">
        <v>9</v>
      </c>
      <c r="P22" s="19" t="str">
        <v>01</v>
      </c>
      <c r="Q22" s="19"/>
      <c r="R22" s="19"/>
      <c r="S22" s="3" t="str">
        <v>NEED FIX</v>
      </c>
      <c r="T22" s="3" t="str"/>
      <c r="U22" s="3"/>
      <c r="V22" s="20">
        <f>IF(SUM(X22:AG22)=0, 0, SUM(X22:AG22) / SUM($X$2:$AG$1012))</f>
      </c>
      <c r="W22" s="20"/>
      <c r="X22" s="20">
        <f>IF(AND($S22="DONE", ISNUMBER(FIND(","&amp;X$1&amp;",", ","&amp;SUBSTITUTE($O22," ","")&amp;","))), 1/SUMPRODUCT(--ISNUMBER(FIND(","&amp;X$1&amp;",", ","&amp;SUBSTITUTE($O$2:$O$1012," ","")&amp;",")), --($S$2:$S$1012="DONE")), 0)</f>
      </c>
      <c r="Y22" s="20">
        <f>IF(AND($S22="DONE", ISNUMBER(FIND(","&amp;Y$1&amp;",", ","&amp;SUBSTITUTE($O22," ","")&amp;","))), 1/SUMPRODUCT(--ISNUMBER(FIND(","&amp;Y$1&amp;",", ","&amp;SUBSTITUTE($O$2:$O$1012," ","")&amp;",")), --($S$2:$S$1012="DONE")), 0)</f>
      </c>
      <c r="Z22" s="20">
        <f>IF(AND($S22="DONE", ISNUMBER(FIND(","&amp;Z$1&amp;",", ","&amp;SUBSTITUTE($O22," ","")&amp;","))), 1/SUMPRODUCT(--ISNUMBER(FIND(","&amp;Z$1&amp;",", ","&amp;SUBSTITUTE($O$2:$O$1012," ","")&amp;",")), --($S$2:$S$1012="DONE")), 0)</f>
      </c>
      <c r="AA22" s="20">
        <f>IF(AND($S22="DONE", ISNUMBER(FIND(","&amp;AA$1&amp;",", ","&amp;SUBSTITUTE($O22," ","")&amp;","))), 1/SUMPRODUCT(--ISNUMBER(FIND(","&amp;AA$1&amp;",", ","&amp;SUBSTITUTE($O$2:$O$1012," ","")&amp;",")), --($S$2:$S$1012="DONE")), 0)</f>
      </c>
      <c r="AB22" s="20">
        <f>IF(AND($S22="DONE", ISNUMBER(FIND(","&amp;AB$1&amp;",", ","&amp;SUBSTITUTE($O22," ","")&amp;","))), 1/SUMPRODUCT(--ISNUMBER(FIND(","&amp;AB$1&amp;",", ","&amp;SUBSTITUTE($O$2:$O$1012," ","")&amp;",")), --($S$2:$S$1012="DONE")), 0)</f>
      </c>
      <c r="AC22" s="20">
        <f>IF(AND($S22="DONE", ISNUMBER(FIND(","&amp;AC$1&amp;",", ","&amp;SUBSTITUTE($O22," ","")&amp;","))), 1/SUMPRODUCT(--ISNUMBER(FIND(","&amp;AC$1&amp;",", ","&amp;SUBSTITUTE($O$2:$O$1012," ","")&amp;",")), --($S$2:$S$1012="DONE")), 0)</f>
      </c>
      <c r="AD22" s="20">
        <f>IF(AND($S22="DONE", ISNUMBER(FIND(","&amp;AD$1&amp;",", ","&amp;SUBSTITUTE($O22," ","")&amp;","))), 1/SUMPRODUCT(--ISNUMBER(FIND(","&amp;AD$1&amp;",", ","&amp;SUBSTITUTE($O$2:$O$1012," ","")&amp;",")), --($S$2:$S$1012="DONE")), 0)</f>
      </c>
      <c r="AE22" s="20">
        <f>IF(AND($S22="DONE", ISNUMBER(FIND(","&amp;AE$1&amp;",", ","&amp;SUBSTITUTE($O22," ","")&amp;","))), 1/SUMPRODUCT(--ISNUMBER(FIND(","&amp;AE$1&amp;",", ","&amp;SUBSTITUTE($O$2:$O$1012," ","")&amp;",")), --($S$2:$S$1012="DONE")), 0)</f>
      </c>
      <c r="AF22" s="20">
        <f>IF(AND($S22="DONE", ISNUMBER(FIND(","&amp;AF$1&amp;",", ","&amp;SUBSTITUTE($O22," ","")&amp;","))), 1/SUMPRODUCT(--ISNUMBER(FIND(","&amp;AF$1&amp;",", ","&amp;SUBSTITUTE($O$2:$O$1012," ","")&amp;",")), --($S$2:$S$1012="DONE")), 0)</f>
      </c>
      <c r="AG22" s="20">
        <f>IF(AND($S22="DONE", ISNUMBER(FIND(","&amp;AG$1&amp;",", ","&amp;SUBSTITUTE($O22," ","")&amp;","))), 1/SUMPRODUCT(--ISNUMBER(FIND(","&amp;AG$1&amp;",", ","&amp;SUBSTITUTE($O$2:$O$1012," ","")&amp;",")), --($S$2:$S$1012="DONE")), 0)</f>
      </c>
    </row>
    <row customHeight="true" ht="20" r="23">
      <c r="A23" s="3"/>
      <c r="B23" s="3" t="str">
        <v>L_Labor_BossToGift_GiftToNext_S10_01</v>
      </c>
      <c r="C23" s="3" t="str">
        <v>L_Labor_BossToGift_GiftToNext_S10_01_Enemy</v>
      </c>
      <c r="D23" s="3" t="str">
        <v>L_Labor_BossToGift_GiftToNext_S10_01_Reward</v>
      </c>
      <c r="E23" s="3"/>
      <c r="F23" s="3" t="str">
        <v>/Game/Levels/Maps/Labor/SubLevel/Labor_S10/L_Labor_BossToGift_GiftToNext_S10_01.L_Labor_BossToGift_GiftToNext_S10_01</v>
      </c>
      <c r="G23" s="3" t="str">
        <v>/Script/Engine.World'/Game/Levels/Maps/Labor/SubLevel/Labor_S10/L_Labor_BossToGift_GiftToNext_S10_01_Enemy.L_Labor_BossToGift_GiftToNext_S10_01_Enemy'</v>
      </c>
      <c r="H23" s="3" t="str">
        <v>/Script/Engine.World'/Game/Levels/Maps/Labor/SubLevel/Labor_S10/L_Labor_BossToGift_GiftToNext_S10_01_Reward.L_Labor_BossToGift_GiftToNext_S10_01_Reward'</v>
      </c>
      <c r="I23" s="19" t="str">
        <v>S10</v>
      </c>
      <c r="J23" s="3" t="str">
        <v>2_Reward</v>
      </c>
      <c r="K23" s="19" t="str">
        <v>4_BossToGift</v>
      </c>
      <c r="L23" s="3"/>
      <c r="M23" s="3" t="str">
        <v>Labor</v>
      </c>
      <c r="N23" s="19" t="str">
        <v>5_GiftToNext</v>
      </c>
      <c r="O23" s="19" t="str">
        <v>9</v>
      </c>
      <c r="P23" s="19" t="str">
        <v>01</v>
      </c>
      <c r="Q23" s="19"/>
      <c r="R23" s="19"/>
      <c r="S23" s="3" t="str">
        <v>DONE</v>
      </c>
      <c r="T23" s="3" t="str">
        <v>BossToGiftGiftToNext</v>
      </c>
      <c r="U23" s="1"/>
      <c r="V23" s="20">
        <f>IF(SUM(X23:AG23)=0, 0, SUM(X23:AG23) / SUM($X$2:$AG$1012))</f>
      </c>
      <c r="W23" s="20"/>
      <c r="X23" s="20">
        <f>IF(AND($S23="DONE", ISNUMBER(FIND(","&amp;X$1&amp;",", ","&amp;SUBSTITUTE($O23," ","")&amp;","))), 1/SUMPRODUCT(--ISNUMBER(FIND(","&amp;X$1&amp;",", ","&amp;SUBSTITUTE($O$2:$O$1012," ","")&amp;",")), --($S$2:$S$1012="DONE")), 0)</f>
      </c>
      <c r="Y23" s="20">
        <f>IF(AND($S23="DONE", ISNUMBER(FIND(","&amp;Y$1&amp;",", ","&amp;SUBSTITUTE($O23," ","")&amp;","))), 1/SUMPRODUCT(--ISNUMBER(FIND(","&amp;Y$1&amp;",", ","&amp;SUBSTITUTE($O$2:$O$1012," ","")&amp;",")), --($S$2:$S$1012="DONE")), 0)</f>
      </c>
      <c r="Z23" s="20">
        <f>IF(AND($S23="DONE", ISNUMBER(FIND(","&amp;Z$1&amp;",", ","&amp;SUBSTITUTE($O23," ","")&amp;","))), 1/SUMPRODUCT(--ISNUMBER(FIND(","&amp;Z$1&amp;",", ","&amp;SUBSTITUTE($O$2:$O$1012," ","")&amp;",")), --($S$2:$S$1012="DONE")), 0)</f>
      </c>
      <c r="AA23" s="20">
        <f>IF(AND($S23="DONE", ISNUMBER(FIND(","&amp;AA$1&amp;",", ","&amp;SUBSTITUTE($O23," ","")&amp;","))), 1/SUMPRODUCT(--ISNUMBER(FIND(","&amp;AA$1&amp;",", ","&amp;SUBSTITUTE($O$2:$O$1012," ","")&amp;",")), --($S$2:$S$1012="DONE")), 0)</f>
      </c>
      <c r="AB23" s="20">
        <f>IF(AND($S23="DONE", ISNUMBER(FIND(","&amp;AB$1&amp;",", ","&amp;SUBSTITUTE($O23," ","")&amp;","))), 1/SUMPRODUCT(--ISNUMBER(FIND(","&amp;AB$1&amp;",", ","&amp;SUBSTITUTE($O$2:$O$1012," ","")&amp;",")), --($S$2:$S$1012="DONE")), 0)</f>
      </c>
      <c r="AC23" s="20">
        <f>IF(AND($S23="DONE", ISNUMBER(FIND(","&amp;AC$1&amp;",", ","&amp;SUBSTITUTE($O23," ","")&amp;","))), 1/SUMPRODUCT(--ISNUMBER(FIND(","&amp;AC$1&amp;",", ","&amp;SUBSTITUTE($O$2:$O$1012," ","")&amp;",")), --($S$2:$S$1012="DONE")), 0)</f>
      </c>
      <c r="AD23" s="20">
        <f>IF(AND($S23="DONE", ISNUMBER(FIND(","&amp;AD$1&amp;",", ","&amp;SUBSTITUTE($O23," ","")&amp;","))), 1/SUMPRODUCT(--ISNUMBER(FIND(","&amp;AD$1&amp;",", ","&amp;SUBSTITUTE($O$2:$O$1012," ","")&amp;",")), --($S$2:$S$1012="DONE")), 0)</f>
      </c>
      <c r="AE23" s="20">
        <f>IF(AND($S23="DONE", ISNUMBER(FIND(","&amp;AE$1&amp;",", ","&amp;SUBSTITUTE($O23," ","")&amp;","))), 1/SUMPRODUCT(--ISNUMBER(FIND(","&amp;AE$1&amp;",", ","&amp;SUBSTITUTE($O$2:$O$1012," ","")&amp;",")), --($S$2:$S$1012="DONE")), 0)</f>
      </c>
      <c r="AF23" s="20">
        <f>IF(AND($S23="DONE", ISNUMBER(FIND(","&amp;AF$1&amp;",", ","&amp;SUBSTITUTE($O23," ","")&amp;","))), 1/SUMPRODUCT(--ISNUMBER(FIND(","&amp;AF$1&amp;",", ","&amp;SUBSTITUTE($O$2:$O$1012," ","")&amp;",")), --($S$2:$S$1012="DONE")), 0)</f>
      </c>
      <c r="AG23" s="20">
        <f>IF(AND($S23="DONE", ISNUMBER(FIND(","&amp;AG$1&amp;",", ","&amp;SUBSTITUTE($O23," ","")&amp;","))), 1/SUMPRODUCT(--ISNUMBER(FIND(","&amp;AG$1&amp;",", ","&amp;SUBSTITUTE($O$2:$O$1012," ","")&amp;",")), --($S$2:$S$1012="DONE")), 0)</f>
      </c>
    </row>
    <row r="24">
      <c r="A24" s="3"/>
      <c r="B24" s="3" t="str">
        <v>L_Labor_NagY_PosX_S11_01</v>
      </c>
      <c r="C24" s="3" t="str">
        <v>L_Labor_NagY_PosX_S11_01_Enemy</v>
      </c>
      <c r="D24" s="3" t="str">
        <v>L_Labor_NagY_PosX_S11_01_Reward</v>
      </c>
      <c r="E24" s="3"/>
      <c r="F24" s="3" t="str">
        <v>/Game/Levels/Maps/Labor/SubLevel/Labor_S11/L_Labor_NagY_PosX_S11_01.L_Labor_NagY_PosX_S11_01</v>
      </c>
      <c r="G24" s="3" t="str">
        <v>/Script/Engine.World'/Game/Levels/Maps/Labor/SubLevel/Labor_S11/L_Labor_NagY_PosX_S11_01_Enemy.L_Labor_NagY_PosX_S11_01_Enemy'</v>
      </c>
      <c r="H24" s="3" t="str">
        <v>/Script/Engine.World'/Game/Levels/Maps/Labor/SubLevel/Labor_S11/L_Labor_NagY_PosX_S11_01_Reward.L_Labor_NagY_PosX_S11_01_Reward'</v>
      </c>
      <c r="I24" s="19" t="str">
        <v>S11</v>
      </c>
      <c r="J24" s="3" t="str">
        <v>0_Regular</v>
      </c>
      <c r="K24" s="3" t="str">
        <v>3_NagY</v>
      </c>
      <c r="L24" s="3"/>
      <c r="M24" s="3" t="str">
        <v>Labor</v>
      </c>
      <c r="N24" s="3" t="str">
        <v>0_PosX</v>
      </c>
      <c r="O24" s="19" t="str">
        <v>1,2,3,4,5,6,7,8</v>
      </c>
      <c r="P24" s="19" t="str">
        <v>01</v>
      </c>
      <c r="Q24" s="19"/>
      <c r="R24" s="19"/>
      <c r="S24" s="3" t="str">
        <v>DONE</v>
      </c>
      <c r="T24" s="3" t="str">
        <v>NagYPosX</v>
      </c>
      <c r="U24" s="1"/>
      <c r="V24" s="20">
        <f>IF(SUM(X24:AG24)=0, 0, SUM(X24:AG24) / SUM($X$2:$AG$1012))</f>
      </c>
      <c r="W24" s="20"/>
      <c r="X24" s="20">
        <f>IF(AND($S24="DONE", ISNUMBER(FIND(","&amp;X$1&amp;",", ","&amp;SUBSTITUTE($O24," ","")&amp;","))), 1/SUMPRODUCT(--ISNUMBER(FIND(","&amp;X$1&amp;",", ","&amp;SUBSTITUTE($O$2:$O$1012," ","")&amp;",")), --($S$2:$S$1012="DONE")), 0)</f>
      </c>
      <c r="Y24" s="20">
        <f>IF(AND($S24="DONE", ISNUMBER(FIND(","&amp;Y$1&amp;",", ","&amp;SUBSTITUTE($O24," ","")&amp;","))), 1/SUMPRODUCT(--ISNUMBER(FIND(","&amp;Y$1&amp;",", ","&amp;SUBSTITUTE($O$2:$O$1012," ","")&amp;",")), --($S$2:$S$1012="DONE")), 0)</f>
      </c>
      <c r="Z24" s="20">
        <f>IF(AND($S24="DONE", ISNUMBER(FIND(","&amp;Z$1&amp;",", ","&amp;SUBSTITUTE($O24," ","")&amp;","))), 1/SUMPRODUCT(--ISNUMBER(FIND(","&amp;Z$1&amp;",", ","&amp;SUBSTITUTE($O$2:$O$1012," ","")&amp;",")), --($S$2:$S$1012="DONE")), 0)</f>
      </c>
      <c r="AA24" s="20">
        <f>IF(AND($S24="DONE", ISNUMBER(FIND(","&amp;AA$1&amp;",", ","&amp;SUBSTITUTE($O24," ","")&amp;","))), 1/SUMPRODUCT(--ISNUMBER(FIND(","&amp;AA$1&amp;",", ","&amp;SUBSTITUTE($O$2:$O$1012," ","")&amp;",")), --($S$2:$S$1012="DONE")), 0)</f>
      </c>
      <c r="AB24" s="20">
        <f>IF(AND($S24="DONE", ISNUMBER(FIND(","&amp;AB$1&amp;",", ","&amp;SUBSTITUTE($O24," ","")&amp;","))), 1/SUMPRODUCT(--ISNUMBER(FIND(","&amp;AB$1&amp;",", ","&amp;SUBSTITUTE($O$2:$O$1012," ","")&amp;",")), --($S$2:$S$1012="DONE")), 0)</f>
      </c>
      <c r="AC24" s="20">
        <f>IF(AND($S24="DONE", ISNUMBER(FIND(","&amp;AC$1&amp;",", ","&amp;SUBSTITUTE($O24," ","")&amp;","))), 1/SUMPRODUCT(--ISNUMBER(FIND(","&amp;AC$1&amp;",", ","&amp;SUBSTITUTE($O$2:$O$1012," ","")&amp;",")), --($S$2:$S$1012="DONE")), 0)</f>
      </c>
      <c r="AD24" s="20">
        <f>IF(AND($S24="DONE", ISNUMBER(FIND(","&amp;AD$1&amp;",", ","&amp;SUBSTITUTE($O24," ","")&amp;","))), 1/SUMPRODUCT(--ISNUMBER(FIND(","&amp;AD$1&amp;",", ","&amp;SUBSTITUTE($O$2:$O$1012," ","")&amp;",")), --($S$2:$S$1012="DONE")), 0)</f>
      </c>
      <c r="AE24" s="20">
        <f>IF(AND($S24="DONE", ISNUMBER(FIND(","&amp;AE$1&amp;",", ","&amp;SUBSTITUTE($O24," ","")&amp;","))), 1/SUMPRODUCT(--ISNUMBER(FIND(","&amp;AE$1&amp;",", ","&amp;SUBSTITUTE($O$2:$O$1012," ","")&amp;",")), --($S$2:$S$1012="DONE")), 0)</f>
      </c>
      <c r="AF24" s="20">
        <f>IF(AND($S24="DONE", ISNUMBER(FIND(","&amp;AF$1&amp;",", ","&amp;SUBSTITUTE($O24," ","")&amp;","))), 1/SUMPRODUCT(--ISNUMBER(FIND(","&amp;AF$1&amp;",", ","&amp;SUBSTITUTE($O$2:$O$1012," ","")&amp;",")), --($S$2:$S$1012="DONE")), 0)</f>
      </c>
      <c r="AG24" s="20">
        <f>IF(AND($S24="DONE", ISNUMBER(FIND(","&amp;AG$1&amp;",", ","&amp;SUBSTITUTE($O24," ","")&amp;","))), 1/SUMPRODUCT(--ISNUMBER(FIND(","&amp;AG$1&amp;",", ","&amp;SUBSTITUTE($O$2:$O$1012," ","")&amp;",")), --($S$2:$S$1012="DONE")), 0)</f>
      </c>
    </row>
    <row r="25">
      <c r="A25" s="3"/>
      <c r="B25" s="3" t="str"/>
      <c r="C25" s="3" t="str"/>
      <c r="D25" s="3" t="str"/>
      <c r="E25" s="3"/>
      <c r="F25" s="3" t="str"/>
      <c r="G25" s="3" t="str"/>
      <c r="H25" s="3" t="str"/>
      <c r="I25" s="19"/>
      <c r="J25" s="21"/>
      <c r="K25" s="19"/>
      <c r="L25" s="3"/>
      <c r="M25" s="3"/>
      <c r="N25" s="19"/>
      <c r="O25" s="19"/>
      <c r="P25" s="19"/>
      <c r="Q25" s="19"/>
      <c r="R25" s="19"/>
      <c r="S25" s="3"/>
      <c r="T25" s="3" t="str"/>
      <c r="U25" s="1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>
      <c r="A26" s="3"/>
      <c r="B26" s="3" t="str"/>
      <c r="C26" s="3" t="str"/>
      <c r="D26" s="3" t="str"/>
      <c r="E26" s="3"/>
      <c r="F26" s="3" t="str"/>
      <c r="G26" s="3" t="str"/>
      <c r="H26" s="3" t="str"/>
      <c r="I26" s="19"/>
      <c r="J26" s="21"/>
      <c r="K26" s="19"/>
      <c r="L26" s="3"/>
      <c r="M26" s="3"/>
      <c r="N26" s="19"/>
      <c r="O26" s="19"/>
      <c r="P26" s="19"/>
      <c r="Q26" s="19"/>
      <c r="R26" s="19"/>
      <c r="S26" s="3"/>
      <c r="T26" s="3" t="str"/>
      <c r="U26" s="1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>
      <c r="A27" s="3"/>
      <c r="B27" s="3" t="str"/>
      <c r="C27" s="3" t="str"/>
      <c r="D27" s="3" t="str"/>
      <c r="E27" s="3"/>
      <c r="F27" s="3" t="str"/>
      <c r="G27" s="3" t="str"/>
      <c r="H27" s="3" t="str"/>
      <c r="I27" s="19"/>
      <c r="J27" s="21"/>
      <c r="K27" s="19"/>
      <c r="L27" s="3"/>
      <c r="M27" s="3"/>
      <c r="N27" s="19"/>
      <c r="O27" s="19"/>
      <c r="P27" s="19"/>
      <c r="Q27" s="19"/>
      <c r="R27" s="19"/>
      <c r="S27" s="3"/>
      <c r="T27" s="3" t="str"/>
      <c r="U27" s="1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>
      <c r="A28" s="3"/>
      <c r="B28" s="3" t="str"/>
      <c r="C28" s="3" t="str"/>
      <c r="D28" s="3" t="str"/>
      <c r="E28" s="3"/>
      <c r="F28" s="3" t="str"/>
      <c r="G28" s="3" t="str"/>
      <c r="H28" s="3" t="str"/>
      <c r="I28" s="19"/>
      <c r="J28" s="21"/>
      <c r="K28" s="19"/>
      <c r="L28" s="3"/>
      <c r="M28" s="3"/>
      <c r="N28" s="19"/>
      <c r="O28" s="19"/>
      <c r="P28" s="19"/>
      <c r="Q28" s="19"/>
      <c r="R28" s="19"/>
      <c r="S28" s="3"/>
      <c r="T28" s="3" t="str"/>
      <c r="U28" s="1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>
      <c r="A29" s="3"/>
      <c r="B29" s="3" t="str"/>
      <c r="C29" s="3" t="str"/>
      <c r="D29" s="3" t="str"/>
      <c r="E29" s="3"/>
      <c r="F29" s="3" t="str"/>
      <c r="G29" s="3" t="str"/>
      <c r="H29" s="3" t="str"/>
      <c r="I29" s="19"/>
      <c r="J29" s="21"/>
      <c r="K29" s="19"/>
      <c r="L29" s="3"/>
      <c r="M29" s="3"/>
      <c r="N29" s="19"/>
      <c r="O29" s="19"/>
      <c r="P29" s="19"/>
      <c r="Q29" s="19"/>
      <c r="R29" s="19"/>
      <c r="S29" s="3"/>
      <c r="T29" s="3" t="str"/>
      <c r="U29" s="1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>
      <c r="A30" s="3"/>
      <c r="B30" s="3" t="str"/>
      <c r="C30" s="3" t="str"/>
      <c r="D30" s="3" t="str"/>
      <c r="E30" s="3"/>
      <c r="F30" s="3" t="str"/>
      <c r="G30" s="3" t="str"/>
      <c r="H30" s="3" t="str"/>
      <c r="I30" s="19"/>
      <c r="J30" s="21"/>
      <c r="K30" s="19"/>
      <c r="L30" s="3"/>
      <c r="M30" s="3"/>
      <c r="N30" s="19"/>
      <c r="O30" s="19"/>
      <c r="P30" s="19"/>
      <c r="Q30" s="19"/>
      <c r="R30" s="19"/>
      <c r="S30" s="3"/>
      <c r="T30" s="3" t="str"/>
      <c r="U30" s="1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>
      <c r="A31" s="3"/>
      <c r="B31" s="3" t="str"/>
      <c r="C31" s="3" t="str"/>
      <c r="D31" s="3" t="str"/>
      <c r="E31" s="3"/>
      <c r="F31" s="3" t="str"/>
      <c r="G31" s="3" t="str"/>
      <c r="H31" s="3" t="str"/>
      <c r="I31" s="19"/>
      <c r="J31" s="21"/>
      <c r="K31" s="19"/>
      <c r="L31" s="3"/>
      <c r="M31" s="3"/>
      <c r="N31" s="19"/>
      <c r="O31" s="19"/>
      <c r="P31" s="19"/>
      <c r="Q31" s="19"/>
      <c r="R31" s="19"/>
      <c r="S31" s="3"/>
      <c r="T31" s="3" t="str"/>
      <c r="U31" s="1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>
      <c r="A32" s="3"/>
      <c r="B32" s="3" t="str"/>
      <c r="C32" s="3" t="str"/>
      <c r="D32" s="3" t="str"/>
      <c r="E32" s="3"/>
      <c r="F32" s="3" t="str"/>
      <c r="G32" s="3" t="str"/>
      <c r="H32" s="3" t="str"/>
      <c r="I32" s="19"/>
      <c r="J32" s="21"/>
      <c r="K32" s="19"/>
      <c r="L32" s="3"/>
      <c r="M32" s="3"/>
      <c r="N32" s="19"/>
      <c r="O32" s="19"/>
      <c r="P32" s="19"/>
      <c r="Q32" s="19"/>
      <c r="R32" s="19"/>
      <c r="S32" s="3"/>
      <c r="T32" s="3" t="str"/>
      <c r="U32" s="1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>
      <c r="A33" s="3"/>
      <c r="B33" s="3" t="str"/>
      <c r="C33" s="3" t="str"/>
      <c r="D33" s="3" t="str"/>
      <c r="E33" s="3"/>
      <c r="F33" s="3" t="str"/>
      <c r="G33" s="3" t="str"/>
      <c r="H33" s="3" t="str"/>
      <c r="I33" s="19"/>
      <c r="J33" s="21"/>
      <c r="K33" s="19"/>
      <c r="L33" s="3"/>
      <c r="M33" s="3"/>
      <c r="N33" s="19"/>
      <c r="O33" s="19"/>
      <c r="P33" s="19"/>
      <c r="Q33" s="19"/>
      <c r="R33" s="19"/>
      <c r="S33" s="3"/>
      <c r="T33" s="3" t="str"/>
      <c r="U33" s="1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>
      <c r="A34" s="3"/>
      <c r="B34" s="3" t="str"/>
      <c r="C34" s="3" t="str"/>
      <c r="D34" s="3" t="str"/>
      <c r="E34" s="3"/>
      <c r="F34" s="3" t="str"/>
      <c r="G34" s="3" t="str"/>
      <c r="H34" s="3" t="str"/>
      <c r="I34" s="19"/>
      <c r="J34" s="21"/>
      <c r="K34" s="19"/>
      <c r="L34" s="3"/>
      <c r="M34" s="3"/>
      <c r="N34" s="19"/>
      <c r="O34" s="19"/>
      <c r="P34" s="19"/>
      <c r="Q34" s="19"/>
      <c r="R34" s="19"/>
      <c r="S34" s="3"/>
      <c r="T34" s="3" t="str"/>
      <c r="U34" s="1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>
      <c r="A35" s="3"/>
      <c r="B35" s="3" t="str"/>
      <c r="C35" s="3" t="str"/>
      <c r="D35" s="3" t="str"/>
      <c r="E35" s="3"/>
      <c r="F35" s="3" t="str"/>
      <c r="G35" s="3" t="str"/>
      <c r="H35" s="3" t="str"/>
      <c r="I35" s="19"/>
      <c r="J35" s="21"/>
      <c r="K35" s="3"/>
      <c r="L35" s="3"/>
      <c r="M35" s="3"/>
      <c r="N35" s="3"/>
      <c r="O35" s="19"/>
      <c r="P35" s="19"/>
      <c r="Q35" s="19"/>
      <c r="R35" s="19"/>
      <c r="S35" s="3"/>
      <c r="T35" s="3" t="str"/>
      <c r="U35" s="1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>
      <c r="A36" s="3"/>
      <c r="B36" s="3" t="str"/>
      <c r="C36" s="3" t="str"/>
      <c r="D36" s="3" t="str"/>
      <c r="E36" s="3"/>
      <c r="F36" s="3" t="str"/>
      <c r="G36" s="3" t="str"/>
      <c r="H36" s="3" t="str"/>
      <c r="I36" s="19"/>
      <c r="J36" s="21"/>
      <c r="K36" s="3"/>
      <c r="L36" s="3"/>
      <c r="M36" s="3"/>
      <c r="N36" s="3"/>
      <c r="O36" s="19"/>
      <c r="P36" s="19"/>
      <c r="Q36" s="19"/>
      <c r="R36" s="19"/>
      <c r="S36" s="3"/>
      <c r="T36" s="3" t="str"/>
      <c r="U36" s="1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>
      <c r="A37" s="3"/>
      <c r="B37" s="3" t="str"/>
      <c r="C37" s="3" t="str"/>
      <c r="D37" s="3" t="str"/>
      <c r="E37" s="3"/>
      <c r="F37" s="3" t="str"/>
      <c r="G37" s="3" t="str"/>
      <c r="H37" s="3" t="str"/>
      <c r="I37" s="19"/>
      <c r="J37" s="21"/>
      <c r="K37" s="3"/>
      <c r="L37" s="3"/>
      <c r="M37" s="3"/>
      <c r="N37" s="3"/>
      <c r="O37" s="19"/>
      <c r="P37" s="19"/>
      <c r="Q37" s="19"/>
      <c r="R37" s="19"/>
      <c r="S37" s="3"/>
      <c r="T37" s="3" t="str"/>
      <c r="U37" s="1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>
      <c r="A38" s="3"/>
      <c r="B38" s="3" t="str"/>
      <c r="C38" s="3" t="str"/>
      <c r="D38" s="3" t="str"/>
      <c r="E38" s="3"/>
      <c r="F38" s="3" t="str"/>
      <c r="G38" s="3" t="str"/>
      <c r="H38" s="3" t="str"/>
      <c r="I38" s="19"/>
      <c r="J38" s="21"/>
      <c r="K38" s="3"/>
      <c r="L38" s="3"/>
      <c r="M38" s="3"/>
      <c r="N38" s="3"/>
      <c r="O38" s="19"/>
      <c r="P38" s="19"/>
      <c r="Q38" s="19"/>
      <c r="R38" s="19"/>
      <c r="S38" s="3"/>
      <c r="T38" s="3" t="str"/>
      <c r="U38" s="1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>
      <c r="A39" s="3"/>
      <c r="B39" s="3" t="str"/>
      <c r="C39" s="3" t="str"/>
      <c r="D39" s="3" t="str"/>
      <c r="E39" s="3"/>
      <c r="F39" s="3" t="str"/>
      <c r="G39" s="3" t="str"/>
      <c r="H39" s="3" t="str"/>
      <c r="I39" s="19"/>
      <c r="J39" s="21"/>
      <c r="K39" s="3"/>
      <c r="L39" s="3"/>
      <c r="M39" s="3"/>
      <c r="N39" s="3"/>
      <c r="O39" s="19"/>
      <c r="P39" s="19"/>
      <c r="Q39" s="19"/>
      <c r="R39" s="19"/>
      <c r="S39" s="3"/>
      <c r="T39" s="3" t="str"/>
      <c r="U39" s="1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>
      <c r="A40" s="3"/>
      <c r="B40" s="3" t="str"/>
      <c r="C40" s="3" t="str"/>
      <c r="D40" s="3" t="str"/>
      <c r="E40" s="3"/>
      <c r="F40" s="3" t="str"/>
      <c r="G40" s="3" t="str"/>
      <c r="H40" s="3" t="str"/>
      <c r="I40" s="19"/>
      <c r="J40" s="21"/>
      <c r="K40" s="3"/>
      <c r="L40" s="3"/>
      <c r="M40" s="3"/>
      <c r="N40" s="3"/>
      <c r="O40" s="19"/>
      <c r="P40" s="19"/>
      <c r="Q40" s="19"/>
      <c r="R40" s="19"/>
      <c r="S40" s="3"/>
      <c r="T40" s="3" t="str"/>
      <c r="U40" s="1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>
      <c r="A41" s="3"/>
      <c r="B41" s="3" t="str"/>
      <c r="C41" s="3" t="str"/>
      <c r="D41" s="3" t="str"/>
      <c r="E41" s="3"/>
      <c r="F41" s="3" t="str"/>
      <c r="G41" s="3" t="str"/>
      <c r="H41" s="3" t="str"/>
      <c r="I41" s="19"/>
      <c r="J41" s="21"/>
      <c r="K41" s="3"/>
      <c r="L41" s="3"/>
      <c r="M41" s="3"/>
      <c r="N41" s="3"/>
      <c r="O41" s="19"/>
      <c r="P41" s="19"/>
      <c r="Q41" s="19"/>
      <c r="R41" s="19"/>
      <c r="S41" s="3"/>
      <c r="T41" s="3" t="str"/>
      <c r="U41" s="1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>
      <c r="A42" s="3"/>
      <c r="B42" s="3" t="str"/>
      <c r="C42" s="3" t="str"/>
      <c r="D42" s="3" t="str"/>
      <c r="E42" s="3"/>
      <c r="F42" s="3" t="str"/>
      <c r="G42" s="3" t="str"/>
      <c r="H42" s="3" t="str"/>
      <c r="I42" s="19"/>
      <c r="J42" s="21"/>
      <c r="K42" s="3"/>
      <c r="L42" s="3"/>
      <c r="M42" s="3"/>
      <c r="N42" s="3"/>
      <c r="O42" s="19"/>
      <c r="P42" s="19"/>
      <c r="Q42" s="19"/>
      <c r="R42" s="19"/>
      <c r="S42" s="3"/>
      <c r="T42" s="3" t="str"/>
      <c r="U42" s="1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>
      <c r="A43" s="3"/>
      <c r="B43" s="3" t="str"/>
      <c r="C43" s="3" t="str"/>
      <c r="D43" s="3" t="str"/>
      <c r="E43" s="3"/>
      <c r="F43" s="3" t="str"/>
      <c r="G43" s="3" t="str"/>
      <c r="H43" s="3" t="str"/>
      <c r="I43" s="19"/>
      <c r="J43" s="21"/>
      <c r="K43" s="3"/>
      <c r="L43" s="3"/>
      <c r="M43" s="3"/>
      <c r="N43" s="3"/>
      <c r="O43" s="19"/>
      <c r="P43" s="19"/>
      <c r="Q43" s="19"/>
      <c r="R43" s="19"/>
      <c r="S43" s="3"/>
      <c r="T43" s="3" t="str"/>
      <c r="U43" s="1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>
      <c r="A44" s="3"/>
      <c r="B44" s="3" t="str"/>
      <c r="C44" s="3" t="str"/>
      <c r="D44" s="3" t="str"/>
      <c r="E44" s="3"/>
      <c r="F44" s="3" t="str"/>
      <c r="G44" s="3" t="str"/>
      <c r="H44" s="3" t="str"/>
      <c r="I44" s="19"/>
      <c r="J44" s="21"/>
      <c r="K44" s="3"/>
      <c r="L44" s="3"/>
      <c r="M44" s="3"/>
      <c r="N44" s="3"/>
      <c r="O44" s="19"/>
      <c r="P44" s="19"/>
      <c r="Q44" s="19"/>
      <c r="R44" s="19"/>
      <c r="S44" s="3"/>
      <c r="T44" s="3" t="str"/>
      <c r="U44" s="1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>
      <c r="A45" s="3"/>
      <c r="B45" s="3" t="str"/>
      <c r="C45" s="3" t="str"/>
      <c r="D45" s="3" t="str"/>
      <c r="E45" s="3"/>
      <c r="F45" s="3" t="str"/>
      <c r="G45" s="3" t="str"/>
      <c r="H45" s="3" t="str"/>
      <c r="I45" s="19"/>
      <c r="J45" s="21"/>
      <c r="K45" s="3"/>
      <c r="L45" s="3"/>
      <c r="M45" s="3"/>
      <c r="N45" s="3"/>
      <c r="O45" s="19"/>
      <c r="P45" s="19"/>
      <c r="Q45" s="19"/>
      <c r="R45" s="19"/>
      <c r="S45" s="3"/>
      <c r="T45" s="3" t="str"/>
      <c r="U45" s="1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>
      <c r="A46" s="3"/>
      <c r="B46" s="3" t="str"/>
      <c r="C46" s="3" t="str"/>
      <c r="D46" s="3" t="str"/>
      <c r="E46" s="3"/>
      <c r="F46" s="3" t="str"/>
      <c r="G46" s="3" t="str"/>
      <c r="H46" s="3" t="str"/>
      <c r="I46" s="19"/>
      <c r="J46" s="21"/>
      <c r="K46" s="3"/>
      <c r="L46" s="3"/>
      <c r="M46" s="3"/>
      <c r="N46" s="3"/>
      <c r="O46" s="19"/>
      <c r="P46" s="19"/>
      <c r="Q46" s="19"/>
      <c r="R46" s="19"/>
      <c r="S46" s="3"/>
      <c r="T46" s="3" t="str"/>
      <c r="U46" s="1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>
      <c r="A47" s="3"/>
      <c r="B47" s="3" t="str"/>
      <c r="C47" s="3" t="str"/>
      <c r="D47" s="3" t="str"/>
      <c r="E47" s="3"/>
      <c r="F47" s="3" t="str"/>
      <c r="G47" s="3" t="str"/>
      <c r="H47" s="3" t="str"/>
      <c r="I47" s="19"/>
      <c r="J47" s="21"/>
      <c r="K47" s="3"/>
      <c r="L47" s="3"/>
      <c r="M47" s="3"/>
      <c r="N47" s="3"/>
      <c r="O47" s="19"/>
      <c r="P47" s="19"/>
      <c r="Q47" s="19"/>
      <c r="R47" s="19"/>
      <c r="S47" s="3"/>
      <c r="T47" s="3" t="str"/>
      <c r="U47" s="1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>
      <c r="A48" s="3"/>
      <c r="B48" s="3" t="str"/>
      <c r="C48" s="3" t="str"/>
      <c r="D48" s="3" t="str"/>
      <c r="E48" s="3"/>
      <c r="F48" s="3" t="str"/>
      <c r="G48" s="3" t="str"/>
      <c r="H48" s="3" t="str"/>
      <c r="I48" s="19"/>
      <c r="J48" s="21"/>
      <c r="K48" s="3"/>
      <c r="L48" s="3"/>
      <c r="M48" s="3"/>
      <c r="N48" s="3"/>
      <c r="O48" s="19"/>
      <c r="P48" s="19"/>
      <c r="Q48" s="19"/>
      <c r="R48" s="19"/>
      <c r="S48" s="3"/>
      <c r="T48" s="3" t="str"/>
      <c r="U48" s="1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>
      <c r="A49" s="3"/>
      <c r="B49" s="3" t="str"/>
      <c r="C49" s="3" t="str"/>
      <c r="D49" s="3" t="str"/>
      <c r="E49" s="3"/>
      <c r="F49" s="3" t="str"/>
      <c r="G49" s="3" t="str"/>
      <c r="H49" s="3" t="str"/>
      <c r="I49" s="19"/>
      <c r="J49" s="21"/>
      <c r="K49" s="3"/>
      <c r="L49" s="3"/>
      <c r="M49" s="3"/>
      <c r="N49" s="3"/>
      <c r="O49" s="19"/>
      <c r="P49" s="19"/>
      <c r="Q49" s="19"/>
      <c r="R49" s="19"/>
      <c r="S49" s="3"/>
      <c r="T49" s="3" t="str"/>
      <c r="U49" s="1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>
      <c r="A50" s="3"/>
      <c r="B50" s="3" t="str"/>
      <c r="C50" s="3" t="str"/>
      <c r="D50" s="3" t="str"/>
      <c r="E50" s="3"/>
      <c r="F50" s="3" t="str"/>
      <c r="G50" s="3" t="str"/>
      <c r="H50" s="3" t="str"/>
      <c r="I50" s="19"/>
      <c r="J50" s="21"/>
      <c r="K50" s="3"/>
      <c r="L50" s="3"/>
      <c r="M50" s="3"/>
      <c r="N50" s="3"/>
      <c r="O50" s="19"/>
      <c r="P50" s="19"/>
      <c r="Q50" s="19"/>
      <c r="R50" s="19"/>
      <c r="S50" s="3"/>
      <c r="T50" s="3" t="str"/>
      <c r="U50" s="1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>
      <c r="A51" s="3"/>
      <c r="B51" s="3" t="str"/>
      <c r="C51" s="3" t="str"/>
      <c r="D51" s="3" t="str"/>
      <c r="E51" s="3"/>
      <c r="F51" s="3" t="str"/>
      <c r="G51" s="3" t="str"/>
      <c r="H51" s="3" t="str"/>
      <c r="I51" s="19"/>
      <c r="J51" s="21"/>
      <c r="K51" s="3"/>
      <c r="L51" s="3"/>
      <c r="M51" s="3"/>
      <c r="N51" s="3"/>
      <c r="O51" s="19"/>
      <c r="P51" s="19"/>
      <c r="Q51" s="19"/>
      <c r="R51" s="19"/>
      <c r="S51" s="3"/>
      <c r="T51" s="3" t="str"/>
      <c r="U51" s="1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>
      <c r="A52" s="3"/>
      <c r="B52" s="3" t="str"/>
      <c r="C52" s="3" t="str"/>
      <c r="D52" s="3" t="str"/>
      <c r="E52" s="3"/>
      <c r="F52" s="3" t="str"/>
      <c r="G52" s="3" t="str"/>
      <c r="H52" s="3" t="str"/>
      <c r="I52" s="19"/>
      <c r="J52" s="21"/>
      <c r="K52" s="3"/>
      <c r="L52" s="3"/>
      <c r="M52" s="3"/>
      <c r="N52" s="3"/>
      <c r="O52" s="19"/>
      <c r="P52" s="19"/>
      <c r="Q52" s="19"/>
      <c r="R52" s="19"/>
      <c r="S52" s="3"/>
      <c r="T52" s="3" t="str"/>
      <c r="U52" s="1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>
      <c r="A53" s="3"/>
      <c r="B53" s="3" t="str"/>
      <c r="C53" s="3" t="str"/>
      <c r="D53" s="3" t="str"/>
      <c r="E53" s="3"/>
      <c r="F53" s="3" t="str"/>
      <c r="G53" s="3" t="str"/>
      <c r="H53" s="3" t="str"/>
      <c r="I53" s="1"/>
      <c r="J53" s="27"/>
      <c r="K53" s="3"/>
      <c r="L53" s="3"/>
      <c r="M53" s="3"/>
      <c r="N53" s="3"/>
      <c r="O53" s="19"/>
      <c r="P53" s="19"/>
      <c r="Q53" s="1"/>
      <c r="R53" s="1"/>
      <c r="S53" s="3"/>
      <c r="T53" s="3" t="str"/>
      <c r="U53" s="1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>
      <c r="A54" s="3"/>
      <c r="B54" s="3" t="str"/>
      <c r="C54" s="3" t="str"/>
      <c r="D54" s="3" t="str"/>
      <c r="E54" s="3"/>
      <c r="F54" s="3" t="str"/>
      <c r="G54" s="3" t="str"/>
      <c r="H54" s="3" t="str"/>
      <c r="I54" s="19"/>
      <c r="J54" s="21"/>
      <c r="K54" s="3"/>
      <c r="L54" s="3"/>
      <c r="M54" s="3"/>
      <c r="N54" s="3"/>
      <c r="O54" s="19"/>
      <c r="P54" s="19"/>
      <c r="Q54" s="19"/>
      <c r="R54" s="19"/>
      <c r="S54" s="3"/>
      <c r="T54" s="3" t="str"/>
      <c r="U54" s="1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>
      <c r="A55" s="3"/>
      <c r="B55" s="3" t="str"/>
      <c r="C55" s="3" t="str"/>
      <c r="D55" s="3" t="str"/>
      <c r="E55" s="3"/>
      <c r="F55" s="3" t="str"/>
      <c r="G55" s="3" t="str"/>
      <c r="H55" s="3" t="str"/>
      <c r="I55" s="19"/>
      <c r="J55" s="21"/>
      <c r="K55" s="3"/>
      <c r="L55" s="3"/>
      <c r="M55" s="3"/>
      <c r="N55" s="3"/>
      <c r="O55" s="19"/>
      <c r="P55" s="19"/>
      <c r="Q55" s="19"/>
      <c r="R55" s="19"/>
      <c r="S55" s="3"/>
      <c r="T55" s="3" t="str"/>
      <c r="U55" s="1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>
      <c r="A56" s="3"/>
      <c r="B56" s="3" t="str"/>
      <c r="C56" s="3" t="str"/>
      <c r="D56" s="3" t="str"/>
      <c r="E56" s="3"/>
      <c r="F56" s="3" t="str"/>
      <c r="G56" s="3" t="str"/>
      <c r="H56" s="3" t="str"/>
      <c r="I56" s="19"/>
      <c r="J56" s="21"/>
      <c r="K56" s="3"/>
      <c r="L56" s="3"/>
      <c r="M56" s="3"/>
      <c r="N56" s="3"/>
      <c r="O56" s="19"/>
      <c r="P56" s="19"/>
      <c r="Q56" s="19"/>
      <c r="R56" s="19"/>
      <c r="S56" s="3"/>
      <c r="T56" s="3" t="str"/>
      <c r="U56" s="1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>
      <c r="A57" s="3"/>
      <c r="B57" s="3" t="str"/>
      <c r="C57" s="3" t="str"/>
      <c r="D57" s="3" t="str"/>
      <c r="E57" s="3"/>
      <c r="F57" s="3" t="str"/>
      <c r="G57" s="3" t="str"/>
      <c r="H57" s="3" t="str"/>
      <c r="I57" s="19"/>
      <c r="J57" s="21"/>
      <c r="K57" s="3"/>
      <c r="L57" s="3"/>
      <c r="M57" s="3"/>
      <c r="N57" s="3"/>
      <c r="O57" s="19"/>
      <c r="P57" s="19"/>
      <c r="Q57" s="19"/>
      <c r="R57" s="19"/>
      <c r="S57" s="3"/>
      <c r="T57" s="3" t="str"/>
      <c r="U57" s="1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>
      <c r="A58" s="3"/>
      <c r="B58" s="3" t="str"/>
      <c r="C58" s="3" t="str"/>
      <c r="D58" s="3" t="str"/>
      <c r="E58" s="3"/>
      <c r="F58" s="3" t="str"/>
      <c r="G58" s="3" t="str"/>
      <c r="H58" s="3" t="str"/>
      <c r="I58" s="19"/>
      <c r="J58" s="21"/>
      <c r="K58" s="3"/>
      <c r="L58" s="3"/>
      <c r="M58" s="3"/>
      <c r="N58" s="3"/>
      <c r="O58" s="19"/>
      <c r="P58" s="19"/>
      <c r="Q58" s="19"/>
      <c r="R58" s="19"/>
      <c r="S58" s="3"/>
      <c r="T58" s="3" t="str"/>
      <c r="U58" s="1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>
      <c r="A59" s="3"/>
      <c r="B59" s="3" t="str"/>
      <c r="C59" s="3" t="str"/>
      <c r="D59" s="3" t="str"/>
      <c r="E59" s="3"/>
      <c r="F59" s="3" t="str"/>
      <c r="G59" s="3" t="str"/>
      <c r="H59" s="3" t="str"/>
      <c r="I59" s="19"/>
      <c r="J59" s="21"/>
      <c r="K59" s="3"/>
      <c r="L59" s="3"/>
      <c r="M59" s="3"/>
      <c r="N59" s="3"/>
      <c r="O59" s="19"/>
      <c r="P59" s="19"/>
      <c r="Q59" s="19"/>
      <c r="R59" s="19"/>
      <c r="S59" s="3"/>
      <c r="T59" s="3" t="str"/>
      <c r="U59" s="1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>
      <c r="A60" s="3"/>
      <c r="B60" s="3" t="str"/>
      <c r="C60" s="3" t="str"/>
      <c r="D60" s="3" t="str"/>
      <c r="E60" s="3"/>
      <c r="F60" s="3" t="str"/>
      <c r="G60" s="3" t="str"/>
      <c r="H60" s="3" t="str"/>
      <c r="I60" s="19"/>
      <c r="J60" s="21"/>
      <c r="K60" s="3"/>
      <c r="L60" s="3"/>
      <c r="M60" s="3"/>
      <c r="N60" s="3"/>
      <c r="O60" s="19"/>
      <c r="P60" s="19"/>
      <c r="Q60" s="19"/>
      <c r="R60" s="19"/>
      <c r="S60" s="3"/>
      <c r="T60" s="3" t="str"/>
      <c r="U60" s="1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>
      <c r="A61" s="3"/>
      <c r="B61" s="3" t="str"/>
      <c r="C61" s="3" t="str"/>
      <c r="D61" s="3" t="str"/>
      <c r="E61" s="3"/>
      <c r="F61" s="3" t="str"/>
      <c r="G61" s="3" t="str"/>
      <c r="H61" s="3" t="str"/>
      <c r="I61" s="19"/>
      <c r="J61" s="21"/>
      <c r="K61" s="3"/>
      <c r="L61" s="3"/>
      <c r="M61" s="3"/>
      <c r="N61" s="3"/>
      <c r="O61" s="19"/>
      <c r="P61" s="19"/>
      <c r="Q61" s="19"/>
      <c r="R61" s="19"/>
      <c r="S61" s="3"/>
      <c r="T61" s="3" t="str"/>
      <c r="U61" s="1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>
      <c r="A62" s="3"/>
      <c r="B62" s="3" t="str"/>
      <c r="C62" s="3" t="str"/>
      <c r="D62" s="3" t="str"/>
      <c r="E62" s="3"/>
      <c r="F62" s="3" t="str"/>
      <c r="G62" s="3" t="str"/>
      <c r="H62" s="3" t="str"/>
      <c r="I62" s="19"/>
      <c r="J62" s="21"/>
      <c r="K62" s="3"/>
      <c r="L62" s="3"/>
      <c r="M62" s="3"/>
      <c r="N62" s="3"/>
      <c r="O62" s="19"/>
      <c r="P62" s="19"/>
      <c r="Q62" s="19"/>
      <c r="R62" s="19"/>
      <c r="S62" s="3"/>
      <c r="T62" s="3" t="str"/>
      <c r="U62" s="1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>
      <c r="A63" s="3"/>
      <c r="B63" s="3" t="str"/>
      <c r="C63" s="3" t="str"/>
      <c r="D63" s="3" t="str"/>
      <c r="E63" s="3"/>
      <c r="F63" s="3" t="str"/>
      <c r="G63" s="3" t="str"/>
      <c r="H63" s="3" t="str"/>
      <c r="I63" s="19"/>
      <c r="J63" s="21"/>
      <c r="K63" s="3"/>
      <c r="L63" s="3"/>
      <c r="M63" s="3"/>
      <c r="N63" s="3"/>
      <c r="O63" s="19"/>
      <c r="P63" s="19"/>
      <c r="Q63" s="19"/>
      <c r="R63" s="19"/>
      <c r="S63" s="3"/>
      <c r="T63" s="3" t="str"/>
      <c r="U63" s="1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>
      <c r="A64" s="3"/>
      <c r="B64" s="3" t="str"/>
      <c r="C64" s="3" t="str"/>
      <c r="D64" s="3" t="str"/>
      <c r="E64" s="3"/>
      <c r="F64" s="3" t="str"/>
      <c r="G64" s="3" t="str"/>
      <c r="H64" s="3" t="str"/>
      <c r="I64" s="19"/>
      <c r="J64" s="21"/>
      <c r="K64" s="3"/>
      <c r="L64" s="3"/>
      <c r="M64" s="3"/>
      <c r="N64" s="3"/>
      <c r="O64" s="19"/>
      <c r="P64" s="19"/>
      <c r="Q64" s="19"/>
      <c r="R64" s="19"/>
      <c r="S64" s="3"/>
      <c r="T64" s="3" t="str"/>
      <c r="U64" s="1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>
      <c r="A65" s="3"/>
      <c r="B65" s="3" t="str"/>
      <c r="C65" s="3" t="str"/>
      <c r="D65" s="3" t="str"/>
      <c r="E65" s="3"/>
      <c r="F65" s="3" t="str"/>
      <c r="G65" s="3" t="str"/>
      <c r="H65" s="3" t="str"/>
      <c r="I65" s="19"/>
      <c r="J65" s="21"/>
      <c r="K65" s="3"/>
      <c r="L65" s="3"/>
      <c r="M65" s="3"/>
      <c r="N65" s="3"/>
      <c r="O65" s="19"/>
      <c r="P65" s="19"/>
      <c r="Q65" s="19"/>
      <c r="R65" s="19"/>
      <c r="S65" s="3"/>
      <c r="T65" s="3" t="str"/>
      <c r="U65" s="1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>
      <c r="A66" s="3"/>
      <c r="B66" s="3" t="str"/>
      <c r="C66" s="3" t="str"/>
      <c r="D66" s="3" t="str"/>
      <c r="E66" s="3"/>
      <c r="F66" s="3" t="str"/>
      <c r="G66" s="3" t="str"/>
      <c r="H66" s="3" t="str"/>
      <c r="I66" s="19"/>
      <c r="J66" s="21"/>
      <c r="K66" s="3"/>
      <c r="L66" s="3"/>
      <c r="M66" s="3"/>
      <c r="N66" s="3"/>
      <c r="O66" s="19"/>
      <c r="P66" s="19"/>
      <c r="Q66" s="19"/>
      <c r="R66" s="19"/>
      <c r="S66" s="3"/>
      <c r="T66" s="3" t="str"/>
      <c r="U66" s="1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>
      <c r="A67" s="3"/>
      <c r="B67" s="3" t="str"/>
      <c r="C67" s="3" t="str"/>
      <c r="D67" s="3" t="str"/>
      <c r="E67" s="3"/>
      <c r="F67" s="3" t="str"/>
      <c r="G67" s="3" t="str"/>
      <c r="H67" s="3" t="str"/>
      <c r="I67" s="19"/>
      <c r="J67" s="21"/>
      <c r="K67" s="3"/>
      <c r="L67" s="3"/>
      <c r="M67" s="3"/>
      <c r="N67" s="3"/>
      <c r="O67" s="19"/>
      <c r="P67" s="19"/>
      <c r="Q67" s="19"/>
      <c r="R67" s="19"/>
      <c r="S67" s="3"/>
      <c r="T67" s="3" t="str"/>
      <c r="U67" s="1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>
      <c r="A68" s="3"/>
      <c r="B68" s="3" t="str"/>
      <c r="C68" s="3" t="str"/>
      <c r="D68" s="3" t="str"/>
      <c r="E68" s="3"/>
      <c r="F68" s="3" t="str"/>
      <c r="G68" s="3" t="str"/>
      <c r="H68" s="3" t="str"/>
      <c r="I68" s="19"/>
      <c r="J68" s="21"/>
      <c r="K68" s="3"/>
      <c r="L68" s="3"/>
      <c r="M68" s="3"/>
      <c r="N68" s="3"/>
      <c r="O68" s="19"/>
      <c r="P68" s="19"/>
      <c r="Q68" s="19"/>
      <c r="R68" s="19"/>
      <c r="S68" s="3"/>
      <c r="T68" s="3" t="str"/>
      <c r="U68" s="1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>
      <c r="A69" s="3"/>
      <c r="B69" s="3" t="str"/>
      <c r="C69" s="3" t="str"/>
      <c r="D69" s="3" t="str"/>
      <c r="E69" s="3"/>
      <c r="F69" s="3" t="str"/>
      <c r="G69" s="3" t="str"/>
      <c r="H69" s="3" t="str"/>
      <c r="I69" s="19"/>
      <c r="J69" s="21"/>
      <c r="K69" s="3"/>
      <c r="L69" s="3"/>
      <c r="M69" s="3"/>
      <c r="N69" s="3"/>
      <c r="O69" s="19"/>
      <c r="P69" s="19"/>
      <c r="Q69" s="19"/>
      <c r="R69" s="19"/>
      <c r="S69" s="3"/>
      <c r="T69" s="3" t="str"/>
      <c r="U69" s="1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>
      <c r="A70" s="3"/>
      <c r="B70" s="3" t="str"/>
      <c r="C70" s="3" t="str"/>
      <c r="D70" s="3" t="str"/>
      <c r="E70" s="3"/>
      <c r="F70" s="3" t="str"/>
      <c r="G70" s="3" t="str"/>
      <c r="H70" s="3" t="str"/>
      <c r="I70" s="19"/>
      <c r="J70" s="21"/>
      <c r="K70" s="3"/>
      <c r="L70" s="3"/>
      <c r="M70" s="3"/>
      <c r="N70" s="3"/>
      <c r="O70" s="19"/>
      <c r="P70" s="19"/>
      <c r="Q70" s="19"/>
      <c r="R70" s="19"/>
      <c r="S70" s="3"/>
      <c r="T70" s="3" t="str"/>
      <c r="U70" s="1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>
      <c r="A71" s="3"/>
      <c r="B71" s="3" t="str"/>
      <c r="C71" s="3" t="str"/>
      <c r="D71" s="3" t="str"/>
      <c r="E71" s="3"/>
      <c r="F71" s="3" t="str"/>
      <c r="G71" s="3" t="str"/>
      <c r="H71" s="3" t="str"/>
      <c r="I71" s="19"/>
      <c r="J71" s="21"/>
      <c r="K71" s="3"/>
      <c r="L71" s="3"/>
      <c r="M71" s="3"/>
      <c r="N71" s="3"/>
      <c r="O71" s="19"/>
      <c r="P71" s="19"/>
      <c r="Q71" s="19"/>
      <c r="R71" s="19"/>
      <c r="S71" s="3"/>
      <c r="T71" s="3" t="str"/>
      <c r="U71" s="1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>
      <c r="A72" s="3"/>
      <c r="B72" s="3" t="str"/>
      <c r="C72" s="3" t="str"/>
      <c r="D72" s="3" t="str"/>
      <c r="E72" s="3"/>
      <c r="F72" s="3" t="str"/>
      <c r="G72" s="3" t="str"/>
      <c r="H72" s="3" t="str"/>
      <c r="I72" s="19"/>
      <c r="J72" s="21"/>
      <c r="K72" s="3"/>
      <c r="L72" s="3"/>
      <c r="M72" s="3"/>
      <c r="N72" s="3"/>
      <c r="O72" s="19"/>
      <c r="P72" s="19"/>
      <c r="Q72" s="19"/>
      <c r="R72" s="19"/>
      <c r="S72" s="3"/>
      <c r="T72" s="3" t="str"/>
      <c r="U72" s="1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>
      <c r="A73" s="3"/>
      <c r="B73" s="3" t="str"/>
      <c r="C73" s="3" t="str"/>
      <c r="D73" s="3" t="str"/>
      <c r="E73" s="3"/>
      <c r="F73" s="3" t="str"/>
      <c r="G73" s="3" t="str"/>
      <c r="H73" s="3" t="str"/>
      <c r="I73" s="19"/>
      <c r="J73" s="21"/>
      <c r="K73" s="3"/>
      <c r="L73" s="3"/>
      <c r="M73" s="3"/>
      <c r="N73" s="3"/>
      <c r="O73" s="19"/>
      <c r="P73" s="19"/>
      <c r="Q73" s="19"/>
      <c r="R73" s="19"/>
      <c r="S73" s="3"/>
      <c r="T73" s="3" t="str"/>
      <c r="U73" s="1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>
      <c r="A74" s="3"/>
      <c r="B74" s="3" t="str"/>
      <c r="C74" s="3" t="str"/>
      <c r="D74" s="3" t="str"/>
      <c r="E74" s="3"/>
      <c r="F74" s="3" t="str"/>
      <c r="G74" s="3" t="str"/>
      <c r="H74" s="3" t="str"/>
      <c r="I74" s="19"/>
      <c r="J74" s="21"/>
      <c r="K74" s="3"/>
      <c r="L74" s="3"/>
      <c r="M74" s="3"/>
      <c r="N74" s="3"/>
      <c r="O74" s="19"/>
      <c r="P74" s="19"/>
      <c r="Q74" s="19"/>
      <c r="R74" s="19"/>
      <c r="S74" s="3"/>
      <c r="T74" s="3" t="str"/>
      <c r="U74" s="1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>
      <c r="A75" s="3"/>
      <c r="B75" s="3" t="str"/>
      <c r="C75" s="3" t="str"/>
      <c r="D75" s="3" t="str"/>
      <c r="E75" s="3"/>
      <c r="F75" s="3" t="str"/>
      <c r="G75" s="3" t="str"/>
      <c r="H75" s="3" t="str"/>
      <c r="I75" s="19"/>
      <c r="J75" s="21"/>
      <c r="K75" s="3"/>
      <c r="L75" s="3"/>
      <c r="M75" s="3"/>
      <c r="N75" s="3"/>
      <c r="O75" s="19"/>
      <c r="P75" s="19"/>
      <c r="Q75" s="19"/>
      <c r="R75" s="19"/>
      <c r="S75" s="3"/>
      <c r="T75" s="3" t="str"/>
      <c r="U75" s="1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>
      <c r="A76" s="3"/>
      <c r="B76" s="3" t="str"/>
      <c r="C76" s="3" t="str"/>
      <c r="D76" s="3" t="str"/>
      <c r="E76" s="3"/>
      <c r="F76" s="3" t="str"/>
      <c r="G76" s="3" t="str"/>
      <c r="H76" s="3" t="str"/>
      <c r="I76" s="19"/>
      <c r="J76" s="21"/>
      <c r="K76" s="3"/>
      <c r="L76" s="3"/>
      <c r="M76" s="3"/>
      <c r="N76" s="3"/>
      <c r="O76" s="19"/>
      <c r="P76" s="19"/>
      <c r="Q76" s="19"/>
      <c r="R76" s="19"/>
      <c r="S76" s="3"/>
      <c r="T76" s="3" t="str"/>
      <c r="U76" s="1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>
      <c r="A77" s="3"/>
      <c r="B77" s="3" t="str"/>
      <c r="C77" s="3" t="str"/>
      <c r="D77" s="3" t="str"/>
      <c r="E77" s="3"/>
      <c r="F77" s="3" t="str"/>
      <c r="G77" s="3" t="str"/>
      <c r="H77" s="3" t="str"/>
      <c r="I77" s="19"/>
      <c r="J77" s="21"/>
      <c r="K77" s="3"/>
      <c r="L77" s="3"/>
      <c r="M77" s="3"/>
      <c r="N77" s="3"/>
      <c r="O77" s="19"/>
      <c r="P77" s="19"/>
      <c r="Q77" s="19"/>
      <c r="R77" s="19"/>
      <c r="S77" s="3"/>
      <c r="T77" s="3" t="str"/>
      <c r="U77" s="1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>
      <c r="A78" s="3"/>
      <c r="B78" s="3" t="str"/>
      <c r="C78" s="3" t="str"/>
      <c r="D78" s="3" t="str"/>
      <c r="E78" s="3"/>
      <c r="F78" s="3" t="str"/>
      <c r="G78" s="3" t="str"/>
      <c r="H78" s="3" t="str"/>
      <c r="I78" s="19"/>
      <c r="J78" s="21"/>
      <c r="K78" s="3"/>
      <c r="L78" s="3"/>
      <c r="M78" s="3"/>
      <c r="N78" s="3"/>
      <c r="O78" s="19"/>
      <c r="P78" s="19"/>
      <c r="Q78" s="19"/>
      <c r="R78" s="19"/>
      <c r="S78" s="3"/>
      <c r="T78" s="3" t="str"/>
      <c r="U78" s="1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>
      <c r="A79" s="3"/>
      <c r="B79" s="3" t="str"/>
      <c r="C79" s="3" t="str"/>
      <c r="D79" s="3" t="str"/>
      <c r="E79" s="3"/>
      <c r="F79" s="3" t="str"/>
      <c r="G79" s="3" t="str"/>
      <c r="H79" s="3" t="str"/>
      <c r="I79" s="19"/>
      <c r="J79" s="21"/>
      <c r="K79" s="3"/>
      <c r="L79" s="3"/>
      <c r="M79" s="3"/>
      <c r="N79" s="3"/>
      <c r="O79" s="19"/>
      <c r="P79" s="19"/>
      <c r="Q79" s="19"/>
      <c r="R79" s="19"/>
      <c r="S79" s="3"/>
      <c r="T79" s="3" t="str"/>
      <c r="U79" s="1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>
      <c r="A80" s="3"/>
      <c r="B80" s="3" t="str"/>
      <c r="C80" s="3" t="str"/>
      <c r="D80" s="3" t="str"/>
      <c r="E80" s="3"/>
      <c r="F80" s="3" t="str"/>
      <c r="G80" s="3" t="str"/>
      <c r="H80" s="3" t="str"/>
      <c r="I80" s="19"/>
      <c r="J80" s="21"/>
      <c r="K80" s="3"/>
      <c r="L80" s="3"/>
      <c r="M80" s="3"/>
      <c r="N80" s="3"/>
      <c r="O80" s="19"/>
      <c r="P80" s="19"/>
      <c r="Q80" s="19"/>
      <c r="R80" s="19"/>
      <c r="S80" s="3"/>
      <c r="T80" s="3" t="str"/>
      <c r="U80" s="1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>
      <c r="A81" s="3"/>
      <c r="B81" s="3" t="str"/>
      <c r="C81" s="3" t="str"/>
      <c r="D81" s="3" t="str"/>
      <c r="E81" s="3"/>
      <c r="F81" s="3" t="str"/>
      <c r="G81" s="3" t="str"/>
      <c r="H81" s="3" t="str"/>
      <c r="I81" s="19"/>
      <c r="J81" s="21"/>
      <c r="K81" s="3"/>
      <c r="L81" s="3"/>
      <c r="M81" s="3"/>
      <c r="N81" s="3"/>
      <c r="O81" s="19"/>
      <c r="P81" s="19"/>
      <c r="Q81" s="19"/>
      <c r="R81" s="19"/>
      <c r="S81" s="3"/>
      <c r="T81" s="3" t="str"/>
      <c r="U81" s="1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>
      <c r="A82" s="3"/>
      <c r="B82" s="3" t="str"/>
      <c r="C82" s="3" t="str"/>
      <c r="D82" s="3" t="str"/>
      <c r="E82" s="3"/>
      <c r="F82" s="3" t="str"/>
      <c r="G82" s="3" t="str"/>
      <c r="H82" s="3" t="str"/>
      <c r="I82" s="19"/>
      <c r="J82" s="21"/>
      <c r="K82" s="3"/>
      <c r="L82" s="3"/>
      <c r="M82" s="3"/>
      <c r="N82" s="3"/>
      <c r="O82" s="19"/>
      <c r="P82" s="19"/>
      <c r="Q82" s="19"/>
      <c r="R82" s="19"/>
      <c r="S82" s="3"/>
      <c r="T82" s="3" t="str"/>
      <c r="U82" s="1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>
      <c r="A83" s="3"/>
      <c r="B83" s="3" t="str"/>
      <c r="C83" s="3" t="str"/>
      <c r="D83" s="3" t="str"/>
      <c r="E83" s="3"/>
      <c r="F83" s="3" t="str"/>
      <c r="G83" s="3" t="str"/>
      <c r="H83" s="3" t="str"/>
      <c r="I83" s="19"/>
      <c r="J83" s="21"/>
      <c r="K83" s="3"/>
      <c r="L83" s="3"/>
      <c r="M83" s="3"/>
      <c r="N83" s="3"/>
      <c r="O83" s="19"/>
      <c r="P83" s="19"/>
      <c r="Q83" s="19"/>
      <c r="R83" s="19"/>
      <c r="S83" s="3"/>
      <c r="T83" s="3" t="str"/>
      <c r="U83" s="1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>
      <c r="A84" s="3"/>
      <c r="B84" s="3" t="str"/>
      <c r="C84" s="3" t="str"/>
      <c r="D84" s="3" t="str"/>
      <c r="E84" s="3"/>
      <c r="F84" s="3" t="str"/>
      <c r="G84" s="3" t="str"/>
      <c r="H84" s="3" t="str"/>
      <c r="I84" s="19"/>
      <c r="J84" s="21"/>
      <c r="K84" s="3"/>
      <c r="L84" s="3"/>
      <c r="M84" s="3"/>
      <c r="N84" s="3"/>
      <c r="O84" s="19"/>
      <c r="P84" s="19"/>
      <c r="Q84" s="19"/>
      <c r="R84" s="19"/>
      <c r="S84" s="3"/>
      <c r="T84" s="3" t="str"/>
      <c r="U84" s="1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>
      <c r="A85" s="3"/>
      <c r="B85" s="3" t="str"/>
      <c r="C85" s="3" t="str"/>
      <c r="D85" s="3" t="str"/>
      <c r="E85" s="3"/>
      <c r="F85" s="3" t="str"/>
      <c r="G85" s="3" t="str"/>
      <c r="H85" s="3" t="str"/>
      <c r="I85" s="19"/>
      <c r="J85" s="21"/>
      <c r="K85" s="3"/>
      <c r="L85" s="3"/>
      <c r="M85" s="3"/>
      <c r="N85" s="3"/>
      <c r="O85" s="19"/>
      <c r="P85" s="19"/>
      <c r="Q85" s="19"/>
      <c r="R85" s="19"/>
      <c r="S85" s="3"/>
      <c r="T85" s="3" t="str"/>
      <c r="U85" s="1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>
      <c r="A86" s="3"/>
      <c r="B86" s="3" t="str"/>
      <c r="C86" s="3" t="str"/>
      <c r="D86" s="3" t="str"/>
      <c r="E86" s="3"/>
      <c r="F86" s="3" t="str"/>
      <c r="G86" s="3" t="str"/>
      <c r="H86" s="3" t="str"/>
      <c r="I86" s="19"/>
      <c r="J86" s="21"/>
      <c r="K86" s="3"/>
      <c r="L86" s="3"/>
      <c r="M86" s="3"/>
      <c r="N86" s="3"/>
      <c r="O86" s="19"/>
      <c r="P86" s="19"/>
      <c r="Q86" s="19"/>
      <c r="R86" s="19"/>
      <c r="S86" s="3"/>
      <c r="T86" s="3" t="str"/>
      <c r="U86" s="1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>
      <c r="A87" s="3"/>
      <c r="B87" s="3" t="str"/>
      <c r="C87" s="3" t="str"/>
      <c r="D87" s="3" t="str"/>
      <c r="E87" s="3"/>
      <c r="F87" s="3" t="str"/>
      <c r="G87" s="3" t="str"/>
      <c r="H87" s="3" t="str"/>
      <c r="I87" s="19"/>
      <c r="J87" s="21"/>
      <c r="K87" s="3"/>
      <c r="L87" s="3"/>
      <c r="M87" s="3"/>
      <c r="N87" s="3"/>
      <c r="O87" s="19"/>
      <c r="P87" s="19"/>
      <c r="Q87" s="19"/>
      <c r="R87" s="19"/>
      <c r="S87" s="3"/>
      <c r="T87" s="3" t="str"/>
      <c r="U87" s="1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>
      <c r="A88" s="3"/>
      <c r="B88" s="3" t="str"/>
      <c r="C88" s="3" t="str"/>
      <c r="D88" s="3" t="str"/>
      <c r="E88" s="3"/>
      <c r="F88" s="3" t="str"/>
      <c r="G88" s="3" t="str"/>
      <c r="H88" s="3" t="str"/>
      <c r="I88" s="19"/>
      <c r="J88" s="21"/>
      <c r="K88" s="3"/>
      <c r="L88" s="3"/>
      <c r="M88" s="3"/>
      <c r="N88" s="3"/>
      <c r="O88" s="19"/>
      <c r="P88" s="19"/>
      <c r="Q88" s="19"/>
      <c r="R88" s="19"/>
      <c r="S88" s="3"/>
      <c r="T88" s="3" t="str"/>
      <c r="U88" s="1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>
      <c r="A89" s="3"/>
      <c r="B89" s="3" t="str"/>
      <c r="C89" s="3" t="str"/>
      <c r="D89" s="3" t="str"/>
      <c r="E89" s="3"/>
      <c r="F89" s="3" t="str"/>
      <c r="G89" s="3" t="str"/>
      <c r="H89" s="3" t="str"/>
      <c r="I89" s="19"/>
      <c r="J89" s="21"/>
      <c r="K89" s="3"/>
      <c r="L89" s="3"/>
      <c r="M89" s="3"/>
      <c r="N89" s="3"/>
      <c r="O89" s="19"/>
      <c r="P89" s="19"/>
      <c r="Q89" s="19"/>
      <c r="R89" s="19"/>
      <c r="S89" s="3"/>
      <c r="T89" s="3" t="str"/>
      <c r="U89" s="1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>
      <c r="A90" s="3"/>
      <c r="B90" s="3" t="str"/>
      <c r="C90" s="3" t="str"/>
      <c r="D90" s="3" t="str"/>
      <c r="E90" s="3"/>
      <c r="F90" s="3" t="str"/>
      <c r="G90" s="3" t="str"/>
      <c r="H90" s="3" t="str"/>
      <c r="I90" s="19"/>
      <c r="J90" s="21"/>
      <c r="K90" s="3"/>
      <c r="L90" s="3"/>
      <c r="M90" s="3"/>
      <c r="N90" s="3"/>
      <c r="O90" s="19"/>
      <c r="P90" s="19"/>
      <c r="Q90" s="19"/>
      <c r="R90" s="19"/>
      <c r="S90" s="3"/>
      <c r="T90" s="3" t="str"/>
      <c r="U90" s="1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>
      <c r="A91" s="3"/>
      <c r="B91" s="3" t="str"/>
      <c r="C91" s="3" t="str"/>
      <c r="D91" s="3" t="str"/>
      <c r="E91" s="3"/>
      <c r="F91" s="3" t="str"/>
      <c r="G91" s="3" t="str"/>
      <c r="H91" s="3" t="str"/>
      <c r="I91" s="19"/>
      <c r="J91" s="21"/>
      <c r="K91" s="3"/>
      <c r="L91" s="3"/>
      <c r="M91" s="3"/>
      <c r="N91" s="3"/>
      <c r="O91" s="19"/>
      <c r="P91" s="19"/>
      <c r="Q91" s="19"/>
      <c r="R91" s="19"/>
      <c r="S91" s="3"/>
      <c r="T91" s="3" t="str"/>
      <c r="U91" s="1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>
      <c r="A92" s="3"/>
      <c r="B92" s="3" t="str"/>
      <c r="C92" s="3" t="str"/>
      <c r="D92" s="3" t="str"/>
      <c r="E92" s="3"/>
      <c r="F92" s="3" t="str"/>
      <c r="G92" s="3" t="str"/>
      <c r="H92" s="3" t="str"/>
      <c r="I92" s="19"/>
      <c r="J92" s="21"/>
      <c r="K92" s="3"/>
      <c r="L92" s="3"/>
      <c r="M92" s="3"/>
      <c r="N92" s="3"/>
      <c r="O92" s="19"/>
      <c r="P92" s="19"/>
      <c r="Q92" s="19"/>
      <c r="R92" s="19"/>
      <c r="S92" s="3"/>
      <c r="T92" s="3" t="str"/>
      <c r="U92" s="1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>
      <c r="A93" s="3"/>
      <c r="B93" s="3" t="str"/>
      <c r="C93" s="3" t="str"/>
      <c r="D93" s="3" t="str"/>
      <c r="E93" s="3"/>
      <c r="F93" s="3" t="str"/>
      <c r="G93" s="3" t="str"/>
      <c r="H93" s="3" t="str"/>
      <c r="I93" s="19"/>
      <c r="J93" s="21"/>
      <c r="K93" s="3"/>
      <c r="L93" s="3"/>
      <c r="M93" s="3"/>
      <c r="N93" s="3"/>
      <c r="O93" s="19"/>
      <c r="P93" s="19"/>
      <c r="Q93" s="19"/>
      <c r="R93" s="19"/>
      <c r="S93" s="3"/>
      <c r="T93" s="3" t="str"/>
      <c r="U93" s="1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>
      <c r="A94" s="3"/>
      <c r="B94" s="3" t="str"/>
      <c r="C94" s="3" t="str"/>
      <c r="D94" s="3" t="str"/>
      <c r="E94" s="3"/>
      <c r="F94" s="3" t="str"/>
      <c r="G94" s="3" t="str"/>
      <c r="H94" s="3" t="str"/>
      <c r="I94" s="19"/>
      <c r="J94" s="21"/>
      <c r="K94" s="3"/>
      <c r="L94" s="3"/>
      <c r="M94" s="3"/>
      <c r="N94" s="3"/>
      <c r="O94" s="19"/>
      <c r="P94" s="19"/>
      <c r="Q94" s="19"/>
      <c r="R94" s="19"/>
      <c r="S94" s="3"/>
      <c r="T94" s="3" t="str"/>
      <c r="U94" s="1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>
      <c r="A95" s="3"/>
      <c r="B95" s="3" t="str"/>
      <c r="C95" s="3" t="str"/>
      <c r="D95" s="3" t="str"/>
      <c r="E95" s="3"/>
      <c r="F95" s="3" t="str"/>
      <c r="G95" s="3" t="str"/>
      <c r="H95" s="3" t="str"/>
      <c r="I95" s="19"/>
      <c r="J95" s="21"/>
      <c r="K95" s="3"/>
      <c r="L95" s="3"/>
      <c r="M95" s="3"/>
      <c r="N95" s="3"/>
      <c r="O95" s="19"/>
      <c r="P95" s="19"/>
      <c r="Q95" s="19"/>
      <c r="R95" s="19"/>
      <c r="S95" s="3"/>
      <c r="T95" s="3" t="str"/>
      <c r="U95" s="1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>
      <c r="A96" s="3"/>
      <c r="B96" s="3" t="str"/>
      <c r="C96" s="3" t="str"/>
      <c r="D96" s="3" t="str"/>
      <c r="E96" s="3"/>
      <c r="F96" s="3" t="str"/>
      <c r="G96" s="3" t="str"/>
      <c r="H96" s="3" t="str"/>
      <c r="I96" s="19"/>
      <c r="J96" s="21"/>
      <c r="K96" s="3"/>
      <c r="L96" s="3"/>
      <c r="M96" s="3"/>
      <c r="N96" s="3"/>
      <c r="O96" s="19"/>
      <c r="P96" s="19"/>
      <c r="Q96" s="19"/>
      <c r="R96" s="19"/>
      <c r="S96" s="3"/>
      <c r="T96" s="3" t="str"/>
      <c r="U96" s="1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>
      <c r="A97" s="3"/>
      <c r="B97" s="3" t="str"/>
      <c r="C97" s="3" t="str"/>
      <c r="D97" s="3" t="str"/>
      <c r="E97" s="3"/>
      <c r="F97" s="3" t="str"/>
      <c r="G97" s="3" t="str"/>
      <c r="H97" s="3" t="str"/>
      <c r="I97" s="19"/>
      <c r="J97" s="21"/>
      <c r="K97" s="3"/>
      <c r="L97" s="3"/>
      <c r="M97" s="3"/>
      <c r="N97" s="3"/>
      <c r="O97" s="19"/>
      <c r="P97" s="19"/>
      <c r="Q97" s="19"/>
      <c r="R97" s="19"/>
      <c r="S97" s="3"/>
      <c r="T97" s="3" t="str"/>
      <c r="U97" s="1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>
      <c r="A98" s="3"/>
      <c r="B98" s="3" t="str"/>
      <c r="C98" s="3" t="str"/>
      <c r="D98" s="3" t="str"/>
      <c r="E98" s="3"/>
      <c r="F98" s="3" t="str"/>
      <c r="G98" s="3" t="str"/>
      <c r="H98" s="3" t="str"/>
      <c r="I98" s="19"/>
      <c r="J98" s="21"/>
      <c r="K98" s="3"/>
      <c r="L98" s="3"/>
      <c r="M98" s="3"/>
      <c r="N98" s="3"/>
      <c r="O98" s="19"/>
      <c r="P98" s="19"/>
      <c r="Q98" s="19"/>
      <c r="R98" s="19"/>
      <c r="S98" s="3"/>
      <c r="T98" s="3" t="str"/>
      <c r="U98" s="1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>
      <c r="A99" s="3"/>
      <c r="B99" s="3" t="str"/>
      <c r="C99" s="3" t="str"/>
      <c r="D99" s="3" t="str"/>
      <c r="E99" s="3"/>
      <c r="F99" s="3" t="str"/>
      <c r="G99" s="3" t="str"/>
      <c r="H99" s="3" t="str"/>
      <c r="I99" s="19"/>
      <c r="J99" s="21"/>
      <c r="K99" s="3"/>
      <c r="L99" s="3"/>
      <c r="M99" s="3"/>
      <c r="N99" s="3"/>
      <c r="O99" s="19"/>
      <c r="P99" s="19"/>
      <c r="Q99" s="19"/>
      <c r="R99" s="19"/>
      <c r="S99" s="3"/>
      <c r="T99" s="3" t="str"/>
      <c r="U99" s="1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>
      <c r="A100" s="3"/>
      <c r="B100" s="3" t="str"/>
      <c r="C100" s="3" t="str"/>
      <c r="D100" s="3" t="str"/>
      <c r="E100" s="3"/>
      <c r="F100" s="3" t="str"/>
      <c r="G100" s="3" t="str"/>
      <c r="H100" s="3" t="str"/>
      <c r="I100" s="19"/>
      <c r="J100" s="21"/>
      <c r="K100" s="3"/>
      <c r="L100" s="3"/>
      <c r="M100" s="3"/>
      <c r="N100" s="3"/>
      <c r="O100" s="19"/>
      <c r="P100" s="19"/>
      <c r="Q100" s="19"/>
      <c r="R100" s="19"/>
      <c r="S100" s="3"/>
      <c r="T100" s="3" t="str"/>
      <c r="U100" s="1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>
      <c r="A101" s="3"/>
      <c r="B101" s="3" t="str"/>
      <c r="C101" s="3" t="str"/>
      <c r="D101" s="3" t="str"/>
      <c r="E101" s="3"/>
      <c r="F101" s="3" t="str"/>
      <c r="G101" s="3" t="str"/>
      <c r="H101" s="3" t="str"/>
      <c r="I101" s="19"/>
      <c r="J101" s="21"/>
      <c r="K101" s="3"/>
      <c r="L101" s="3"/>
      <c r="M101" s="3"/>
      <c r="N101" s="3"/>
      <c r="O101" s="19"/>
      <c r="P101" s="19"/>
      <c r="Q101" s="19"/>
      <c r="R101" s="19"/>
      <c r="S101" s="3"/>
      <c r="T101" s="3" t="str"/>
      <c r="U101" s="1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>
      <c r="A102" s="3"/>
      <c r="B102" s="3" t="str"/>
      <c r="C102" s="3" t="str"/>
      <c r="D102" s="3" t="str"/>
      <c r="E102" s="3"/>
      <c r="F102" s="3" t="str"/>
      <c r="G102" s="3" t="str"/>
      <c r="H102" s="3" t="str"/>
      <c r="I102" s="19"/>
      <c r="J102" s="21"/>
      <c r="K102" s="3"/>
      <c r="L102" s="3"/>
      <c r="M102" s="3"/>
      <c r="N102" s="3"/>
      <c r="O102" s="19"/>
      <c r="P102" s="19"/>
      <c r="Q102" s="19"/>
      <c r="R102" s="19"/>
      <c r="S102" s="3"/>
      <c r="T102" s="3" t="str"/>
      <c r="U102" s="1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>
      <c r="A103" s="3"/>
      <c r="B103" s="3" t="str"/>
      <c r="C103" s="3" t="str"/>
      <c r="D103" s="3" t="str"/>
      <c r="E103" s="3"/>
      <c r="F103" s="3" t="str"/>
      <c r="G103" s="3" t="str"/>
      <c r="H103" s="3" t="str"/>
      <c r="I103" s="19"/>
      <c r="J103" s="21"/>
      <c r="K103" s="3"/>
      <c r="L103" s="3"/>
      <c r="M103" s="3"/>
      <c r="N103" s="3"/>
      <c r="O103" s="19"/>
      <c r="P103" s="19"/>
      <c r="Q103" s="19"/>
      <c r="R103" s="19"/>
      <c r="S103" s="3"/>
      <c r="T103" s="3" t="str"/>
      <c r="U103" s="1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>
      <c r="A104" s="3"/>
      <c r="B104" s="3" t="str"/>
      <c r="C104" s="3" t="str"/>
      <c r="D104" s="3" t="str"/>
      <c r="E104" s="3"/>
      <c r="F104" s="3" t="str"/>
      <c r="G104" s="3" t="str"/>
      <c r="H104" s="3" t="str"/>
      <c r="I104" s="19"/>
      <c r="J104" s="21"/>
      <c r="K104" s="3"/>
      <c r="L104" s="3"/>
      <c r="M104" s="3"/>
      <c r="N104" s="3"/>
      <c r="O104" s="19"/>
      <c r="P104" s="19"/>
      <c r="Q104" s="19"/>
      <c r="R104" s="19"/>
      <c r="S104" s="3"/>
      <c r="T104" s="3" t="str"/>
      <c r="U104" s="1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>
      <c r="A105" s="3"/>
      <c r="B105" s="3" t="str"/>
      <c r="C105" s="3" t="str"/>
      <c r="D105" s="3" t="str"/>
      <c r="E105" s="3"/>
      <c r="F105" s="3" t="str"/>
      <c r="G105" s="3" t="str"/>
      <c r="H105" s="3" t="str"/>
      <c r="I105" s="19"/>
      <c r="J105" s="21"/>
      <c r="K105" s="3"/>
      <c r="L105" s="3"/>
      <c r="M105" s="3"/>
      <c r="N105" s="3"/>
      <c r="O105" s="19"/>
      <c r="P105" s="19"/>
      <c r="Q105" s="19"/>
      <c r="R105" s="19"/>
      <c r="S105" s="3"/>
      <c r="T105" s="3" t="str"/>
      <c r="U105" s="1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>
      <c r="A106" s="3"/>
      <c r="B106" s="3" t="str"/>
      <c r="C106" s="3" t="str"/>
      <c r="D106" s="3" t="str"/>
      <c r="E106" s="3"/>
      <c r="F106" s="3" t="str"/>
      <c r="G106" s="3" t="str"/>
      <c r="H106" s="3" t="str"/>
      <c r="I106" s="19"/>
      <c r="J106" s="21"/>
      <c r="K106" s="3"/>
      <c r="L106" s="3"/>
      <c r="M106" s="3"/>
      <c r="N106" s="3"/>
      <c r="O106" s="19"/>
      <c r="P106" s="19"/>
      <c r="Q106" s="19"/>
      <c r="R106" s="19"/>
      <c r="S106" s="3"/>
      <c r="T106" s="3" t="str"/>
      <c r="U106" s="1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>
      <c r="A107" s="3"/>
      <c r="B107" s="3" t="str"/>
      <c r="C107" s="3" t="str"/>
      <c r="D107" s="3" t="str"/>
      <c r="E107" s="3"/>
      <c r="F107" s="3" t="str"/>
      <c r="G107" s="3" t="str"/>
      <c r="H107" s="3" t="str"/>
      <c r="I107" s="19"/>
      <c r="J107" s="21"/>
      <c r="K107" s="3"/>
      <c r="L107" s="3"/>
      <c r="M107" s="3"/>
      <c r="N107" s="3"/>
      <c r="O107" s="19"/>
      <c r="P107" s="19"/>
      <c r="Q107" s="19"/>
      <c r="R107" s="19"/>
      <c r="S107" s="3"/>
      <c r="T107" s="3" t="str"/>
      <c r="U107" s="1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>
      <c r="A108" s="3"/>
      <c r="B108" s="3" t="str"/>
      <c r="C108" s="3" t="str"/>
      <c r="D108" s="3" t="str"/>
      <c r="E108" s="3"/>
      <c r="F108" s="3" t="str"/>
      <c r="G108" s="3" t="str"/>
      <c r="H108" s="3" t="str"/>
      <c r="I108" s="19"/>
      <c r="J108" s="21"/>
      <c r="K108" s="3"/>
      <c r="L108" s="3"/>
      <c r="M108" s="3"/>
      <c r="N108" s="3"/>
      <c r="O108" s="19"/>
      <c r="P108" s="19"/>
      <c r="Q108" s="19"/>
      <c r="R108" s="19"/>
      <c r="S108" s="3"/>
      <c r="T108" s="3" t="str"/>
      <c r="U108" s="1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>
      <c r="A109" s="3"/>
      <c r="B109" s="3" t="str"/>
      <c r="C109" s="3" t="str"/>
      <c r="D109" s="3" t="str"/>
      <c r="E109" s="3"/>
      <c r="F109" s="3" t="str"/>
      <c r="G109" s="3" t="str"/>
      <c r="H109" s="3" t="str"/>
      <c r="I109" s="19"/>
      <c r="J109" s="21"/>
      <c r="K109" s="3"/>
      <c r="L109" s="3"/>
      <c r="M109" s="3"/>
      <c r="N109" s="3"/>
      <c r="O109" s="19"/>
      <c r="P109" s="19"/>
      <c r="Q109" s="19"/>
      <c r="R109" s="19"/>
      <c r="S109" s="3"/>
      <c r="T109" s="3" t="str"/>
      <c r="U109" s="1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>
      <c r="A110" s="3"/>
      <c r="B110" s="3" t="str"/>
      <c r="C110" s="3" t="str"/>
      <c r="D110" s="3" t="str"/>
      <c r="E110" s="3"/>
      <c r="F110" s="3" t="str"/>
      <c r="G110" s="3" t="str"/>
      <c r="H110" s="3" t="str"/>
      <c r="I110" s="19"/>
      <c r="J110" s="21"/>
      <c r="K110" s="3"/>
      <c r="L110" s="3"/>
      <c r="M110" s="3"/>
      <c r="N110" s="3"/>
      <c r="O110" s="19"/>
      <c r="P110" s="19"/>
      <c r="Q110" s="19"/>
      <c r="R110" s="19"/>
      <c r="S110" s="3"/>
      <c r="T110" s="3" t="str"/>
      <c r="U110" s="1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>
      <c r="A111" s="3"/>
      <c r="B111" s="3" t="str"/>
      <c r="C111" s="3" t="str"/>
      <c r="D111" s="3" t="str"/>
      <c r="E111" s="3"/>
      <c r="F111" s="3" t="str"/>
      <c r="G111" s="3" t="str"/>
      <c r="H111" s="3" t="str"/>
      <c r="I111" s="19"/>
      <c r="J111" s="21"/>
      <c r="K111" s="3"/>
      <c r="L111" s="3"/>
      <c r="M111" s="3"/>
      <c r="N111" s="3"/>
      <c r="O111" s="19"/>
      <c r="P111" s="19"/>
      <c r="Q111" s="19"/>
      <c r="R111" s="19"/>
      <c r="S111" s="3"/>
      <c r="T111" s="3" t="str"/>
      <c r="U111" s="1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>
      <c r="A112" s="3"/>
      <c r="B112" s="3" t="str"/>
      <c r="C112" s="3" t="str"/>
      <c r="D112" s="3" t="str"/>
      <c r="E112" s="3"/>
      <c r="F112" s="3" t="str"/>
      <c r="G112" s="3" t="str"/>
      <c r="H112" s="3" t="str"/>
      <c r="I112" s="19"/>
      <c r="J112" s="21"/>
      <c r="K112" s="3"/>
      <c r="L112" s="3"/>
      <c r="M112" s="3"/>
      <c r="N112" s="3"/>
      <c r="O112" s="19"/>
      <c r="P112" s="19"/>
      <c r="Q112" s="19"/>
      <c r="R112" s="19"/>
      <c r="S112" s="3"/>
      <c r="T112" s="3" t="str"/>
      <c r="U112" s="1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>
      <c r="A113" s="3"/>
      <c r="B113" s="3" t="str"/>
      <c r="C113" s="3" t="str"/>
      <c r="D113" s="3" t="str"/>
      <c r="E113" s="3"/>
      <c r="F113" s="3" t="str"/>
      <c r="G113" s="3" t="str"/>
      <c r="H113" s="3" t="str"/>
      <c r="I113" s="19"/>
      <c r="J113" s="21"/>
      <c r="K113" s="3"/>
      <c r="L113" s="3"/>
      <c r="M113" s="3"/>
      <c r="N113" s="3"/>
      <c r="O113" s="19"/>
      <c r="P113" s="19"/>
      <c r="Q113" s="19"/>
      <c r="R113" s="19"/>
      <c r="S113" s="3"/>
      <c r="T113" s="3" t="str"/>
      <c r="U113" s="1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>
      <c r="A114" s="3"/>
      <c r="B114" s="3" t="str"/>
      <c r="C114" s="3" t="str"/>
      <c r="D114" s="3" t="str"/>
      <c r="E114" s="3"/>
      <c r="F114" s="3" t="str"/>
      <c r="G114" s="3" t="str"/>
      <c r="H114" s="3" t="str"/>
      <c r="I114" s="19"/>
      <c r="J114" s="21"/>
      <c r="K114" s="3"/>
      <c r="L114" s="3"/>
      <c r="M114" s="3"/>
      <c r="N114" s="3"/>
      <c r="O114" s="19"/>
      <c r="P114" s="19"/>
      <c r="Q114" s="19"/>
      <c r="R114" s="19"/>
      <c r="S114" s="3"/>
      <c r="T114" s="3" t="str"/>
      <c r="U114" s="1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>
      <c r="A115" s="3"/>
      <c r="B115" s="3" t="str"/>
      <c r="C115" s="3" t="str"/>
      <c r="D115" s="3" t="str"/>
      <c r="E115" s="3"/>
      <c r="F115" s="3" t="str"/>
      <c r="G115" s="3" t="str"/>
      <c r="H115" s="3" t="str"/>
      <c r="I115" s="19"/>
      <c r="J115" s="21"/>
      <c r="K115" s="3"/>
      <c r="L115" s="3"/>
      <c r="M115" s="3"/>
      <c r="N115" s="3"/>
      <c r="O115" s="19"/>
      <c r="P115" s="19"/>
      <c r="Q115" s="19"/>
      <c r="R115" s="19"/>
      <c r="S115" s="3"/>
      <c r="T115" s="3" t="str"/>
      <c r="U115" s="1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>
      <c r="A116" s="3"/>
      <c r="B116" s="3" t="str"/>
      <c r="C116" s="3" t="str"/>
      <c r="D116" s="3" t="str"/>
      <c r="E116" s="3"/>
      <c r="F116" s="3" t="str"/>
      <c r="G116" s="3" t="str"/>
      <c r="H116" s="3" t="str"/>
      <c r="I116" s="19"/>
      <c r="J116" s="21"/>
      <c r="K116" s="3"/>
      <c r="L116" s="3"/>
      <c r="M116" s="3"/>
      <c r="N116" s="3"/>
      <c r="O116" s="19"/>
      <c r="P116" s="19"/>
      <c r="Q116" s="19"/>
      <c r="R116" s="19"/>
      <c r="S116" s="3"/>
      <c r="T116" s="3" t="str"/>
      <c r="U116" s="1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>
      <c r="A117" s="3"/>
      <c r="B117" s="3" t="str"/>
      <c r="C117" s="3" t="str"/>
      <c r="D117" s="3" t="str"/>
      <c r="E117" s="3"/>
      <c r="F117" s="3" t="str"/>
      <c r="G117" s="3" t="str"/>
      <c r="H117" s="3" t="str"/>
      <c r="I117" s="19"/>
      <c r="J117" s="21"/>
      <c r="K117" s="3"/>
      <c r="L117" s="3"/>
      <c r="M117" s="3"/>
      <c r="N117" s="3"/>
      <c r="O117" s="19"/>
      <c r="P117" s="19"/>
      <c r="Q117" s="19"/>
      <c r="R117" s="19"/>
      <c r="S117" s="3"/>
      <c r="T117" s="3" t="str"/>
      <c r="U117" s="1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>
      <c r="A118" s="3"/>
      <c r="B118" s="3" t="str"/>
      <c r="C118" s="3" t="str"/>
      <c r="D118" s="3" t="str"/>
      <c r="E118" s="3"/>
      <c r="F118" s="3" t="str"/>
      <c r="G118" s="3" t="str"/>
      <c r="H118" s="3" t="str"/>
      <c r="I118" s="19"/>
      <c r="J118" s="21"/>
      <c r="K118" s="3"/>
      <c r="L118" s="3"/>
      <c r="M118" s="3"/>
      <c r="N118" s="3"/>
      <c r="O118" s="19"/>
      <c r="P118" s="19"/>
      <c r="Q118" s="19"/>
      <c r="R118" s="19"/>
      <c r="S118" s="3"/>
      <c r="T118" s="3" t="str"/>
      <c r="U118" s="1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>
      <c r="A119" s="3"/>
      <c r="B119" s="3" t="str"/>
      <c r="C119" s="3" t="str"/>
      <c r="D119" s="3" t="str"/>
      <c r="E119" s="3"/>
      <c r="F119" s="3" t="str"/>
      <c r="G119" s="3" t="str"/>
      <c r="H119" s="3" t="str"/>
      <c r="I119" s="19"/>
      <c r="J119" s="21"/>
      <c r="K119" s="3"/>
      <c r="L119" s="3"/>
      <c r="M119" s="3"/>
      <c r="N119" s="3"/>
      <c r="O119" s="19"/>
      <c r="P119" s="19"/>
      <c r="Q119" s="19"/>
      <c r="R119" s="19"/>
      <c r="S119" s="3"/>
      <c r="T119" s="3" t="str"/>
      <c r="U119" s="1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>
      <c r="A120" s="3"/>
      <c r="B120" s="3" t="str"/>
      <c r="C120" s="3" t="str"/>
      <c r="D120" s="3" t="str"/>
      <c r="E120" s="3"/>
      <c r="F120" s="3" t="str"/>
      <c r="G120" s="3" t="str"/>
      <c r="H120" s="3" t="str"/>
      <c r="I120" s="19"/>
      <c r="J120" s="21"/>
      <c r="K120" s="3"/>
      <c r="L120" s="3"/>
      <c r="M120" s="3"/>
      <c r="N120" s="3"/>
      <c r="O120" s="19"/>
      <c r="P120" s="19"/>
      <c r="Q120" s="19"/>
      <c r="R120" s="19"/>
      <c r="S120" s="3"/>
      <c r="T120" s="3" t="str"/>
      <c r="U120" s="1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>
      <c r="A121" s="3"/>
      <c r="B121" s="3" t="str"/>
      <c r="C121" s="3" t="str"/>
      <c r="D121" s="3" t="str"/>
      <c r="E121" s="3"/>
      <c r="F121" s="3" t="str"/>
      <c r="G121" s="3" t="str"/>
      <c r="H121" s="3" t="str"/>
      <c r="I121" s="19"/>
      <c r="J121" s="21"/>
      <c r="K121" s="3"/>
      <c r="L121" s="3"/>
      <c r="M121" s="3"/>
      <c r="N121" s="3"/>
      <c r="O121" s="19"/>
      <c r="P121" s="19"/>
      <c r="Q121" s="19"/>
      <c r="R121" s="19"/>
      <c r="S121" s="3"/>
      <c r="T121" s="3" t="str"/>
      <c r="U121" s="1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>
      <c r="A122" s="3"/>
      <c r="B122" s="3" t="str"/>
      <c r="C122" s="3" t="str"/>
      <c r="D122" s="3" t="str"/>
      <c r="E122" s="3"/>
      <c r="F122" s="3" t="str"/>
      <c r="G122" s="3" t="str"/>
      <c r="H122" s="3" t="str"/>
      <c r="I122" s="19"/>
      <c r="J122" s="21"/>
      <c r="K122" s="3"/>
      <c r="L122" s="3"/>
      <c r="M122" s="3"/>
      <c r="N122" s="3"/>
      <c r="O122" s="19"/>
      <c r="P122" s="19"/>
      <c r="Q122" s="19"/>
      <c r="R122" s="19"/>
      <c r="S122" s="3"/>
      <c r="T122" s="3" t="str"/>
      <c r="U122" s="1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>
      <c r="A123" s="3"/>
      <c r="B123" s="3" t="str"/>
      <c r="C123" s="3" t="str"/>
      <c r="D123" s="3" t="str"/>
      <c r="E123" s="3"/>
      <c r="F123" s="3" t="str"/>
      <c r="G123" s="3" t="str"/>
      <c r="H123" s="3" t="str"/>
      <c r="I123" s="19"/>
      <c r="J123" s="21"/>
      <c r="K123" s="3"/>
      <c r="L123" s="3"/>
      <c r="M123" s="3"/>
      <c r="N123" s="3"/>
      <c r="O123" s="19"/>
      <c r="P123" s="19"/>
      <c r="Q123" s="19"/>
      <c r="R123" s="19"/>
      <c r="S123" s="3"/>
      <c r="T123" s="3" t="str"/>
      <c r="U123" s="1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>
      <c r="A124" s="3"/>
      <c r="B124" s="3" t="str"/>
      <c r="C124" s="3" t="str"/>
      <c r="D124" s="3" t="str"/>
      <c r="E124" s="3"/>
      <c r="F124" s="3" t="str"/>
      <c r="G124" s="3" t="str"/>
      <c r="H124" s="3" t="str"/>
      <c r="I124" s="19"/>
      <c r="J124" s="21"/>
      <c r="K124" s="3"/>
      <c r="L124" s="3"/>
      <c r="M124" s="3"/>
      <c r="N124" s="3"/>
      <c r="O124" s="19"/>
      <c r="P124" s="19"/>
      <c r="Q124" s="19"/>
      <c r="R124" s="19"/>
      <c r="S124" s="3"/>
      <c r="T124" s="3" t="str"/>
      <c r="U124" s="1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>
      <c r="A125" s="3"/>
      <c r="B125" s="3" t="str"/>
      <c r="C125" s="3" t="str"/>
      <c r="D125" s="3" t="str"/>
      <c r="E125" s="3"/>
      <c r="F125" s="3" t="str"/>
      <c r="G125" s="3" t="str"/>
      <c r="H125" s="3" t="str"/>
      <c r="I125" s="19"/>
      <c r="J125" s="21"/>
      <c r="K125" s="3"/>
      <c r="L125" s="3"/>
      <c r="M125" s="3"/>
      <c r="N125" s="3"/>
      <c r="O125" s="19"/>
      <c r="P125" s="19"/>
      <c r="Q125" s="19"/>
      <c r="R125" s="19"/>
      <c r="S125" s="3"/>
      <c r="T125" s="3" t="str"/>
      <c r="U125" s="1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>
      <c r="A126" s="3"/>
      <c r="B126" s="3" t="str"/>
      <c r="C126" s="3" t="str"/>
      <c r="D126" s="3" t="str"/>
      <c r="E126" s="3"/>
      <c r="F126" s="3" t="str"/>
      <c r="G126" s="3" t="str"/>
      <c r="H126" s="3" t="str"/>
      <c r="I126" s="19"/>
      <c r="J126" s="21"/>
      <c r="K126" s="3"/>
      <c r="L126" s="3"/>
      <c r="M126" s="3"/>
      <c r="N126" s="3"/>
      <c r="O126" s="19"/>
      <c r="P126" s="19"/>
      <c r="Q126" s="19"/>
      <c r="R126" s="19"/>
      <c r="S126" s="3"/>
      <c r="T126" s="3" t="str"/>
      <c r="U126" s="1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>
      <c r="A127" s="3"/>
      <c r="B127" s="3" t="str"/>
      <c r="C127" s="3" t="str"/>
      <c r="D127" s="3" t="str"/>
      <c r="E127" s="3"/>
      <c r="F127" s="3" t="str"/>
      <c r="G127" s="3" t="str"/>
      <c r="H127" s="3" t="str"/>
      <c r="I127" s="19"/>
      <c r="J127" s="21"/>
      <c r="K127" s="3"/>
      <c r="L127" s="3"/>
      <c r="M127" s="3"/>
      <c r="N127" s="3"/>
      <c r="O127" s="19"/>
      <c r="P127" s="19"/>
      <c r="Q127" s="19"/>
      <c r="R127" s="19"/>
      <c r="S127" s="3"/>
      <c r="T127" s="3" t="str"/>
      <c r="U127" s="1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>
      <c r="A128" s="3"/>
      <c r="B128" s="3" t="str"/>
      <c r="C128" s="3" t="str"/>
      <c r="D128" s="3" t="str"/>
      <c r="E128" s="3"/>
      <c r="F128" s="3" t="str"/>
      <c r="G128" s="3" t="str"/>
      <c r="H128" s="3" t="str"/>
      <c r="I128" s="19"/>
      <c r="J128" s="21"/>
      <c r="K128" s="3"/>
      <c r="L128" s="3"/>
      <c r="M128" s="3"/>
      <c r="N128" s="3"/>
      <c r="O128" s="19"/>
      <c r="P128" s="19"/>
      <c r="Q128" s="19"/>
      <c r="R128" s="19"/>
      <c r="S128" s="3"/>
      <c r="T128" s="3" t="str"/>
      <c r="U128" s="1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>
      <c r="A129" s="3"/>
      <c r="B129" s="3" t="str"/>
      <c r="C129" s="3" t="str"/>
      <c r="D129" s="3" t="str"/>
      <c r="E129" s="3"/>
      <c r="F129" s="3" t="str"/>
      <c r="G129" s="3" t="str"/>
      <c r="H129" s="3" t="str"/>
      <c r="I129" s="19"/>
      <c r="J129" s="21"/>
      <c r="K129" s="3"/>
      <c r="L129" s="3"/>
      <c r="M129" s="3"/>
      <c r="N129" s="3"/>
      <c r="O129" s="19"/>
      <c r="P129" s="19"/>
      <c r="Q129" s="19"/>
      <c r="R129" s="19"/>
      <c r="S129" s="3"/>
      <c r="T129" s="3" t="str"/>
      <c r="U129" s="1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>
      <c r="A130" s="3"/>
      <c r="B130" s="3" t="str"/>
      <c r="C130" s="3" t="str"/>
      <c r="D130" s="3" t="str"/>
      <c r="E130" s="3"/>
      <c r="F130" s="3" t="str"/>
      <c r="G130" s="3" t="str"/>
      <c r="H130" s="3" t="str"/>
      <c r="I130" s="19"/>
      <c r="J130" s="21"/>
      <c r="K130" s="3"/>
      <c r="L130" s="3"/>
      <c r="M130" s="3"/>
      <c r="N130" s="3"/>
      <c r="O130" s="19"/>
      <c r="P130" s="19"/>
      <c r="Q130" s="19"/>
      <c r="R130" s="19"/>
      <c r="S130" s="3"/>
      <c r="T130" s="3" t="str"/>
      <c r="U130" s="1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>
      <c r="A131" s="3"/>
      <c r="B131" s="3" t="str"/>
      <c r="C131" s="3" t="str"/>
      <c r="D131" s="3" t="str"/>
      <c r="E131" s="3"/>
      <c r="F131" s="3" t="str"/>
      <c r="G131" s="3" t="str"/>
      <c r="H131" s="3" t="str"/>
      <c r="I131" s="19"/>
      <c r="J131" s="21"/>
      <c r="K131" s="3"/>
      <c r="L131" s="3"/>
      <c r="M131" s="3"/>
      <c r="N131" s="3"/>
      <c r="O131" s="19"/>
      <c r="P131" s="19"/>
      <c r="Q131" s="19"/>
      <c r="R131" s="19"/>
      <c r="S131" s="3"/>
      <c r="T131" s="3" t="str"/>
      <c r="U131" s="1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>
      <c r="A132" s="3"/>
      <c r="B132" s="3" t="str"/>
      <c r="C132" s="3" t="str"/>
      <c r="D132" s="3" t="str"/>
      <c r="E132" s="3"/>
      <c r="F132" s="3" t="str"/>
      <c r="G132" s="3" t="str"/>
      <c r="H132" s="3" t="str"/>
      <c r="I132" s="19"/>
      <c r="J132" s="21"/>
      <c r="K132" s="3"/>
      <c r="L132" s="3"/>
      <c r="M132" s="3"/>
      <c r="N132" s="3"/>
      <c r="O132" s="19"/>
      <c r="P132" s="19"/>
      <c r="Q132" s="19"/>
      <c r="R132" s="19"/>
      <c r="S132" s="3"/>
      <c r="T132" s="3" t="str"/>
      <c r="U132" s="1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>
      <c r="A133" s="3"/>
      <c r="B133" s="3" t="str"/>
      <c r="C133" s="3" t="str"/>
      <c r="D133" s="3" t="str"/>
      <c r="E133" s="3"/>
      <c r="F133" s="3" t="str"/>
      <c r="G133" s="3" t="str"/>
      <c r="H133" s="3" t="str"/>
      <c r="I133" s="19"/>
      <c r="J133" s="21"/>
      <c r="K133" s="3"/>
      <c r="L133" s="3"/>
      <c r="M133" s="3"/>
      <c r="N133" s="3"/>
      <c r="O133" s="19"/>
      <c r="P133" s="19"/>
      <c r="Q133" s="19"/>
      <c r="R133" s="19"/>
      <c r="S133" s="3"/>
      <c r="T133" s="3" t="str"/>
      <c r="U133" s="1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>
      <c r="A134" s="3"/>
      <c r="B134" s="3" t="str"/>
      <c r="C134" s="3" t="str"/>
      <c r="D134" s="3" t="str"/>
      <c r="E134" s="3"/>
      <c r="F134" s="3" t="str"/>
      <c r="G134" s="3" t="str"/>
      <c r="H134" s="3" t="str"/>
      <c r="I134" s="19"/>
      <c r="J134" s="21"/>
      <c r="K134" s="3"/>
      <c r="L134" s="3"/>
      <c r="M134" s="3"/>
      <c r="N134" s="3"/>
      <c r="O134" s="19"/>
      <c r="P134" s="19"/>
      <c r="Q134" s="19"/>
      <c r="R134" s="19"/>
      <c r="S134" s="3"/>
      <c r="T134" s="3" t="str"/>
      <c r="U134" s="1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>
      <c r="A135" s="3"/>
      <c r="B135" s="3" t="str"/>
      <c r="C135" s="3" t="str"/>
      <c r="D135" s="3" t="str"/>
      <c r="E135" s="3"/>
      <c r="F135" s="3" t="str"/>
      <c r="G135" s="3" t="str"/>
      <c r="H135" s="3" t="str"/>
      <c r="I135" s="19"/>
      <c r="J135" s="21"/>
      <c r="K135" s="3"/>
      <c r="L135" s="3"/>
      <c r="M135" s="3"/>
      <c r="N135" s="3"/>
      <c r="O135" s="19"/>
      <c r="P135" s="19"/>
      <c r="Q135" s="19"/>
      <c r="R135" s="19"/>
      <c r="S135" s="3"/>
      <c r="T135" s="3" t="str"/>
      <c r="U135" s="1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>
      <c r="A136" s="3"/>
      <c r="B136" s="3" t="str"/>
      <c r="C136" s="3" t="str"/>
      <c r="D136" s="3" t="str"/>
      <c r="E136" s="3"/>
      <c r="F136" s="3" t="str"/>
      <c r="G136" s="3" t="str"/>
      <c r="H136" s="3" t="str"/>
      <c r="I136" s="19"/>
      <c r="J136" s="21"/>
      <c r="K136" s="3"/>
      <c r="L136" s="3"/>
      <c r="M136" s="3"/>
      <c r="N136" s="3"/>
      <c r="O136" s="19"/>
      <c r="P136" s="19"/>
      <c r="Q136" s="19"/>
      <c r="R136" s="19"/>
      <c r="S136" s="3"/>
      <c r="T136" s="3" t="str"/>
      <c r="U136" s="1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>
      <c r="A137" s="3"/>
      <c r="B137" s="3" t="str"/>
      <c r="C137" s="3" t="str"/>
      <c r="D137" s="3" t="str"/>
      <c r="E137" s="3"/>
      <c r="F137" s="3" t="str"/>
      <c r="G137" s="3" t="str"/>
      <c r="H137" s="3" t="str"/>
      <c r="I137" s="19"/>
      <c r="J137" s="21"/>
      <c r="K137" s="3"/>
      <c r="L137" s="3"/>
      <c r="M137" s="3"/>
      <c r="N137" s="3"/>
      <c r="O137" s="19"/>
      <c r="P137" s="19"/>
      <c r="Q137" s="19"/>
      <c r="R137" s="19"/>
      <c r="S137" s="3"/>
      <c r="T137" s="3" t="str"/>
      <c r="U137" s="1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>
      <c r="A138" s="3"/>
      <c r="B138" s="3" t="str"/>
      <c r="C138" s="3" t="str"/>
      <c r="D138" s="3" t="str"/>
      <c r="E138" s="3"/>
      <c r="F138" s="3" t="str"/>
      <c r="G138" s="3" t="str"/>
      <c r="H138" s="3" t="str"/>
      <c r="I138" s="19"/>
      <c r="J138" s="21"/>
      <c r="K138" s="3"/>
      <c r="L138" s="3"/>
      <c r="M138" s="3"/>
      <c r="N138" s="3"/>
      <c r="O138" s="19"/>
      <c r="P138" s="19"/>
      <c r="Q138" s="19"/>
      <c r="R138" s="19"/>
      <c r="S138" s="3"/>
      <c r="T138" s="3" t="str"/>
      <c r="U138" s="1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>
      <c r="A139" s="3"/>
      <c r="B139" s="3" t="str"/>
      <c r="C139" s="3" t="str"/>
      <c r="D139" s="3" t="str"/>
      <c r="E139" s="3"/>
      <c r="F139" s="3" t="str"/>
      <c r="G139" s="3" t="str"/>
      <c r="H139" s="3" t="str"/>
      <c r="I139" s="19"/>
      <c r="J139" s="21"/>
      <c r="K139" s="3"/>
      <c r="L139" s="3"/>
      <c r="M139" s="3"/>
      <c r="N139" s="3"/>
      <c r="O139" s="19"/>
      <c r="P139" s="19"/>
      <c r="Q139" s="19"/>
      <c r="R139" s="19"/>
      <c r="S139" s="3"/>
      <c r="T139" s="3" t="str"/>
      <c r="U139" s="1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>
      <c r="A140" s="3"/>
      <c r="B140" s="3" t="str"/>
      <c r="C140" s="3" t="str"/>
      <c r="D140" s="3" t="str"/>
      <c r="E140" s="3"/>
      <c r="F140" s="3" t="str"/>
      <c r="G140" s="3" t="str"/>
      <c r="H140" s="3" t="str"/>
      <c r="I140" s="19"/>
      <c r="J140" s="21"/>
      <c r="K140" s="3"/>
      <c r="L140" s="3"/>
      <c r="M140" s="3"/>
      <c r="N140" s="3"/>
      <c r="O140" s="19"/>
      <c r="P140" s="19"/>
      <c r="Q140" s="19"/>
      <c r="R140" s="19"/>
      <c r="S140" s="3"/>
      <c r="T140" s="3" t="str"/>
      <c r="U140" s="1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>
      <c r="A141" s="3"/>
      <c r="B141" s="3" t="str"/>
      <c r="C141" s="3" t="str"/>
      <c r="D141" s="3" t="str"/>
      <c r="E141" s="3"/>
      <c r="F141" s="3" t="str"/>
      <c r="G141" s="3" t="str"/>
      <c r="H141" s="3" t="str"/>
      <c r="I141" s="19"/>
      <c r="J141" s="21"/>
      <c r="K141" s="3"/>
      <c r="L141" s="3"/>
      <c r="M141" s="3"/>
      <c r="N141" s="3"/>
      <c r="O141" s="19"/>
      <c r="P141" s="19"/>
      <c r="Q141" s="19"/>
      <c r="R141" s="19"/>
      <c r="S141" s="3"/>
      <c r="T141" s="3" t="str"/>
      <c r="U141" s="1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>
      <c r="A142" s="3"/>
      <c r="B142" s="3" t="str"/>
      <c r="C142" s="3" t="str"/>
      <c r="D142" s="3" t="str"/>
      <c r="E142" s="3"/>
      <c r="F142" s="3" t="str"/>
      <c r="G142" s="3" t="str"/>
      <c r="H142" s="3" t="str"/>
      <c r="I142" s="19"/>
      <c r="J142" s="21"/>
      <c r="K142" s="3"/>
      <c r="L142" s="3"/>
      <c r="M142" s="3"/>
      <c r="N142" s="3"/>
      <c r="O142" s="19"/>
      <c r="P142" s="19"/>
      <c r="Q142" s="19"/>
      <c r="R142" s="19"/>
      <c r="S142" s="3"/>
      <c r="T142" s="3" t="str"/>
      <c r="U142" s="1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>
      <c r="A143" s="3"/>
      <c r="B143" s="3" t="str"/>
      <c r="C143" s="3" t="str"/>
      <c r="D143" s="3" t="str"/>
      <c r="E143" s="3"/>
      <c r="F143" s="3" t="str"/>
      <c r="G143" s="3" t="str"/>
      <c r="H143" s="3" t="str"/>
      <c r="I143" s="19"/>
      <c r="J143" s="21"/>
      <c r="K143" s="3"/>
      <c r="L143" s="3"/>
      <c r="M143" s="3"/>
      <c r="N143" s="3"/>
      <c r="O143" s="19"/>
      <c r="P143" s="19"/>
      <c r="Q143" s="19"/>
      <c r="R143" s="19"/>
      <c r="S143" s="3"/>
      <c r="T143" s="3" t="str"/>
      <c r="U143" s="1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>
      <c r="A144" s="3"/>
      <c r="B144" s="3" t="str"/>
      <c r="C144" s="3" t="str"/>
      <c r="D144" s="3" t="str"/>
      <c r="E144" s="3"/>
      <c r="F144" s="3" t="str"/>
      <c r="G144" s="3" t="str"/>
      <c r="H144" s="3" t="str"/>
      <c r="I144" s="19"/>
      <c r="J144" s="21"/>
      <c r="K144" s="3"/>
      <c r="L144" s="3"/>
      <c r="M144" s="3"/>
      <c r="N144" s="3"/>
      <c r="O144" s="19"/>
      <c r="P144" s="19"/>
      <c r="Q144" s="19"/>
      <c r="R144" s="19"/>
      <c r="S144" s="3"/>
      <c r="T144" s="3" t="str"/>
      <c r="U144" s="1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>
      <c r="A145" s="3"/>
      <c r="B145" s="3" t="str"/>
      <c r="C145" s="3" t="str"/>
      <c r="D145" s="3" t="str"/>
      <c r="E145" s="3"/>
      <c r="F145" s="3" t="str"/>
      <c r="G145" s="3" t="str"/>
      <c r="H145" s="3" t="str"/>
      <c r="I145" s="19"/>
      <c r="J145" s="21"/>
      <c r="K145" s="3"/>
      <c r="L145" s="3"/>
      <c r="M145" s="3"/>
      <c r="N145" s="3"/>
      <c r="O145" s="19"/>
      <c r="P145" s="19"/>
      <c r="Q145" s="19"/>
      <c r="R145" s="19"/>
      <c r="S145" s="3"/>
      <c r="T145" s="3" t="str"/>
      <c r="U145" s="1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>
      <c r="A146" s="3"/>
      <c r="B146" s="3" t="str"/>
      <c r="C146" s="3" t="str"/>
      <c r="D146" s="3" t="str"/>
      <c r="E146" s="3"/>
      <c r="F146" s="3" t="str"/>
      <c r="G146" s="3" t="str"/>
      <c r="H146" s="3" t="str"/>
      <c r="I146" s="19"/>
      <c r="J146" s="21"/>
      <c r="K146" s="3"/>
      <c r="L146" s="3"/>
      <c r="M146" s="3"/>
      <c r="N146" s="3"/>
      <c r="O146" s="19"/>
      <c r="P146" s="19"/>
      <c r="Q146" s="19"/>
      <c r="R146" s="19"/>
      <c r="S146" s="3"/>
      <c r="T146" s="3" t="str"/>
      <c r="U146" s="1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>
      <c r="A147" s="3"/>
      <c r="B147" s="3" t="str"/>
      <c r="C147" s="3" t="str"/>
      <c r="D147" s="3" t="str"/>
      <c r="E147" s="3"/>
      <c r="F147" s="3" t="str"/>
      <c r="G147" s="3" t="str"/>
      <c r="H147" s="3" t="str"/>
      <c r="I147" s="19"/>
      <c r="J147" s="21"/>
      <c r="K147" s="3"/>
      <c r="L147" s="3"/>
      <c r="M147" s="3"/>
      <c r="N147" s="3"/>
      <c r="O147" s="19"/>
      <c r="P147" s="19"/>
      <c r="Q147" s="19"/>
      <c r="R147" s="19"/>
      <c r="S147" s="3"/>
      <c r="T147" s="3" t="str"/>
      <c r="U147" s="1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>
      <c r="A148" s="3"/>
      <c r="B148" s="3" t="str"/>
      <c r="C148" s="3" t="str"/>
      <c r="D148" s="3" t="str"/>
      <c r="E148" s="3"/>
      <c r="F148" s="3" t="str"/>
      <c r="G148" s="3" t="str"/>
      <c r="H148" s="3" t="str"/>
      <c r="I148" s="19"/>
      <c r="J148" s="21"/>
      <c r="K148" s="3"/>
      <c r="L148" s="3"/>
      <c r="M148" s="3"/>
      <c r="N148" s="3"/>
      <c r="O148" s="19"/>
      <c r="P148" s="19"/>
      <c r="Q148" s="19"/>
      <c r="R148" s="19"/>
      <c r="S148" s="3"/>
      <c r="T148" s="3" t="str"/>
      <c r="U148" s="1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>
      <c r="A149" s="3"/>
      <c r="B149" s="3" t="str"/>
      <c r="C149" s="3" t="str"/>
      <c r="D149" s="3" t="str"/>
      <c r="E149" s="3"/>
      <c r="F149" s="3" t="str"/>
      <c r="G149" s="3" t="str"/>
      <c r="H149" s="3" t="str"/>
      <c r="I149" s="19"/>
      <c r="J149" s="21"/>
      <c r="K149" s="3"/>
      <c r="L149" s="3"/>
      <c r="M149" s="3"/>
      <c r="N149" s="3"/>
      <c r="O149" s="19"/>
      <c r="P149" s="19"/>
      <c r="Q149" s="19"/>
      <c r="R149" s="19"/>
      <c r="S149" s="3"/>
      <c r="T149" s="3" t="str"/>
      <c r="U149" s="1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>
      <c r="A150" s="3"/>
      <c r="B150" s="3" t="str"/>
      <c r="C150" s="3" t="str"/>
      <c r="D150" s="3" t="str"/>
      <c r="E150" s="3"/>
      <c r="F150" s="3" t="str"/>
      <c r="G150" s="3" t="str"/>
      <c r="H150" s="3" t="str"/>
      <c r="I150" s="19"/>
      <c r="J150" s="21"/>
      <c r="K150" s="3"/>
      <c r="L150" s="3"/>
      <c r="M150" s="3"/>
      <c r="N150" s="3"/>
      <c r="O150" s="19"/>
      <c r="P150" s="19"/>
      <c r="Q150" s="19"/>
      <c r="R150" s="19"/>
      <c r="S150" s="3"/>
      <c r="T150" s="3" t="str"/>
      <c r="U150" s="1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>
      <c r="A151" s="3"/>
      <c r="B151" s="3" t="str"/>
      <c r="C151" s="3" t="str"/>
      <c r="D151" s="3" t="str"/>
      <c r="E151" s="3"/>
      <c r="F151" s="3" t="str"/>
      <c r="G151" s="3" t="str"/>
      <c r="H151" s="3" t="str"/>
      <c r="I151" s="19"/>
      <c r="J151" s="21"/>
      <c r="K151" s="3"/>
      <c r="L151" s="3"/>
      <c r="M151" s="3"/>
      <c r="N151" s="3"/>
      <c r="O151" s="19"/>
      <c r="P151" s="19"/>
      <c r="Q151" s="19"/>
      <c r="R151" s="19"/>
      <c r="S151" s="3"/>
      <c r="T151" s="3" t="str"/>
      <c r="U151" s="1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>
      <c r="A152" s="3"/>
      <c r="B152" s="3" t="str"/>
      <c r="C152" s="3" t="str"/>
      <c r="D152" s="3" t="str"/>
      <c r="E152" s="3"/>
      <c r="F152" s="3" t="str"/>
      <c r="G152" s="3" t="str"/>
      <c r="H152" s="3" t="str"/>
      <c r="I152" s="19"/>
      <c r="J152" s="21"/>
      <c r="K152" s="3"/>
      <c r="L152" s="3"/>
      <c r="M152" s="3"/>
      <c r="N152" s="3"/>
      <c r="O152" s="19"/>
      <c r="P152" s="19"/>
      <c r="Q152" s="19"/>
      <c r="R152" s="19"/>
      <c r="S152" s="3"/>
      <c r="T152" s="3" t="str"/>
      <c r="U152" s="1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>
      <c r="A153" s="3"/>
      <c r="B153" s="3" t="str"/>
      <c r="C153" s="3" t="str"/>
      <c r="D153" s="3" t="str"/>
      <c r="E153" s="3"/>
      <c r="F153" s="3" t="str"/>
      <c r="G153" s="3" t="str"/>
      <c r="H153" s="3" t="str"/>
      <c r="I153" s="19"/>
      <c r="J153" s="21"/>
      <c r="K153" s="3"/>
      <c r="L153" s="3"/>
      <c r="M153" s="3"/>
      <c r="N153" s="3"/>
      <c r="O153" s="19"/>
      <c r="P153" s="19"/>
      <c r="Q153" s="19"/>
      <c r="R153" s="19"/>
      <c r="S153" s="3"/>
      <c r="T153" s="3" t="str"/>
      <c r="U153" s="1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>
      <c r="A154" s="3"/>
      <c r="B154" s="3" t="str"/>
      <c r="C154" s="3" t="str"/>
      <c r="D154" s="3" t="str"/>
      <c r="E154" s="3"/>
      <c r="F154" s="3" t="str"/>
      <c r="G154" s="3" t="str"/>
      <c r="H154" s="3" t="str"/>
      <c r="I154" s="19"/>
      <c r="J154" s="21"/>
      <c r="K154" s="3"/>
      <c r="L154" s="3"/>
      <c r="M154" s="3"/>
      <c r="N154" s="3"/>
      <c r="O154" s="19"/>
      <c r="P154" s="19"/>
      <c r="Q154" s="19"/>
      <c r="R154" s="19"/>
      <c r="S154" s="3"/>
      <c r="T154" s="3" t="str"/>
      <c r="U154" s="1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>
      <c r="A155" s="3"/>
      <c r="B155" s="3" t="str"/>
      <c r="C155" s="3" t="str"/>
      <c r="D155" s="3" t="str"/>
      <c r="E155" s="3"/>
      <c r="F155" s="3" t="str"/>
      <c r="G155" s="3" t="str"/>
      <c r="H155" s="3" t="str"/>
      <c r="I155" s="19"/>
      <c r="J155" s="21"/>
      <c r="K155" s="3"/>
      <c r="L155" s="3"/>
      <c r="M155" s="3"/>
      <c r="N155" s="3"/>
      <c r="O155" s="19"/>
      <c r="P155" s="19"/>
      <c r="Q155" s="19"/>
      <c r="R155" s="19"/>
      <c r="S155" s="3"/>
      <c r="T155" s="3" t="str"/>
      <c r="U155" s="1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>
      <c r="A156" s="3"/>
      <c r="B156" s="3" t="str"/>
      <c r="C156" s="3" t="str"/>
      <c r="D156" s="3" t="str"/>
      <c r="E156" s="3"/>
      <c r="F156" s="3" t="str"/>
      <c r="G156" s="3" t="str"/>
      <c r="H156" s="3" t="str"/>
      <c r="I156" s="19"/>
      <c r="J156" s="21"/>
      <c r="K156" s="3"/>
      <c r="L156" s="3"/>
      <c r="M156" s="3"/>
      <c r="N156" s="3"/>
      <c r="O156" s="19"/>
      <c r="P156" s="19"/>
      <c r="Q156" s="19"/>
      <c r="R156" s="19"/>
      <c r="S156" s="3"/>
      <c r="T156" s="3" t="str"/>
      <c r="U156" s="1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>
      <c r="A157" s="3"/>
      <c r="B157" s="3" t="str"/>
      <c r="C157" s="3" t="str"/>
      <c r="D157" s="3" t="str"/>
      <c r="E157" s="3"/>
      <c r="F157" s="3" t="str"/>
      <c r="G157" s="3" t="str"/>
      <c r="H157" s="3" t="str"/>
      <c r="I157" s="19"/>
      <c r="J157" s="21"/>
      <c r="K157" s="3"/>
      <c r="L157" s="3"/>
      <c r="M157" s="3"/>
      <c r="N157" s="3"/>
      <c r="O157" s="19"/>
      <c r="P157" s="19"/>
      <c r="Q157" s="19"/>
      <c r="R157" s="19"/>
      <c r="S157" s="3"/>
      <c r="T157" s="3" t="str"/>
      <c r="U157" s="1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>
      <c r="A158" s="3"/>
      <c r="B158" s="3" t="str"/>
      <c r="C158" s="3" t="str"/>
      <c r="D158" s="3" t="str"/>
      <c r="E158" s="3"/>
      <c r="F158" s="3" t="str"/>
      <c r="G158" s="3" t="str"/>
      <c r="H158" s="3" t="str"/>
      <c r="I158" s="19"/>
      <c r="J158" s="21"/>
      <c r="K158" s="3"/>
      <c r="L158" s="3"/>
      <c r="M158" s="3"/>
      <c r="N158" s="3"/>
      <c r="O158" s="19"/>
      <c r="P158" s="19"/>
      <c r="Q158" s="19"/>
      <c r="R158" s="19"/>
      <c r="S158" s="3"/>
      <c r="T158" s="3" t="str"/>
      <c r="U158" s="1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>
      <c r="A159" s="3"/>
      <c r="B159" s="3" t="str"/>
      <c r="C159" s="3" t="str"/>
      <c r="D159" s="3" t="str"/>
      <c r="E159" s="3"/>
      <c r="F159" s="3" t="str"/>
      <c r="G159" s="3" t="str"/>
      <c r="H159" s="3" t="str"/>
      <c r="I159" s="19"/>
      <c r="J159" s="21"/>
      <c r="K159" s="3"/>
      <c r="L159" s="3"/>
      <c r="M159" s="3"/>
      <c r="N159" s="3"/>
      <c r="O159" s="19"/>
      <c r="P159" s="19"/>
      <c r="Q159" s="19"/>
      <c r="R159" s="19"/>
      <c r="S159" s="3"/>
      <c r="T159" s="3" t="str"/>
      <c r="U159" s="1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>
      <c r="A160" s="3"/>
      <c r="B160" s="3" t="str"/>
      <c r="C160" s="3" t="str"/>
      <c r="D160" s="3" t="str"/>
      <c r="E160" s="3"/>
      <c r="F160" s="3" t="str"/>
      <c r="G160" s="3" t="str"/>
      <c r="H160" s="3" t="str"/>
      <c r="I160" s="19"/>
      <c r="J160" s="21"/>
      <c r="K160" s="3"/>
      <c r="L160" s="3"/>
      <c r="M160" s="3"/>
      <c r="N160" s="3"/>
      <c r="O160" s="19"/>
      <c r="P160" s="19"/>
      <c r="Q160" s="19"/>
      <c r="R160" s="19"/>
      <c r="S160" s="3"/>
      <c r="T160" s="3" t="str"/>
      <c r="U160" s="1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>
      <c r="A161" s="3"/>
      <c r="B161" s="3" t="str"/>
      <c r="C161" s="3" t="str"/>
      <c r="D161" s="3" t="str"/>
      <c r="E161" s="3"/>
      <c r="F161" s="3" t="str"/>
      <c r="G161" s="3" t="str"/>
      <c r="H161" s="3" t="str"/>
      <c r="I161" s="19"/>
      <c r="J161" s="21"/>
      <c r="K161" s="3"/>
      <c r="L161" s="3"/>
      <c r="M161" s="3"/>
      <c r="N161" s="3"/>
      <c r="O161" s="19"/>
      <c r="P161" s="19"/>
      <c r="Q161" s="19"/>
      <c r="R161" s="19"/>
      <c r="S161" s="3"/>
      <c r="T161" s="3" t="str"/>
      <c r="U161" s="1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>
      <c r="A162" s="3"/>
      <c r="B162" s="3" t="str"/>
      <c r="C162" s="3" t="str"/>
      <c r="D162" s="3" t="str"/>
      <c r="E162" s="3"/>
      <c r="F162" s="3" t="str"/>
      <c r="G162" s="3" t="str"/>
      <c r="H162" s="3" t="str"/>
      <c r="I162" s="19"/>
      <c r="J162" s="21"/>
      <c r="K162" s="3"/>
      <c r="L162" s="3"/>
      <c r="M162" s="3"/>
      <c r="N162" s="3"/>
      <c r="O162" s="19"/>
      <c r="P162" s="19"/>
      <c r="Q162" s="19"/>
      <c r="R162" s="19"/>
      <c r="S162" s="3"/>
      <c r="T162" s="3" t="str"/>
      <c r="U162" s="1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>
      <c r="A163" s="3"/>
      <c r="B163" s="3" t="str"/>
      <c r="C163" s="3" t="str"/>
      <c r="D163" s="3" t="str"/>
      <c r="E163" s="3"/>
      <c r="F163" s="3" t="str"/>
      <c r="G163" s="3" t="str"/>
      <c r="H163" s="3" t="str"/>
      <c r="I163" s="19"/>
      <c r="J163" s="21"/>
      <c r="K163" s="3"/>
      <c r="L163" s="3"/>
      <c r="M163" s="3"/>
      <c r="N163" s="3"/>
      <c r="O163" s="19"/>
      <c r="P163" s="19"/>
      <c r="Q163" s="19"/>
      <c r="R163" s="19"/>
      <c r="S163" s="3"/>
      <c r="T163" s="3" t="str"/>
      <c r="U163" s="1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>
      <c r="A164" s="3"/>
      <c r="B164" s="3" t="str"/>
      <c r="C164" s="3" t="str"/>
      <c r="D164" s="3" t="str"/>
      <c r="E164" s="3"/>
      <c r="F164" s="3" t="str"/>
      <c r="G164" s="3" t="str"/>
      <c r="H164" s="3" t="str"/>
      <c r="I164" s="19"/>
      <c r="J164" s="21"/>
      <c r="K164" s="3"/>
      <c r="L164" s="3"/>
      <c r="M164" s="3"/>
      <c r="N164" s="3"/>
      <c r="O164" s="19"/>
      <c r="P164" s="19"/>
      <c r="Q164" s="19"/>
      <c r="R164" s="19"/>
      <c r="S164" s="3"/>
      <c r="T164" s="3" t="str"/>
      <c r="U164" s="1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>
      <c r="A165" s="3"/>
      <c r="B165" s="3" t="str"/>
      <c r="C165" s="3" t="str"/>
      <c r="D165" s="3" t="str"/>
      <c r="E165" s="3"/>
      <c r="F165" s="3" t="str"/>
      <c r="G165" s="3" t="str"/>
      <c r="H165" s="3" t="str"/>
      <c r="I165" s="19"/>
      <c r="J165" s="21"/>
      <c r="K165" s="3"/>
      <c r="L165" s="3"/>
      <c r="M165" s="3"/>
      <c r="N165" s="3"/>
      <c r="O165" s="19"/>
      <c r="P165" s="19"/>
      <c r="Q165" s="19"/>
      <c r="R165" s="19"/>
      <c r="S165" s="3"/>
      <c r="T165" s="3" t="str"/>
      <c r="U165" s="1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>
      <c r="A166" s="3"/>
      <c r="B166" s="3" t="str"/>
      <c r="C166" s="3" t="str"/>
      <c r="D166" s="3" t="str"/>
      <c r="E166" s="3"/>
      <c r="F166" s="3" t="str"/>
      <c r="G166" s="3" t="str"/>
      <c r="H166" s="3" t="str"/>
      <c r="I166" s="19"/>
      <c r="J166" s="21"/>
      <c r="K166" s="3"/>
      <c r="L166" s="3"/>
      <c r="M166" s="3"/>
      <c r="N166" s="3"/>
      <c r="O166" s="19"/>
      <c r="P166" s="19"/>
      <c r="Q166" s="19"/>
      <c r="R166" s="19"/>
      <c r="S166" s="3"/>
      <c r="T166" s="3" t="str"/>
      <c r="U166" s="1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>
      <c r="A167" s="3"/>
      <c r="B167" s="3" t="str"/>
      <c r="C167" s="3" t="str"/>
      <c r="D167" s="3" t="str"/>
      <c r="E167" s="3"/>
      <c r="F167" s="3" t="str"/>
      <c r="G167" s="3" t="str"/>
      <c r="H167" s="3" t="str"/>
      <c r="I167" s="19"/>
      <c r="J167" s="21"/>
      <c r="K167" s="3"/>
      <c r="L167" s="3"/>
      <c r="M167" s="3"/>
      <c r="N167" s="3"/>
      <c r="O167" s="19"/>
      <c r="P167" s="19"/>
      <c r="Q167" s="19"/>
      <c r="R167" s="19"/>
      <c r="S167" s="3"/>
      <c r="T167" s="3" t="str"/>
      <c r="U167" s="1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>
      <c r="A168" s="3"/>
      <c r="B168" s="3" t="str"/>
      <c r="C168" s="3" t="str"/>
      <c r="D168" s="3" t="str"/>
      <c r="E168" s="3"/>
      <c r="F168" s="3" t="str"/>
      <c r="G168" s="3" t="str"/>
      <c r="H168" s="3" t="str"/>
      <c r="I168" s="19"/>
      <c r="J168" s="21"/>
      <c r="K168" s="3"/>
      <c r="L168" s="3"/>
      <c r="M168" s="3"/>
      <c r="N168" s="3"/>
      <c r="O168" s="19"/>
      <c r="P168" s="19"/>
      <c r="Q168" s="19"/>
      <c r="R168" s="19"/>
      <c r="S168" s="3"/>
      <c r="T168" s="3" t="str"/>
      <c r="U168" s="1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>
      <c r="A169" s="3"/>
      <c r="B169" s="3" t="str"/>
      <c r="C169" s="3" t="str"/>
      <c r="D169" s="3" t="str"/>
      <c r="E169" s="3"/>
      <c r="F169" s="3" t="str"/>
      <c r="G169" s="3" t="str"/>
      <c r="H169" s="3" t="str"/>
      <c r="I169" s="19"/>
      <c r="J169" s="21"/>
      <c r="K169" s="3"/>
      <c r="L169" s="3"/>
      <c r="M169" s="3"/>
      <c r="N169" s="3"/>
      <c r="O169" s="19"/>
      <c r="P169" s="19"/>
      <c r="Q169" s="19"/>
      <c r="R169" s="19"/>
      <c r="S169" s="3"/>
      <c r="T169" s="3" t="str"/>
      <c r="U169" s="1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>
      <c r="A170" s="3"/>
      <c r="B170" s="3" t="str"/>
      <c r="C170" s="3" t="str"/>
      <c r="D170" s="3" t="str"/>
      <c r="E170" s="3"/>
      <c r="F170" s="3" t="str"/>
      <c r="G170" s="3" t="str"/>
      <c r="H170" s="3" t="str"/>
      <c r="I170" s="19"/>
      <c r="J170" s="21"/>
      <c r="K170" s="3"/>
      <c r="L170" s="3"/>
      <c r="M170" s="3"/>
      <c r="N170" s="3"/>
      <c r="O170" s="19"/>
      <c r="P170" s="19"/>
      <c r="Q170" s="19"/>
      <c r="R170" s="19"/>
      <c r="S170" s="3"/>
      <c r="T170" s="3" t="str"/>
      <c r="U170" s="1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>
      <c r="A171" s="3"/>
      <c r="B171" s="3" t="str"/>
      <c r="C171" s="3" t="str"/>
      <c r="D171" s="3" t="str"/>
      <c r="E171" s="3"/>
      <c r="F171" s="3" t="str"/>
      <c r="G171" s="3" t="str"/>
      <c r="H171" s="3" t="str"/>
      <c r="I171" s="19"/>
      <c r="J171" s="21"/>
      <c r="K171" s="3"/>
      <c r="L171" s="3"/>
      <c r="M171" s="3"/>
      <c r="N171" s="3"/>
      <c r="O171" s="19"/>
      <c r="P171" s="19"/>
      <c r="Q171" s="19"/>
      <c r="R171" s="19"/>
      <c r="S171" s="3"/>
      <c r="T171" s="3" t="str"/>
      <c r="U171" s="1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>
      <c r="A172" s="3"/>
      <c r="B172" s="3" t="str"/>
      <c r="C172" s="3" t="str"/>
      <c r="D172" s="3" t="str"/>
      <c r="E172" s="3"/>
      <c r="F172" s="3" t="str"/>
      <c r="G172" s="3" t="str"/>
      <c r="H172" s="3" t="str"/>
      <c r="I172" s="19"/>
      <c r="J172" s="21"/>
      <c r="K172" s="3"/>
      <c r="L172" s="3"/>
      <c r="M172" s="3"/>
      <c r="N172" s="3"/>
      <c r="O172" s="19"/>
      <c r="P172" s="19"/>
      <c r="Q172" s="19"/>
      <c r="R172" s="19"/>
      <c r="S172" s="3"/>
      <c r="T172" s="3" t="str"/>
      <c r="U172" s="1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>
      <c r="A173" s="3"/>
      <c r="B173" s="3" t="str"/>
      <c r="C173" s="3" t="str"/>
      <c r="D173" s="3" t="str"/>
      <c r="E173" s="3"/>
      <c r="F173" s="3" t="str"/>
      <c r="G173" s="3" t="str"/>
      <c r="H173" s="3" t="str"/>
      <c r="I173" s="19"/>
      <c r="J173" s="21"/>
      <c r="K173" s="3"/>
      <c r="L173" s="3"/>
      <c r="M173" s="3"/>
      <c r="N173" s="3"/>
      <c r="O173" s="19"/>
      <c r="P173" s="19"/>
      <c r="Q173" s="19"/>
      <c r="R173" s="19"/>
      <c r="S173" s="3"/>
      <c r="T173" s="3" t="str"/>
      <c r="U173" s="1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>
      <c r="A174" s="3"/>
      <c r="B174" s="3" t="str"/>
      <c r="C174" s="3" t="str"/>
      <c r="D174" s="3" t="str"/>
      <c r="E174" s="3"/>
      <c r="F174" s="3" t="str"/>
      <c r="G174" s="3" t="str"/>
      <c r="H174" s="3" t="str"/>
      <c r="I174" s="19"/>
      <c r="J174" s="21"/>
      <c r="K174" s="3"/>
      <c r="L174" s="3"/>
      <c r="M174" s="3"/>
      <c r="N174" s="3"/>
      <c r="O174" s="19"/>
      <c r="P174" s="19"/>
      <c r="Q174" s="19"/>
      <c r="R174" s="19"/>
      <c r="S174" s="3"/>
      <c r="T174" s="3" t="str"/>
      <c r="U174" s="1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>
      <c r="A175" s="3"/>
      <c r="B175" s="3" t="str"/>
      <c r="C175" s="3" t="str"/>
      <c r="D175" s="3" t="str"/>
      <c r="E175" s="3"/>
      <c r="F175" s="3" t="str"/>
      <c r="G175" s="3" t="str"/>
      <c r="H175" s="3" t="str"/>
      <c r="I175" s="19"/>
      <c r="J175" s="21"/>
      <c r="K175" s="3"/>
      <c r="L175" s="3"/>
      <c r="M175" s="3"/>
      <c r="N175" s="3"/>
      <c r="O175" s="19"/>
      <c r="P175" s="19"/>
      <c r="Q175" s="19"/>
      <c r="R175" s="19"/>
      <c r="S175" s="3"/>
      <c r="T175" s="3" t="str"/>
      <c r="U175" s="1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>
      <c r="A176" s="3"/>
      <c r="B176" s="3" t="str"/>
      <c r="C176" s="3" t="str"/>
      <c r="D176" s="3" t="str"/>
      <c r="E176" s="3"/>
      <c r="F176" s="3" t="str"/>
      <c r="G176" s="3" t="str"/>
      <c r="H176" s="3" t="str"/>
      <c r="I176" s="19"/>
      <c r="J176" s="21"/>
      <c r="K176" s="3"/>
      <c r="L176" s="3"/>
      <c r="M176" s="3"/>
      <c r="N176" s="3"/>
      <c r="O176" s="19"/>
      <c r="P176" s="19"/>
      <c r="Q176" s="19"/>
      <c r="R176" s="19"/>
      <c r="S176" s="3"/>
      <c r="T176" s="3" t="str"/>
      <c r="U176" s="1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>
      <c r="A177" s="3"/>
      <c r="B177" s="3" t="str"/>
      <c r="C177" s="3" t="str"/>
      <c r="D177" s="3" t="str"/>
      <c r="E177" s="3"/>
      <c r="F177" s="3" t="str"/>
      <c r="G177" s="3" t="str"/>
      <c r="H177" s="3" t="str"/>
      <c r="I177" s="19"/>
      <c r="J177" s="21"/>
      <c r="K177" s="3"/>
      <c r="L177" s="3"/>
      <c r="M177" s="3"/>
      <c r="N177" s="3"/>
      <c r="O177" s="19"/>
      <c r="P177" s="19"/>
      <c r="Q177" s="19"/>
      <c r="R177" s="19"/>
      <c r="S177" s="3"/>
      <c r="T177" s="3" t="str"/>
      <c r="U177" s="1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>
      <c r="A178" s="3"/>
      <c r="B178" s="3" t="str"/>
      <c r="C178" s="3" t="str"/>
      <c r="D178" s="3" t="str"/>
      <c r="E178" s="3"/>
      <c r="F178" s="3" t="str"/>
      <c r="G178" s="3" t="str"/>
      <c r="H178" s="3" t="str"/>
      <c r="I178" s="19"/>
      <c r="J178" s="21"/>
      <c r="K178" s="3"/>
      <c r="L178" s="3"/>
      <c r="M178" s="3"/>
      <c r="N178" s="3"/>
      <c r="O178" s="19"/>
      <c r="P178" s="19"/>
      <c r="Q178" s="19"/>
      <c r="R178" s="19"/>
      <c r="S178" s="3"/>
      <c r="T178" s="3" t="str"/>
      <c r="U178" s="1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>
      <c r="A179" s="3"/>
      <c r="B179" s="3" t="str"/>
      <c r="C179" s="3" t="str"/>
      <c r="D179" s="3" t="str"/>
      <c r="E179" s="3"/>
      <c r="F179" s="3" t="str"/>
      <c r="G179" s="3" t="str"/>
      <c r="H179" s="3" t="str"/>
      <c r="I179" s="19"/>
      <c r="J179" s="21"/>
      <c r="K179" s="3"/>
      <c r="L179" s="3"/>
      <c r="M179" s="3"/>
      <c r="N179" s="3"/>
      <c r="O179" s="19"/>
      <c r="P179" s="19"/>
      <c r="Q179" s="19"/>
      <c r="R179" s="19"/>
      <c r="S179" s="3"/>
      <c r="T179" s="3" t="str"/>
      <c r="U179" s="1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>
      <c r="A180" s="3"/>
      <c r="B180" s="3" t="str"/>
      <c r="C180" s="3" t="str"/>
      <c r="D180" s="3" t="str"/>
      <c r="E180" s="3"/>
      <c r="F180" s="3" t="str"/>
      <c r="G180" s="3" t="str"/>
      <c r="H180" s="3" t="str"/>
      <c r="I180" s="19"/>
      <c r="J180" s="21"/>
      <c r="K180" s="3"/>
      <c r="L180" s="3"/>
      <c r="M180" s="3"/>
      <c r="N180" s="3"/>
      <c r="O180" s="19"/>
      <c r="P180" s="19"/>
      <c r="Q180" s="19"/>
      <c r="R180" s="19"/>
      <c r="S180" s="3"/>
      <c r="T180" s="3" t="str"/>
      <c r="U180" s="1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>
      <c r="A181" s="3"/>
      <c r="B181" s="3" t="str"/>
      <c r="C181" s="3" t="str"/>
      <c r="D181" s="3" t="str"/>
      <c r="E181" s="3"/>
      <c r="F181" s="3" t="str"/>
      <c r="G181" s="3" t="str"/>
      <c r="H181" s="3" t="str"/>
      <c r="I181" s="19"/>
      <c r="J181" s="21"/>
      <c r="K181" s="3"/>
      <c r="L181" s="3"/>
      <c r="M181" s="3"/>
      <c r="N181" s="3"/>
      <c r="O181" s="19"/>
      <c r="P181" s="19"/>
      <c r="Q181" s="19"/>
      <c r="R181" s="19"/>
      <c r="S181" s="3"/>
      <c r="T181" s="3" t="str"/>
      <c r="U181" s="1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>
      <c r="A182" s="3"/>
      <c r="B182" s="3" t="str"/>
      <c r="C182" s="3" t="str"/>
      <c r="D182" s="3" t="str"/>
      <c r="E182" s="3"/>
      <c r="F182" s="3" t="str"/>
      <c r="G182" s="3" t="str"/>
      <c r="H182" s="3" t="str"/>
      <c r="I182" s="19"/>
      <c r="J182" s="21"/>
      <c r="K182" s="3"/>
      <c r="L182" s="3"/>
      <c r="M182" s="3"/>
      <c r="N182" s="3"/>
      <c r="O182" s="19"/>
      <c r="P182" s="19"/>
      <c r="Q182" s="19"/>
      <c r="R182" s="19"/>
      <c r="S182" s="3"/>
      <c r="T182" s="3" t="str"/>
      <c r="U182" s="1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>
      <c r="A183" s="3"/>
      <c r="B183" s="3" t="str"/>
      <c r="C183" s="3" t="str"/>
      <c r="D183" s="3" t="str"/>
      <c r="E183" s="3"/>
      <c r="F183" s="3" t="str"/>
      <c r="G183" s="3" t="str"/>
      <c r="H183" s="3" t="str"/>
      <c r="I183" s="19"/>
      <c r="J183" s="21"/>
      <c r="K183" s="3"/>
      <c r="L183" s="3"/>
      <c r="M183" s="3"/>
      <c r="N183" s="3"/>
      <c r="O183" s="19"/>
      <c r="P183" s="19"/>
      <c r="Q183" s="19"/>
      <c r="R183" s="19"/>
      <c r="S183" s="3"/>
      <c r="T183" s="3" t="str"/>
      <c r="U183" s="1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>
      <c r="A184" s="3"/>
      <c r="B184" s="3" t="str"/>
      <c r="C184" s="3" t="str"/>
      <c r="D184" s="3" t="str"/>
      <c r="E184" s="3"/>
      <c r="F184" s="3" t="str"/>
      <c r="G184" s="3" t="str"/>
      <c r="H184" s="3" t="str"/>
      <c r="I184" s="19"/>
      <c r="J184" s="21"/>
      <c r="K184" s="3"/>
      <c r="L184" s="3"/>
      <c r="M184" s="3"/>
      <c r="N184" s="3"/>
      <c r="O184" s="19"/>
      <c r="P184" s="19"/>
      <c r="Q184" s="19"/>
      <c r="R184" s="19"/>
      <c r="S184" s="3"/>
      <c r="T184" s="3" t="str"/>
      <c r="U184" s="1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>
      <c r="A185" s="3"/>
      <c r="B185" s="3" t="str"/>
      <c r="C185" s="3" t="str"/>
      <c r="D185" s="3" t="str"/>
      <c r="E185" s="3"/>
      <c r="F185" s="3" t="str"/>
      <c r="G185" s="3" t="str"/>
      <c r="H185" s="3" t="str"/>
      <c r="I185" s="19"/>
      <c r="J185" s="21"/>
      <c r="K185" s="3"/>
      <c r="L185" s="3"/>
      <c r="M185" s="3"/>
      <c r="N185" s="3"/>
      <c r="O185" s="19"/>
      <c r="P185" s="19"/>
      <c r="Q185" s="19"/>
      <c r="R185" s="19"/>
      <c r="S185" s="3"/>
      <c r="T185" s="3" t="str"/>
      <c r="U185" s="1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>
      <c r="A186" s="3"/>
      <c r="B186" s="3" t="str"/>
      <c r="C186" s="3" t="str"/>
      <c r="D186" s="3" t="str"/>
      <c r="E186" s="3"/>
      <c r="F186" s="3" t="str"/>
      <c r="G186" s="3" t="str"/>
      <c r="H186" s="3" t="str"/>
      <c r="I186" s="19"/>
      <c r="J186" s="21"/>
      <c r="K186" s="3"/>
      <c r="L186" s="3"/>
      <c r="M186" s="3"/>
      <c r="N186" s="3"/>
      <c r="O186" s="19"/>
      <c r="P186" s="19"/>
      <c r="Q186" s="19"/>
      <c r="R186" s="19"/>
      <c r="S186" s="3"/>
      <c r="T186" s="3" t="str"/>
      <c r="U186" s="1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>
      <c r="A187" s="3"/>
      <c r="B187" s="3" t="str"/>
      <c r="C187" s="3" t="str"/>
      <c r="D187" s="3" t="str"/>
      <c r="E187" s="3"/>
      <c r="F187" s="3" t="str"/>
      <c r="G187" s="3" t="str"/>
      <c r="H187" s="3" t="str"/>
      <c r="I187" s="19"/>
      <c r="J187" s="21"/>
      <c r="K187" s="3"/>
      <c r="L187" s="3"/>
      <c r="M187" s="3"/>
      <c r="N187" s="3"/>
      <c r="O187" s="19"/>
      <c r="P187" s="19"/>
      <c r="Q187" s="19"/>
      <c r="R187" s="19"/>
      <c r="S187" s="3"/>
      <c r="T187" s="3" t="str"/>
      <c r="U187" s="1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>
      <c r="A188" s="3"/>
      <c r="B188" s="3" t="str"/>
      <c r="C188" s="3" t="str"/>
      <c r="D188" s="3" t="str"/>
      <c r="E188" s="3"/>
      <c r="F188" s="3" t="str"/>
      <c r="G188" s="3" t="str"/>
      <c r="H188" s="3" t="str"/>
      <c r="I188" s="19"/>
      <c r="J188" s="21"/>
      <c r="K188" s="3"/>
      <c r="L188" s="3"/>
      <c r="M188" s="3"/>
      <c r="N188" s="3"/>
      <c r="O188" s="19"/>
      <c r="P188" s="19"/>
      <c r="Q188" s="19"/>
      <c r="R188" s="19"/>
      <c r="S188" s="3"/>
      <c r="T188" s="3" t="str"/>
      <c r="U188" s="1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>
      <c r="A189" s="3"/>
      <c r="B189" s="3" t="str"/>
      <c r="C189" s="3" t="str"/>
      <c r="D189" s="3" t="str"/>
      <c r="E189" s="3"/>
      <c r="F189" s="3" t="str"/>
      <c r="G189" s="3" t="str"/>
      <c r="H189" s="3" t="str"/>
      <c r="I189" s="19"/>
      <c r="J189" s="21"/>
      <c r="K189" s="3"/>
      <c r="L189" s="3"/>
      <c r="M189" s="3"/>
      <c r="N189" s="3"/>
      <c r="O189" s="19"/>
      <c r="P189" s="19"/>
      <c r="Q189" s="19"/>
      <c r="R189" s="19"/>
      <c r="S189" s="3"/>
      <c r="T189" s="3" t="str"/>
      <c r="U189" s="1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>
      <c r="A190" s="3"/>
      <c r="B190" s="3" t="str"/>
      <c r="C190" s="3" t="str"/>
      <c r="D190" s="3" t="str"/>
      <c r="E190" s="3"/>
      <c r="F190" s="3" t="str"/>
      <c r="G190" s="3" t="str"/>
      <c r="H190" s="3" t="str"/>
      <c r="I190" s="19"/>
      <c r="J190" s="21"/>
      <c r="K190" s="3"/>
      <c r="L190" s="3"/>
      <c r="M190" s="3"/>
      <c r="N190" s="3"/>
      <c r="O190" s="19"/>
      <c r="P190" s="19"/>
      <c r="Q190" s="19"/>
      <c r="R190" s="19"/>
      <c r="S190" s="3"/>
      <c r="T190" s="3" t="str"/>
      <c r="U190" s="1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>
      <c r="A191" s="3"/>
      <c r="B191" s="3" t="str"/>
      <c r="C191" s="3" t="str"/>
      <c r="D191" s="3" t="str"/>
      <c r="E191" s="3"/>
      <c r="F191" s="3" t="str"/>
      <c r="G191" s="3" t="str"/>
      <c r="H191" s="3" t="str"/>
      <c r="I191" s="19"/>
      <c r="J191" s="21"/>
      <c r="K191" s="3"/>
      <c r="L191" s="3"/>
      <c r="M191" s="3"/>
      <c r="N191" s="3"/>
      <c r="O191" s="19"/>
      <c r="P191" s="19"/>
      <c r="Q191" s="19"/>
      <c r="R191" s="19"/>
      <c r="S191" s="3"/>
      <c r="T191" s="3" t="str"/>
      <c r="U191" s="1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>
      <c r="A192" s="3"/>
      <c r="B192" s="3" t="str"/>
      <c r="C192" s="3" t="str"/>
      <c r="D192" s="3" t="str"/>
      <c r="E192" s="3"/>
      <c r="F192" s="3" t="str"/>
      <c r="G192" s="3" t="str"/>
      <c r="H192" s="3" t="str"/>
      <c r="I192" s="19"/>
      <c r="J192" s="21"/>
      <c r="K192" s="3"/>
      <c r="L192" s="3"/>
      <c r="M192" s="3"/>
      <c r="N192" s="3"/>
      <c r="O192" s="19"/>
      <c r="P192" s="19"/>
      <c r="Q192" s="19"/>
      <c r="R192" s="19"/>
      <c r="S192" s="3"/>
      <c r="T192" s="3" t="str"/>
      <c r="U192" s="1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>
      <c r="A193" s="3"/>
      <c r="B193" s="3" t="str"/>
      <c r="C193" s="3" t="str"/>
      <c r="D193" s="3" t="str"/>
      <c r="E193" s="3"/>
      <c r="F193" s="3" t="str"/>
      <c r="G193" s="3" t="str"/>
      <c r="H193" s="3" t="str"/>
      <c r="I193" s="19"/>
      <c r="J193" s="21"/>
      <c r="K193" s="3"/>
      <c r="L193" s="3"/>
      <c r="M193" s="3"/>
      <c r="N193" s="3"/>
      <c r="O193" s="19"/>
      <c r="P193" s="19"/>
      <c r="Q193" s="19"/>
      <c r="R193" s="19"/>
      <c r="S193" s="3"/>
      <c r="T193" s="3" t="str"/>
      <c r="U193" s="1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>
      <c r="A194" s="3"/>
      <c r="B194" s="3" t="str"/>
      <c r="C194" s="3" t="str"/>
      <c r="D194" s="3" t="str"/>
      <c r="E194" s="3"/>
      <c r="F194" s="3" t="str"/>
      <c r="G194" s="3" t="str"/>
      <c r="H194" s="3" t="str"/>
      <c r="I194" s="19"/>
      <c r="J194" s="21"/>
      <c r="K194" s="3"/>
      <c r="L194" s="3"/>
      <c r="M194" s="3"/>
      <c r="N194" s="3"/>
      <c r="O194" s="19"/>
      <c r="P194" s="19"/>
      <c r="Q194" s="19"/>
      <c r="R194" s="19"/>
      <c r="S194" s="3"/>
      <c r="T194" s="3" t="str"/>
      <c r="U194" s="1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>
      <c r="A195" s="3"/>
      <c r="B195" s="3" t="str"/>
      <c r="C195" s="3" t="str"/>
      <c r="D195" s="3" t="str"/>
      <c r="E195" s="3"/>
      <c r="F195" s="3" t="str"/>
      <c r="G195" s="3" t="str"/>
      <c r="H195" s="3" t="str"/>
      <c r="I195" s="19"/>
      <c r="J195" s="21"/>
      <c r="K195" s="3"/>
      <c r="L195" s="3"/>
      <c r="M195" s="3"/>
      <c r="N195" s="3"/>
      <c r="O195" s="19"/>
      <c r="P195" s="19"/>
      <c r="Q195" s="19"/>
      <c r="R195" s="19"/>
      <c r="S195" s="3"/>
      <c r="T195" s="3" t="str"/>
      <c r="U195" s="1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>
      <c r="A196" s="3"/>
      <c r="B196" s="3" t="str"/>
      <c r="C196" s="3" t="str"/>
      <c r="D196" s="3" t="str"/>
      <c r="E196" s="3"/>
      <c r="F196" s="3" t="str"/>
      <c r="G196" s="3" t="str"/>
      <c r="H196" s="3" t="str"/>
      <c r="I196" s="19"/>
      <c r="J196" s="21"/>
      <c r="K196" s="3"/>
      <c r="L196" s="3"/>
      <c r="M196" s="3"/>
      <c r="N196" s="3"/>
      <c r="O196" s="19"/>
      <c r="P196" s="19"/>
      <c r="Q196" s="19"/>
      <c r="R196" s="19"/>
      <c r="S196" s="3"/>
      <c r="T196" s="3" t="str"/>
      <c r="U196" s="1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>
      <c r="A197" s="3"/>
      <c r="B197" s="3" t="str"/>
      <c r="C197" s="3" t="str"/>
      <c r="D197" s="3" t="str"/>
      <c r="E197" s="3"/>
      <c r="F197" s="3" t="str"/>
      <c r="G197" s="3" t="str"/>
      <c r="H197" s="3" t="str"/>
      <c r="I197" s="19"/>
      <c r="J197" s="21"/>
      <c r="K197" s="3"/>
      <c r="L197" s="3"/>
      <c r="M197" s="3"/>
      <c r="N197" s="3"/>
      <c r="O197" s="19"/>
      <c r="P197" s="19"/>
      <c r="Q197" s="19"/>
      <c r="R197" s="19"/>
      <c r="S197" s="3"/>
      <c r="T197" s="3" t="str"/>
      <c r="U197" s="1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>
      <c r="A198" s="3"/>
      <c r="B198" s="3" t="str"/>
      <c r="C198" s="3" t="str"/>
      <c r="D198" s="3" t="str"/>
      <c r="E198" s="3"/>
      <c r="F198" s="3" t="str"/>
      <c r="G198" s="3" t="str"/>
      <c r="H198" s="3" t="str"/>
      <c r="I198" s="19"/>
      <c r="J198" s="21"/>
      <c r="K198" s="3"/>
      <c r="L198" s="3"/>
      <c r="M198" s="3"/>
      <c r="N198" s="3"/>
      <c r="O198" s="19"/>
      <c r="P198" s="19"/>
      <c r="Q198" s="19"/>
      <c r="R198" s="19"/>
      <c r="S198" s="3"/>
      <c r="T198" s="3" t="str"/>
      <c r="U198" s="1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>
      <c r="A199" s="3"/>
      <c r="B199" s="3" t="str"/>
      <c r="C199" s="3" t="str"/>
      <c r="D199" s="3" t="str"/>
      <c r="E199" s="3"/>
      <c r="F199" s="3" t="str"/>
      <c r="G199" s="3" t="str"/>
      <c r="H199" s="3" t="str"/>
      <c r="I199" s="19"/>
      <c r="J199" s="21"/>
      <c r="K199" s="3"/>
      <c r="L199" s="3"/>
      <c r="M199" s="3"/>
      <c r="N199" s="3"/>
      <c r="O199" s="19"/>
      <c r="P199" s="19"/>
      <c r="Q199" s="19"/>
      <c r="R199" s="19"/>
      <c r="S199" s="3"/>
      <c r="T199" s="3" t="str"/>
      <c r="U199" s="1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>
      <c r="A200" s="3"/>
      <c r="B200" s="3" t="str"/>
      <c r="C200" s="3" t="str"/>
      <c r="D200" s="3" t="str"/>
      <c r="E200" s="3"/>
      <c r="F200" s="3" t="str"/>
      <c r="G200" s="3" t="str"/>
      <c r="H200" s="3" t="str"/>
      <c r="I200" s="19"/>
      <c r="J200" s="21"/>
      <c r="K200" s="3"/>
      <c r="L200" s="3"/>
      <c r="M200" s="3"/>
      <c r="N200" s="3"/>
      <c r="O200" s="19"/>
      <c r="P200" s="19"/>
      <c r="Q200" s="19"/>
      <c r="R200" s="19"/>
      <c r="S200" s="3"/>
      <c r="T200" s="3" t="str"/>
      <c r="U200" s="1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>
      <c r="A201" s="3"/>
      <c r="B201" s="3" t="str"/>
      <c r="C201" s="3" t="str"/>
      <c r="D201" s="3" t="str"/>
      <c r="E201" s="3"/>
      <c r="F201" s="3" t="str"/>
      <c r="G201" s="3" t="str"/>
      <c r="H201" s="3" t="str"/>
      <c r="I201" s="19"/>
      <c r="J201" s="21"/>
      <c r="K201" s="3"/>
      <c r="L201" s="3"/>
      <c r="M201" s="3"/>
      <c r="N201" s="3"/>
      <c r="O201" s="19"/>
      <c r="P201" s="19"/>
      <c r="Q201" s="19"/>
      <c r="R201" s="19"/>
      <c r="S201" s="3"/>
      <c r="T201" s="3" t="str"/>
      <c r="U201" s="1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>
      <c r="A202" s="3"/>
      <c r="B202" s="3" t="str"/>
      <c r="C202" s="3" t="str"/>
      <c r="D202" s="3" t="str"/>
      <c r="E202" s="3"/>
      <c r="F202" s="3" t="str"/>
      <c r="G202" s="3" t="str"/>
      <c r="H202" s="3" t="str"/>
      <c r="I202" s="19"/>
      <c r="J202" s="21"/>
      <c r="K202" s="3"/>
      <c r="L202" s="3"/>
      <c r="M202" s="3"/>
      <c r="N202" s="3"/>
      <c r="O202" s="19"/>
      <c r="P202" s="19"/>
      <c r="Q202" s="19"/>
      <c r="R202" s="19"/>
      <c r="S202" s="3"/>
      <c r="T202" s="3" t="str"/>
      <c r="U202" s="1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>
      <c r="A203" s="3"/>
      <c r="B203" s="3" t="str"/>
      <c r="C203" s="3" t="str"/>
      <c r="D203" s="3" t="str"/>
      <c r="E203" s="3"/>
      <c r="F203" s="3" t="str"/>
      <c r="G203" s="3" t="str"/>
      <c r="H203" s="3" t="str"/>
      <c r="I203" s="19"/>
      <c r="J203" s="21"/>
      <c r="K203" s="3"/>
      <c r="L203" s="3"/>
      <c r="M203" s="3"/>
      <c r="N203" s="3"/>
      <c r="O203" s="19"/>
      <c r="P203" s="19"/>
      <c r="Q203" s="19"/>
      <c r="R203" s="19"/>
      <c r="S203" s="3"/>
      <c r="T203" s="3" t="str"/>
      <c r="U203" s="1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>
      <c r="A204" s="3"/>
      <c r="B204" s="3" t="str"/>
      <c r="C204" s="3" t="str"/>
      <c r="D204" s="3" t="str"/>
      <c r="E204" s="3"/>
      <c r="F204" s="3" t="str"/>
      <c r="G204" s="3" t="str"/>
      <c r="H204" s="3" t="str"/>
      <c r="I204" s="19"/>
      <c r="J204" s="21"/>
      <c r="K204" s="3"/>
      <c r="L204" s="3"/>
      <c r="M204" s="3"/>
      <c r="N204" s="3"/>
      <c r="O204" s="19"/>
      <c r="P204" s="19"/>
      <c r="Q204" s="19"/>
      <c r="R204" s="19"/>
      <c r="S204" s="3"/>
      <c r="T204" s="3" t="str"/>
      <c r="U204" s="1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>
      <c r="A205" s="3"/>
      <c r="B205" s="3" t="str"/>
      <c r="C205" s="3" t="str"/>
      <c r="D205" s="3" t="str"/>
      <c r="E205" s="3"/>
      <c r="F205" s="3" t="str"/>
      <c r="G205" s="3" t="str"/>
      <c r="H205" s="3" t="str"/>
      <c r="I205" s="19"/>
      <c r="J205" s="21"/>
      <c r="K205" s="3"/>
      <c r="L205" s="3"/>
      <c r="M205" s="3"/>
      <c r="N205" s="3"/>
      <c r="O205" s="19"/>
      <c r="P205" s="19"/>
      <c r="Q205" s="19"/>
      <c r="R205" s="19"/>
      <c r="S205" s="3"/>
      <c r="T205" s="3" t="str"/>
      <c r="U205" s="1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>
      <c r="A206" s="3"/>
      <c r="B206" s="3" t="str"/>
      <c r="C206" s="3" t="str"/>
      <c r="D206" s="3" t="str"/>
      <c r="E206" s="3"/>
      <c r="F206" s="3" t="str"/>
      <c r="G206" s="3" t="str"/>
      <c r="H206" s="3" t="str"/>
      <c r="I206" s="19"/>
      <c r="J206" s="21"/>
      <c r="K206" s="3"/>
      <c r="L206" s="3"/>
      <c r="M206" s="3"/>
      <c r="N206" s="3"/>
      <c r="O206" s="19"/>
      <c r="P206" s="19"/>
      <c r="Q206" s="19"/>
      <c r="R206" s="19"/>
      <c r="S206" s="3"/>
      <c r="T206" s="3" t="str"/>
      <c r="U206" s="1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>
      <c r="A207" s="3"/>
      <c r="B207" s="3" t="str"/>
      <c r="C207" s="3" t="str"/>
      <c r="D207" s="3" t="str"/>
      <c r="E207" s="3"/>
      <c r="F207" s="3" t="str"/>
      <c r="G207" s="3" t="str"/>
      <c r="H207" s="3" t="str"/>
      <c r="I207" s="19"/>
      <c r="J207" s="21"/>
      <c r="K207" s="3"/>
      <c r="L207" s="3"/>
      <c r="M207" s="3"/>
      <c r="N207" s="3"/>
      <c r="O207" s="19"/>
      <c r="P207" s="19"/>
      <c r="Q207" s="19"/>
      <c r="R207" s="19"/>
      <c r="S207" s="3"/>
      <c r="T207" s="3" t="str"/>
      <c r="U207" s="1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>
      <c r="A208" s="3"/>
      <c r="B208" s="3" t="str"/>
      <c r="C208" s="3" t="str"/>
      <c r="D208" s="3" t="str"/>
      <c r="E208" s="3"/>
      <c r="F208" s="3" t="str"/>
      <c r="G208" s="3" t="str"/>
      <c r="H208" s="3" t="str"/>
      <c r="I208" s="19"/>
      <c r="J208" s="21"/>
      <c r="K208" s="3"/>
      <c r="L208" s="3"/>
      <c r="M208" s="3"/>
      <c r="N208" s="3"/>
      <c r="O208" s="19"/>
      <c r="P208" s="19"/>
      <c r="Q208" s="19"/>
      <c r="R208" s="19"/>
      <c r="S208" s="3"/>
      <c r="T208" s="3" t="str"/>
      <c r="U208" s="1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>
      <c r="A209" s="3"/>
      <c r="B209" s="3" t="str"/>
      <c r="C209" s="3" t="str"/>
      <c r="D209" s="3" t="str"/>
      <c r="E209" s="3"/>
      <c r="F209" s="3" t="str"/>
      <c r="G209" s="3" t="str"/>
      <c r="H209" s="3" t="str"/>
      <c r="I209" s="19"/>
      <c r="J209" s="21"/>
      <c r="K209" s="3"/>
      <c r="L209" s="3"/>
      <c r="M209" s="3"/>
      <c r="N209" s="3"/>
      <c r="O209" s="19"/>
      <c r="P209" s="19"/>
      <c r="Q209" s="19"/>
      <c r="R209" s="19"/>
      <c r="S209" s="3"/>
      <c r="T209" s="3" t="str"/>
      <c r="U209" s="1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>
      <c r="A210" s="3"/>
      <c r="B210" s="3" t="str"/>
      <c r="C210" s="3" t="str"/>
      <c r="D210" s="3" t="str"/>
      <c r="E210" s="3"/>
      <c r="F210" s="3" t="str"/>
      <c r="G210" s="3" t="str"/>
      <c r="H210" s="3" t="str"/>
      <c r="I210" s="19"/>
      <c r="J210" s="21"/>
      <c r="K210" s="3"/>
      <c r="L210" s="3"/>
      <c r="M210" s="3"/>
      <c r="N210" s="3"/>
      <c r="O210" s="19"/>
      <c r="P210" s="19"/>
      <c r="Q210" s="19"/>
      <c r="R210" s="19"/>
      <c r="S210" s="3"/>
      <c r="T210" s="3" t="str"/>
      <c r="U210" s="1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>
      <c r="A211" s="3"/>
      <c r="B211" s="3" t="str"/>
      <c r="C211" s="3" t="str"/>
      <c r="D211" s="3" t="str"/>
      <c r="E211" s="3"/>
      <c r="F211" s="3" t="str"/>
      <c r="G211" s="3" t="str"/>
      <c r="H211" s="3" t="str"/>
      <c r="I211" s="19"/>
      <c r="J211" s="21"/>
      <c r="K211" s="3"/>
      <c r="L211" s="3"/>
      <c r="M211" s="3"/>
      <c r="N211" s="3"/>
      <c r="O211" s="19"/>
      <c r="P211" s="19"/>
      <c r="Q211" s="19"/>
      <c r="R211" s="19"/>
      <c r="S211" s="3"/>
      <c r="T211" s="3" t="str"/>
      <c r="U211" s="1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>
      <c r="A212" s="3"/>
      <c r="B212" s="3" t="str"/>
      <c r="C212" s="3" t="str"/>
      <c r="D212" s="3" t="str"/>
      <c r="E212" s="3"/>
      <c r="F212" s="3" t="str"/>
      <c r="G212" s="3" t="str"/>
      <c r="H212" s="3" t="str"/>
      <c r="I212" s="19"/>
      <c r="J212" s="21"/>
      <c r="K212" s="3"/>
      <c r="L212" s="3"/>
      <c r="M212" s="3"/>
      <c r="N212" s="3"/>
      <c r="O212" s="19"/>
      <c r="P212" s="19"/>
      <c r="Q212" s="19"/>
      <c r="R212" s="19"/>
      <c r="S212" s="3"/>
      <c r="T212" s="3" t="str"/>
      <c r="U212" s="1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</sheetData>
  <conditionalFormatting sqref="V2:V212">
    <cfRule priority="2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X2:AG212">
    <cfRule priority="3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A1:D1048576">
    <cfRule dxfId="1" priority="4" stopIfTrue="true" type="duplicateValues"/>
  </conditionalFormatting>
  <conditionalFormatting sqref="R1:R1048576">
    <cfRule dxfId="2" operator="containsText" priority="5" stopIfTrue="true" text="BLANK" type="containsText">
      <formula>NOT(ISERROR(SEARCH("BLANK",R1)))</formula>
    </cfRule>
  </conditionalFormatting>
  <conditionalFormatting sqref="R1:R1048576">
    <cfRule dxfId="3" operator="containsText" priority="6" stopIfTrue="true" text="DONE" type="containsText">
      <formula>NOT(ISERROR(SEARCH("DONE",R1)))</formula>
    </cfRule>
  </conditionalFormatting>
  <dataValidations count="6">
    <dataValidation allowBlank="true" errorStyle="stop" showDropDown="true" showErrorMessage="true" sqref="N2:N212" type="list">
      <formula1>"0_PosX,1_NagX,2_PosY,3_NagY,4_BossToGift,5_GiftToNext"</formula1>
    </dataValidation>
    <dataValidation allowBlank="true" errorStyle="stop" showDropDown="true" showErrorMessage="true" sqref="O2:O212" type="list">
      <formula1>"1,2,3,4,5,6,7,8,9,10,11"</formula1>
    </dataValidation>
    <dataValidation allowBlank="true" errorStyle="stop" showDropDown="true" showErrorMessage="true" sqref="Q2:Q212 R2:R212" type="list">
      <formula1>"S01,S02,S03,S04,S05,S06,S07,S08,S09,S10,S11"</formula1>
    </dataValidation>
    <dataValidation allowBlank="true" errorStyle="stop" showDropDown="true" showErrorMessage="true" sqref="J2:J212" type="list">
      <formula1>"0_Regular,1_Initial,2_Reward,3_Boss"</formula1>
    </dataValidation>
    <dataValidation allowBlank="true" errorStyle="stop" showDropDown="true" showErrorMessage="true" sqref="K2:K212" type="list">
      <formula1>"0_PosX,1_NagX,2_PosY,3_NagY,0_Initial,4_BossToGift,5_GiftToNext"</formula1>
    </dataValidation>
    <dataValidation allowBlank="true" errorStyle="stop" showDropDown="true" showErrorMessage="true" sqref="S2:S212" type="list">
      <formula1>"DONE,NEED CHECK,NEED FIX,PROBLEM"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edafb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9"/>
  </cols>
  <sheetData>
    <row r="1">
      <c r="A1" s="6" t="str">
        <v>RowName</v>
      </c>
      <c r="B1" s="6" t="str">
        <v>MapRef</v>
      </c>
      <c r="C1" s="6" t="str">
        <v>EnemyRef</v>
      </c>
      <c r="D1" s="6" t="str">
        <v>RewardRef</v>
      </c>
      <c r="E1" s="6" t="str">
        <v>SectionID</v>
      </c>
      <c r="F1" s="24" t="str">
        <v>AllowLevel</v>
      </c>
      <c r="G1" s="6" t="str">
        <v>MapType</v>
      </c>
      <c r="H1" s="6" t="str">
        <v>StartFacing</v>
      </c>
      <c r="I1" s="7"/>
    </row>
    <row r="2">
      <c r="A2" s="1">
        <f t="array" ref="A2:A200">COUNTA(B2:B1000&lt;&gt;"":$B$2)-1</f>
      </c>
      <c r="B2" s="1">
        <f t="array" ref="B2:B14">FILTER('关卡程序命名'!F:F,'关卡程序命名'!S:S="DONE","")</f>
      </c>
      <c r="C2" s="1">
        <f t="array" ref="C2:C14">FILTER('关卡程序命名'!G:G,'关卡程序命名'!S:S="DONE","")</f>
      </c>
      <c r="D2" s="1">
        <f t="array" ref="D2:D14">FILTER('关卡程序命名'!H:H,'关卡程序命名'!S:S="DONE","")</f>
      </c>
      <c r="E2" s="1">
        <f t="array" ref="E2:E14">FILTER(--MID('关卡程序命名'!I:I,2,99),'关卡程序命名'!S:S="DONE","")</f>
      </c>
      <c r="F2" s="1">
        <f t="array" ref="F2:F14">FILTER("=("&amp;""""&amp;"("&amp;'关卡程序命名'!O:O&amp;")"&amp;""""&amp;")",'关卡程序命名'!S:S="DONE","")</f>
      </c>
      <c r="G2" s="1">
        <f t="array" ref="G2:G14">FILTER(LEFT('关卡程序命名'!J:J,FIND("_",'关卡程序命名'!J:J&amp;"_")-1),'关卡程序命名'!S:S="DONE","")</f>
      </c>
      <c r="H2" s="1">
        <f t="array" ref="H2:H14">FILTER(LEFT('关卡程序命名'!K:K,FIND("_",'关卡程序命名'!K:K&amp;"_")-1),'关卡程序命名'!S:S="DONE","")</f>
      </c>
    </row>
    <row r="3">
      <c r="A3" s="1">
        <v>1</v>
      </c>
      <c r="B3" s="1" t="str">
        <v>/Game/Levels/Maps/Labor/SubLevel/Labor_S01/L_Labor_PosX_NagY_S01_01.L_Labor_PosX_NagY_S01_01</v>
      </c>
      <c r="C3" s="1" t="str">
        <v>/Script/Engine.World'/Game/Levels/Maps/Labor/SubLevel/Labor_S01/L_Labor_PosX_NagY_S01_01_Enemy.L_Labor_PosX_NagY_S01_01_Enemy'</v>
      </c>
      <c r="D3" s="1" t="str">
        <v>/Script/Engine.World'/Game/Levels/Maps/Labor/SubLevel/Labor_S01/L_Labor_PosX_NagY_S01_01_Reward.L_Labor_PosX_NagY_S01_01_Reward'</v>
      </c>
      <c r="E3" s="1">
        <v>1</v>
      </c>
      <c r="F3" s="29" t="str">
        <v>=("(1,2,3,4,5,6,7,8)")</v>
      </c>
      <c r="G3" s="1" t="str">
        <v>0</v>
      </c>
      <c r="H3" s="1" t="str">
        <v>0</v>
      </c>
    </row>
    <row r="4">
      <c r="A4" s="1">
        <v>2</v>
      </c>
      <c r="B4" s="1" t="str">
        <v>/Game/Levels/Maps/Labor/SubLevel/Labor_S02/L_Labor_PosY_NagY_S02_01.L_Labor_PosY_NagY_S02_01</v>
      </c>
      <c r="C4" s="1" t="str">
        <v>/Script/Engine.World'/Game/Levels/Maps/Labor/SubLevel/Labor_S02/L_Labor_PosY_NagY_S02_01_Enemy.L_Labor_PosY_NagY_S02_01_Enemy'</v>
      </c>
      <c r="D4" s="1" t="str">
        <v>/Script/Engine.World'/Game/Levels/Maps/Labor/SubLevel/Labor_S02/L_Labor_PosY_NagY_S02_01_Reward.L_Labor_PosY_NagY_S02_01_Reward'</v>
      </c>
      <c r="E4" s="1">
        <v>2</v>
      </c>
      <c r="F4" s="29" t="str">
        <v>=("(1,2,3,4,5,6,7,8)")</v>
      </c>
      <c r="G4" s="1" t="str">
        <v>0</v>
      </c>
      <c r="H4" s="1" t="str">
        <v>2</v>
      </c>
    </row>
    <row r="5">
      <c r="A5" s="1">
        <v>3</v>
      </c>
      <c r="B5" s="1" t="str">
        <v>/Game/Levels/Maps/Labor/SubLevel/Labor_S03/L_Labor_PosX_NagX_S03_01.L_Labor_PosX_NagX_S03_01</v>
      </c>
      <c r="C5" s="1" t="str">
        <v>/Script/Engine.World'/Game/Levels/Maps/Labor/SubLevel/Labor_S03/L_Labor_PosX_NagX_S03_01_Enemy.L_Labor_PosX_NagX_S03_01_Enemy'</v>
      </c>
      <c r="D5" s="1" t="str">
        <v>/Script/Engine.World'/Game/Levels/Maps/Labor/SubLevel/Labor_S03/L_Labor_PosX_NagX_S03_01_Reward.L_Labor_PosX_NagX_S03_01_Reward'</v>
      </c>
      <c r="E5" s="1">
        <v>3</v>
      </c>
      <c r="F5" s="29" t="str">
        <v>=("(1,2,3,4,5,6,7,8)")</v>
      </c>
      <c r="G5" s="1" t="str">
        <v>0</v>
      </c>
      <c r="H5" s="1" t="str">
        <v>0</v>
      </c>
    </row>
    <row r="6">
      <c r="A6" s="1">
        <v>4</v>
      </c>
      <c r="B6" s="1" t="str">
        <v>/Game/Levels/Maps/Labor/SubLevel/Labor_S04/L_Labor_PosY_PosY_S04_01.L_Labor_PosY_PosY_S04_01</v>
      </c>
      <c r="C6" s="1" t="str">
        <v>/Script/Engine.World'/Game/Levels/Maps/Labor/SubLevel/Labor_S04/L_Labor_PosY_PosY_S04_01_Enemy.L_Labor_PosY_PosY_S04_01_Enemy'</v>
      </c>
      <c r="D6" s="1" t="str">
        <v>/Script/Engine.World'/Game/Levels/Maps/Labor/SubLevel/Labor_S04/L_Labor_PosY_PosY_S04_01_Reward.L_Labor_PosY_PosY_S04_01_Reward'</v>
      </c>
      <c r="E6" s="1">
        <v>4</v>
      </c>
      <c r="F6" s="29" t="str">
        <v>=("(1,2,3,4,5,6,7,8)")</v>
      </c>
      <c r="G6" s="1" t="str">
        <v>0</v>
      </c>
      <c r="H6" s="1" t="str">
        <v>2</v>
      </c>
    </row>
    <row r="7">
      <c r="A7" s="1">
        <v>5</v>
      </c>
      <c r="B7" s="1" t="str">
        <v>/Game/Levels/Maps/Labor/SubLevel/Labor_S05/L_Labor_NagY_PosY_S05_01.L_Labor_NagY_PosY_S05_01</v>
      </c>
      <c r="C7" s="1" t="str">
        <v>/Script/Engine.World'/Game/Levels/Maps/Labor/SubLevel/Labor_S05/L_Labor_NagY_PosY_S05_01_Enemy.L_Labor_NagY_PosY_S05_01_Enemy'</v>
      </c>
      <c r="D7" s="1" t="str">
        <v>/Script/Engine.World'/Game/Levels/Maps/Labor/SubLevel/Labor_S05/L_Labor_NagY_PosY_S05_01_Reward.L_Labor_NagY_PosY_S05_01_Reward'</v>
      </c>
      <c r="E7" s="1">
        <v>5</v>
      </c>
      <c r="F7" s="29" t="str">
        <v>=("(1,2,3,4,5,6,7,8)")</v>
      </c>
      <c r="G7" s="1" t="str">
        <v>0</v>
      </c>
      <c r="H7" s="1" t="str">
        <v>3</v>
      </c>
    </row>
    <row r="8">
      <c r="A8" s="1">
        <v>6</v>
      </c>
      <c r="B8" s="1" t="str">
        <v>/Game/Levels/Maps/Labor/SubLevel/Labor_S06/L_Labor_PosX_NagX_S06_01.L_Labor_PosX_NagX_S06_01</v>
      </c>
      <c r="C8" s="1" t="str">
        <v>/Script/Engine.World'/Game/Levels/Maps/Labor/SubLevel/Labor_S06/L_Labor_PosX_NagX_S06_01_Enemy.L_Labor_PosX_NagX_S06_01_Enemy'</v>
      </c>
      <c r="D8" s="1" t="str">
        <v>/Script/Engine.World'/Game/Levels/Maps/Labor/SubLevel/Labor_S06/L_Labor_PosX_NagX_S06_01_Reward.L_Labor_PosX_NagX_S06_01_Reward'</v>
      </c>
      <c r="E8" s="1">
        <v>6</v>
      </c>
      <c r="F8" s="29" t="str">
        <v>=("(1,2,3,4,5,6,7,8)")</v>
      </c>
      <c r="G8" s="1" t="str">
        <v>0</v>
      </c>
      <c r="H8" s="1" t="str">
        <v>0</v>
      </c>
    </row>
    <row r="9">
      <c r="A9" s="1">
        <v>7</v>
      </c>
      <c r="B9" s="1" t="str">
        <v>/Game/Levels/Maps/Labor/SubLevel/Labor_S07/L_Labor_PosX_PosY_S07_01.L_Labor_PosX_PosY_S07_01</v>
      </c>
      <c r="C9" s="1" t="str">
        <v>/Script/Engine.World'/Game/Levels/Maps/Labor/SubLevel/Labor_S07/L_Labor_PosX_PosY_S07_01_Enemy.L_Labor_PosX_PosY_S07_01_Enemy'</v>
      </c>
      <c r="D9" s="1" t="str">
        <v>/Script/Engine.World'/Game/Levels/Maps/Labor/SubLevel/Labor_S07/L_Labor_PosX_PosY_S07_01_Reward.L_Labor_PosX_PosY_S07_01_Reward'</v>
      </c>
      <c r="E9" s="1">
        <v>7</v>
      </c>
      <c r="F9" s="29" t="str">
        <v>=("(1,2,3,4,5,6,7,8)")</v>
      </c>
      <c r="G9" s="1" t="str">
        <v>0</v>
      </c>
      <c r="H9" s="1" t="str">
        <v>0</v>
      </c>
    </row>
    <row r="10">
      <c r="A10" s="1">
        <v>8</v>
      </c>
      <c r="B10" s="1" t="str">
        <v>/Game/Levels/Maps/Labor/SubLevel/Labor_S08/L_Labor_NagY_NagX_S08_01.L_Labor_NagY_NagX_S08_01</v>
      </c>
      <c r="C10" s="1" t="str">
        <v>/Script/Engine.World'/Game/Levels/Maps/Labor/SubLevel/Labor_S08/L_Labor_NagY_NagX_S08_01_Enemy.L_Labor_NagY_NagX_S08_01_Enemy'</v>
      </c>
      <c r="D10" s="1" t="str">
        <v>/Script/Engine.World'/Game/Levels/Maps/Labor/SubLevel/Labor_S08/L_Labor_NagY_NagX_S08_01_Reward.L_Labor_NagY_NagX_S08_01_Reward'</v>
      </c>
      <c r="E10" s="1">
        <v>8</v>
      </c>
      <c r="F10" s="29" t="str">
        <v>=("(1,2,3,4,5,6,7,8)")</v>
      </c>
      <c r="G10" s="1" t="str">
        <v>2</v>
      </c>
      <c r="H10" s="1" t="str">
        <v>3</v>
      </c>
    </row>
    <row r="11">
      <c r="A11" s="1">
        <v>9</v>
      </c>
      <c r="B11" s="1" t="str">
        <v>/Game/Levels/Maps/Labor/SubLevel/Labor_S09/L_Labor_Initial_NagY_S09_01.L_Labor_Initial_NagY_S09_01</v>
      </c>
      <c r="C11" s="1" t="str">
        <v>/Script/Engine.World'/Game/Levels/Maps/Labor/SubLevel/Labor_S09/L_Labor_Initial_NagY_S09_01_Enemy.L_Labor_Initial_NagY_S09_01_Enemy'</v>
      </c>
      <c r="D11" s="1" t="str">
        <v>/Script/Engine.World'/Game/Levels/Maps/Labor/SubLevel/Labor_S09/L_Labor_Initial_NagY_S09_01_Reward.L_Labor_Initial_NagY_S09_01_Reward'</v>
      </c>
      <c r="E11" s="1">
        <v>9</v>
      </c>
      <c r="F11" s="29" t="str">
        <v>=("(1)")</v>
      </c>
      <c r="G11" s="1" t="str">
        <v>1</v>
      </c>
      <c r="H11" s="1" t="str">
        <v>0</v>
      </c>
    </row>
    <row r="12">
      <c r="A12" s="1">
        <v>10</v>
      </c>
      <c r="B12" s="1" t="str">
        <v>/Game/Levels/Maps/Labor/SubLevel/Labor_S09/L_Labor_NagX_BossToGift_S09_01.L_Labor_NagX_BossToGift_S09_01</v>
      </c>
      <c r="C12" s="1" t="str">
        <v>/Script/Engine.World'/Game/Levels/Maps/Labor/SubLevel/Labor_S09/L_Labor_NagX_BossToGift_S09_01_Enemy.L_Labor_NagX_BossToGift_S09_01_Enemy'</v>
      </c>
      <c r="D12" s="1" t="str">
        <v>/Script/Engine.World'/Game/Levels/Maps/Labor/SubLevel/Labor_S09/L_Labor_NagX_BossToGift_S09_01_Reward.L_Labor_NagX_BossToGift_S09_01_Reward'</v>
      </c>
      <c r="E12" s="1">
        <v>9</v>
      </c>
      <c r="F12" s="29" t="str">
        <v>=("(9)")</v>
      </c>
      <c r="G12" s="1" t="str">
        <v>3</v>
      </c>
      <c r="H12" s="1" t="str">
        <v>1</v>
      </c>
    </row>
    <row r="13">
      <c r="A13" s="1">
        <v>11</v>
      </c>
      <c r="B13" s="1" t="str">
        <v>/Game/Levels/Maps/Labor/SubLevel/Labor_S10/L_Labor_BossToGift_GiftToNext_S10_01.L_Labor_BossToGift_GiftToNext_S10_01</v>
      </c>
      <c r="C13" s="1" t="str">
        <v>/Script/Engine.World'/Game/Levels/Maps/Labor/SubLevel/Labor_S10/L_Labor_BossToGift_GiftToNext_S10_01_Enemy.L_Labor_BossToGift_GiftToNext_S10_01_Enemy'</v>
      </c>
      <c r="D13" s="1" t="str">
        <v>/Script/Engine.World'/Game/Levels/Maps/Labor/SubLevel/Labor_S10/L_Labor_BossToGift_GiftToNext_S10_01_Reward.L_Labor_BossToGift_GiftToNext_S10_01_Reward'</v>
      </c>
      <c r="E13" s="1">
        <v>10</v>
      </c>
      <c r="F13" s="29" t="str">
        <v>=("(9)")</v>
      </c>
      <c r="G13" s="1" t="str">
        <v>2</v>
      </c>
      <c r="H13" s="1" t="str">
        <v>4</v>
      </c>
    </row>
    <row r="14">
      <c r="A14" s="1">
        <v>12</v>
      </c>
      <c r="B14" s="1" t="str">
        <v>/Game/Levels/Maps/Labor/SubLevel/Labor_S11/L_Labor_NagY_PosX_S11_01.L_Labor_NagY_PosX_S11_01</v>
      </c>
      <c r="C14" s="1" t="str">
        <v>/Script/Engine.World'/Game/Levels/Maps/Labor/SubLevel/Labor_S11/L_Labor_NagY_PosX_S11_01_Enemy.L_Labor_NagY_PosX_S11_01_Enemy'</v>
      </c>
      <c r="D14" s="1" t="str">
        <v>/Script/Engine.World'/Game/Levels/Maps/Labor/SubLevel/Labor_S11/L_Labor_NagY_PosX_S11_01_Reward.L_Labor_NagY_PosX_S11_01_Reward'</v>
      </c>
      <c r="E14" s="1">
        <v>11</v>
      </c>
      <c r="F14" s="29" t="str">
        <v>=("(1,2,3,4,5,6,7,8)")</v>
      </c>
      <c r="G14" s="1" t="str">
        <v>0</v>
      </c>
      <c r="H14" s="1" t="str">
        <v>3</v>
      </c>
    </row>
    <row r="15">
      <c r="A15" s="1" t="str"/>
      <c r="B15" s="30"/>
      <c r="C15" s="1"/>
      <c r="D15" s="1"/>
      <c r="E15" s="1"/>
      <c r="F15" s="29"/>
      <c r="G15" s="1"/>
      <c r="H15" s="1"/>
    </row>
    <row r="16">
      <c r="A16" s="1" t="str"/>
      <c r="B16" s="1"/>
      <c r="C16" s="1"/>
      <c r="D16" s="1"/>
      <c r="E16" s="1"/>
      <c r="F16" s="29"/>
      <c r="G16" s="1"/>
      <c r="H16" s="1"/>
    </row>
    <row r="17">
      <c r="A17" s="1" t="str"/>
      <c r="B17" s="1"/>
      <c r="C17" s="1"/>
      <c r="D17" s="1"/>
      <c r="E17" s="1"/>
      <c r="F17" s="29"/>
      <c r="G17" s="1"/>
      <c r="H17" s="1"/>
    </row>
    <row r="18">
      <c r="A18" s="1" t="str"/>
      <c r="B18" s="1"/>
      <c r="C18" s="1"/>
      <c r="D18" s="1"/>
      <c r="E18" s="1"/>
      <c r="F18" s="29"/>
      <c r="G18" s="1"/>
      <c r="H18" s="1"/>
    </row>
    <row r="19">
      <c r="A19" s="1" t="str"/>
      <c r="B19" s="1"/>
      <c r="C19" s="1"/>
      <c r="D19" s="1"/>
      <c r="E19" s="1"/>
      <c r="F19" s="29"/>
      <c r="G19" s="1"/>
      <c r="H19" s="1"/>
    </row>
    <row r="20">
      <c r="A20" s="1" t="str"/>
      <c r="B20" s="1"/>
      <c r="C20" s="1"/>
      <c r="D20" s="1"/>
      <c r="E20" s="1"/>
      <c r="F20" s="29"/>
      <c r="G20" s="1"/>
      <c r="H20" s="1"/>
    </row>
    <row r="21">
      <c r="A21" s="1" t="str"/>
      <c r="B21" s="1"/>
      <c r="C21" s="1"/>
      <c r="D21" s="1"/>
      <c r="E21" s="1"/>
      <c r="F21" s="29"/>
      <c r="G21" s="1"/>
      <c r="H21" s="1"/>
    </row>
    <row r="22">
      <c r="A22" s="1" t="str"/>
      <c r="B22" s="1"/>
      <c r="C22" s="1"/>
      <c r="D22" s="1"/>
      <c r="E22" s="1"/>
      <c r="F22" s="29"/>
      <c r="G22" s="1"/>
      <c r="H22" s="1"/>
    </row>
    <row r="23">
      <c r="A23" s="1" t="str"/>
      <c r="B23" s="1"/>
      <c r="C23" s="1"/>
      <c r="D23" s="1"/>
      <c r="E23" s="1"/>
      <c r="F23" s="29"/>
      <c r="G23" s="1"/>
      <c r="H23" s="1"/>
    </row>
    <row r="24">
      <c r="A24" s="1" t="str"/>
      <c r="B24" s="1"/>
      <c r="C24" s="1"/>
      <c r="D24" s="1"/>
      <c r="E24" s="1"/>
      <c r="F24" s="29"/>
      <c r="G24" s="1"/>
      <c r="H24" s="1"/>
    </row>
    <row r="25">
      <c r="A25" s="1" t="str"/>
      <c r="B25" s="1"/>
      <c r="C25" s="1"/>
      <c r="D25" s="1"/>
      <c r="E25" s="1"/>
      <c r="F25" s="29"/>
      <c r="G25" s="1"/>
      <c r="H25" s="1"/>
    </row>
    <row r="26">
      <c r="A26" s="1" t="str"/>
      <c r="B26" s="1"/>
      <c r="C26" s="1"/>
      <c r="D26" s="1"/>
      <c r="E26" s="1"/>
      <c r="F26" s="29"/>
      <c r="G26" s="1"/>
      <c r="H26" s="1"/>
    </row>
    <row r="27">
      <c r="A27" s="1" t="str"/>
      <c r="B27" s="1"/>
      <c r="C27" s="1"/>
      <c r="D27" s="1"/>
      <c r="E27" s="1"/>
      <c r="F27" s="29"/>
      <c r="G27" s="1"/>
      <c r="H27" s="1"/>
    </row>
    <row r="28">
      <c r="A28" s="1" t="str"/>
      <c r="B28" s="1"/>
      <c r="C28" s="1"/>
      <c r="D28" s="1"/>
      <c r="E28" s="1"/>
      <c r="F28" s="29"/>
      <c r="G28" s="1"/>
      <c r="H28" s="1"/>
    </row>
    <row r="29">
      <c r="A29" s="1" t="str"/>
      <c r="B29" s="1"/>
      <c r="C29" s="1"/>
      <c r="D29" s="1"/>
      <c r="E29" s="1"/>
      <c r="F29" s="29"/>
      <c r="G29" s="1"/>
      <c r="H29" s="1"/>
    </row>
    <row r="30">
      <c r="A30" s="1" t="str"/>
      <c r="B30" s="1"/>
      <c r="C30" s="1"/>
      <c r="D30" s="1"/>
      <c r="E30" s="1"/>
      <c r="F30" s="29"/>
      <c r="G30" s="1"/>
      <c r="H30" s="1"/>
    </row>
    <row r="31">
      <c r="A31" s="1" t="str"/>
      <c r="B31" s="1"/>
      <c r="C31" s="1"/>
      <c r="D31" s="1"/>
      <c r="E31" s="1"/>
      <c r="F31" s="29"/>
      <c r="G31" s="1"/>
      <c r="H31" s="1"/>
    </row>
    <row r="32">
      <c r="A32" s="1" t="str"/>
      <c r="B32" s="1"/>
      <c r="C32" s="1"/>
      <c r="D32" s="1"/>
      <c r="E32" s="1"/>
      <c r="F32" s="29"/>
      <c r="G32" s="1"/>
      <c r="H32" s="1"/>
    </row>
    <row r="33">
      <c r="A33" s="1" t="str"/>
      <c r="B33" s="1"/>
      <c r="C33" s="1"/>
      <c r="D33" s="1"/>
      <c r="E33" s="1"/>
      <c r="F33" s="29"/>
      <c r="G33" s="1"/>
      <c r="H33" s="1"/>
    </row>
    <row r="34">
      <c r="A34" s="1" t="str"/>
      <c r="B34" s="1"/>
      <c r="C34" s="1"/>
      <c r="D34" s="1"/>
      <c r="E34" s="1"/>
      <c r="F34" s="29"/>
      <c r="G34" s="1"/>
      <c r="H34" s="1"/>
    </row>
    <row r="35">
      <c r="A35" s="1" t="str"/>
      <c r="B35" s="1"/>
      <c r="C35" s="1"/>
      <c r="D35" s="1"/>
      <c r="E35" s="1"/>
      <c r="F35" s="29"/>
      <c r="G35" s="1"/>
      <c r="H35" s="1"/>
    </row>
    <row r="36">
      <c r="A36" s="1" t="str"/>
      <c r="B36" s="1"/>
      <c r="C36" s="1"/>
      <c r="D36" s="1"/>
      <c r="E36" s="1"/>
      <c r="F36" s="29"/>
      <c r="G36" s="1"/>
      <c r="H36" s="1"/>
    </row>
    <row r="37">
      <c r="A37" s="1" t="str"/>
      <c r="B37" s="1"/>
      <c r="C37" s="1"/>
      <c r="D37" s="1"/>
      <c r="E37" s="1"/>
      <c r="F37" s="29"/>
      <c r="G37" s="1"/>
      <c r="H37" s="1"/>
    </row>
    <row r="38">
      <c r="A38" s="1" t="str"/>
      <c r="B38" s="1"/>
      <c r="C38" s="1"/>
      <c r="D38" s="1"/>
      <c r="E38" s="1"/>
      <c r="F38" s="29"/>
      <c r="G38" s="1"/>
      <c r="H38" s="1"/>
    </row>
    <row r="39">
      <c r="A39" s="1" t="str"/>
      <c r="B39" s="1"/>
      <c r="C39" s="1"/>
      <c r="D39" s="1"/>
      <c r="E39" s="1"/>
      <c r="F39" s="29"/>
      <c r="G39" s="1"/>
      <c r="H39" s="1"/>
    </row>
    <row r="40">
      <c r="A40" s="1" t="str"/>
      <c r="B40" s="1"/>
      <c r="C40" s="1"/>
      <c r="D40" s="1"/>
      <c r="E40" s="1"/>
      <c r="F40" s="29"/>
      <c r="G40" s="1"/>
      <c r="H40" s="1"/>
    </row>
    <row r="41">
      <c r="A41" s="1" t="str"/>
      <c r="B41" s="1"/>
      <c r="C41" s="1"/>
      <c r="D41" s="1"/>
      <c r="E41" s="1"/>
      <c r="F41" s="29"/>
      <c r="G41" s="1"/>
      <c r="H41" s="1"/>
    </row>
    <row r="42">
      <c r="A42" s="1" t="str"/>
      <c r="B42" s="1"/>
      <c r="C42" s="1"/>
      <c r="D42" s="1"/>
      <c r="E42" s="1"/>
      <c r="F42" s="29"/>
      <c r="G42" s="1"/>
      <c r="H42" s="1"/>
    </row>
    <row r="43">
      <c r="A43" s="1" t="str"/>
      <c r="B43" s="1"/>
      <c r="C43" s="1"/>
      <c r="D43" s="1"/>
      <c r="E43" s="1"/>
      <c r="F43" s="29"/>
      <c r="G43" s="1"/>
      <c r="H43" s="1"/>
    </row>
    <row r="44">
      <c r="A44" s="1" t="str"/>
      <c r="B44" s="1"/>
      <c r="C44" s="1"/>
      <c r="D44" s="1"/>
      <c r="E44" s="1"/>
      <c r="F44" s="29"/>
      <c r="G44" s="1"/>
      <c r="H44" s="1"/>
    </row>
    <row r="45">
      <c r="A45" s="1" t="str"/>
      <c r="B45" s="1"/>
      <c r="C45" s="1"/>
      <c r="D45" s="1"/>
      <c r="E45" s="1"/>
      <c r="F45" s="29"/>
      <c r="G45" s="1"/>
      <c r="H45" s="1"/>
    </row>
    <row r="46">
      <c r="A46" s="1" t="str"/>
      <c r="B46" s="1"/>
      <c r="C46" s="1"/>
      <c r="D46" s="1"/>
      <c r="E46" s="1"/>
      <c r="F46" s="29"/>
      <c r="G46" s="1"/>
      <c r="H46" s="1"/>
    </row>
    <row r="47">
      <c r="A47" s="1" t="str"/>
      <c r="B47" s="1"/>
      <c r="C47" s="1"/>
      <c r="D47" s="1"/>
      <c r="E47" s="1"/>
      <c r="F47" s="29"/>
      <c r="G47" s="1"/>
      <c r="H47" s="1"/>
    </row>
    <row r="48">
      <c r="A48" s="1" t="str"/>
      <c r="B48" s="1"/>
      <c r="C48" s="1"/>
      <c r="D48" s="1"/>
      <c r="E48" s="1"/>
      <c r="F48" s="29"/>
      <c r="G48" s="1"/>
      <c r="H48" s="1"/>
    </row>
    <row r="49">
      <c r="A49" s="1" t="str"/>
      <c r="B49" s="1"/>
      <c r="C49" s="1"/>
      <c r="D49" s="1"/>
      <c r="E49" s="1"/>
      <c r="F49" s="29"/>
      <c r="G49" s="1"/>
      <c r="H49" s="1"/>
    </row>
    <row r="50">
      <c r="A50" s="1" t="str"/>
      <c r="B50" s="1"/>
      <c r="C50" s="1"/>
      <c r="D50" s="1"/>
      <c r="E50" s="1"/>
      <c r="F50" s="29"/>
      <c r="G50" s="1"/>
      <c r="H50" s="1"/>
    </row>
    <row r="51">
      <c r="A51" s="1" t="str"/>
      <c r="B51" s="1"/>
      <c r="C51" s="1"/>
      <c r="D51" s="1"/>
      <c r="E51" s="1"/>
      <c r="F51" s="29"/>
      <c r="G51" s="1"/>
      <c r="H51" s="1"/>
    </row>
    <row r="52">
      <c r="A52" s="1" t="str"/>
      <c r="B52" s="1"/>
      <c r="C52" s="1"/>
      <c r="D52" s="1"/>
      <c r="E52" s="1"/>
      <c r="F52" s="29"/>
      <c r="G52" s="1"/>
      <c r="H52" s="1"/>
    </row>
    <row r="53">
      <c r="A53" s="1" t="str"/>
      <c r="B53" s="1"/>
      <c r="C53" s="1"/>
      <c r="D53" s="1"/>
      <c r="E53" s="1"/>
      <c r="F53" s="29"/>
      <c r="G53" s="1"/>
      <c r="H53" s="1"/>
    </row>
    <row r="54">
      <c r="A54" s="1" t="str"/>
      <c r="B54" s="1"/>
      <c r="C54" s="1"/>
      <c r="D54" s="1"/>
      <c r="E54" s="1"/>
      <c r="F54" s="29"/>
      <c r="G54" s="1"/>
      <c r="H54" s="1"/>
    </row>
    <row r="55">
      <c r="A55" s="1" t="str"/>
      <c r="B55" s="1"/>
      <c r="C55" s="1"/>
      <c r="D55" s="1"/>
      <c r="E55" s="1"/>
      <c r="F55" s="29"/>
      <c r="G55" s="1"/>
      <c r="H55" s="1"/>
    </row>
    <row r="56">
      <c r="A56" s="1" t="str"/>
      <c r="B56" s="1"/>
      <c r="C56" s="1"/>
      <c r="D56" s="1"/>
      <c r="E56" s="1"/>
      <c r="F56" s="29"/>
      <c r="G56" s="1"/>
      <c r="H56" s="1"/>
    </row>
    <row r="57">
      <c r="A57" s="1" t="str"/>
      <c r="B57" s="1"/>
      <c r="C57" s="1"/>
      <c r="D57" s="1"/>
      <c r="E57" s="1"/>
      <c r="F57" s="29"/>
      <c r="G57" s="1"/>
      <c r="H57" s="1"/>
    </row>
    <row r="58">
      <c r="A58" s="1" t="str"/>
      <c r="B58" s="1"/>
      <c r="C58" s="1"/>
      <c r="D58" s="1"/>
      <c r="E58" s="1"/>
      <c r="F58" s="29"/>
      <c r="G58" s="1"/>
      <c r="H58" s="1"/>
    </row>
    <row r="59">
      <c r="A59" s="1" t="str"/>
      <c r="B59" s="1"/>
      <c r="C59" s="1"/>
      <c r="D59" s="1"/>
      <c r="E59" s="1"/>
      <c r="F59" s="29"/>
      <c r="G59" s="1"/>
      <c r="H59" s="1"/>
    </row>
    <row r="60">
      <c r="A60" s="1" t="str"/>
      <c r="B60" s="1"/>
      <c r="C60" s="1"/>
      <c r="D60" s="1"/>
      <c r="E60" s="1"/>
      <c r="F60" s="29"/>
      <c r="G60" s="1"/>
      <c r="H60" s="1"/>
    </row>
    <row r="61">
      <c r="A61" s="1" t="str"/>
      <c r="B61" s="1"/>
      <c r="C61" s="1"/>
      <c r="D61" s="1"/>
      <c r="E61" s="1"/>
      <c r="F61" s="29"/>
      <c r="G61" s="1"/>
      <c r="H61" s="1"/>
    </row>
    <row r="62">
      <c r="A62" s="1" t="str"/>
      <c r="B62" s="1"/>
      <c r="C62" s="1"/>
      <c r="D62" s="1"/>
      <c r="E62" s="1"/>
      <c r="F62" s="29"/>
      <c r="G62" s="1"/>
      <c r="H62" s="1"/>
    </row>
    <row r="63">
      <c r="A63" s="1" t="str"/>
      <c r="B63" s="1"/>
      <c r="C63" s="1"/>
      <c r="D63" s="1"/>
      <c r="E63" s="1"/>
      <c r="F63" s="29"/>
      <c r="G63" s="1"/>
      <c r="H63" s="1"/>
    </row>
    <row r="64">
      <c r="A64" s="1" t="str"/>
      <c r="B64" s="1"/>
      <c r="C64" s="1"/>
      <c r="D64" s="1"/>
      <c r="E64" s="1"/>
      <c r="F64" s="29"/>
      <c r="G64" s="1"/>
      <c r="H64" s="1"/>
    </row>
    <row r="65">
      <c r="A65" s="1" t="str"/>
      <c r="B65" s="1"/>
      <c r="C65" s="1"/>
      <c r="D65" s="1"/>
      <c r="E65" s="1"/>
      <c r="F65" s="29"/>
      <c r="G65" s="1"/>
      <c r="H65" s="1"/>
    </row>
    <row r="66">
      <c r="A66" s="1" t="str"/>
      <c r="B66" s="1"/>
      <c r="C66" s="1"/>
      <c r="D66" s="1"/>
      <c r="E66" s="1"/>
      <c r="F66" s="29"/>
      <c r="G66" s="1"/>
      <c r="H66" s="1"/>
    </row>
    <row r="67">
      <c r="A67" s="1" t="str"/>
      <c r="B67" s="1"/>
      <c r="C67" s="1"/>
      <c r="D67" s="1"/>
      <c r="E67" s="1"/>
      <c r="F67" s="29"/>
      <c r="G67" s="1"/>
      <c r="H67" s="1"/>
    </row>
    <row r="68">
      <c r="A68" s="1" t="str"/>
      <c r="B68" s="1"/>
      <c r="C68" s="1"/>
      <c r="D68" s="1"/>
      <c r="E68" s="1"/>
      <c r="F68" s="29"/>
      <c r="G68" s="1"/>
      <c r="H68" s="1"/>
    </row>
    <row r="69">
      <c r="A69" s="1" t="str"/>
      <c r="B69" s="1"/>
      <c r="C69" s="1"/>
      <c r="D69" s="1"/>
      <c r="E69" s="1"/>
      <c r="F69" s="29"/>
      <c r="G69" s="1"/>
      <c r="H69" s="1"/>
    </row>
    <row r="70">
      <c r="A70" s="1" t="str"/>
      <c r="B70" s="1"/>
      <c r="C70" s="1"/>
      <c r="D70" s="1"/>
      <c r="E70" s="1"/>
      <c r="F70" s="29"/>
      <c r="G70" s="1"/>
      <c r="H70" s="1"/>
    </row>
    <row r="71">
      <c r="A71" s="1" t="str"/>
      <c r="B71" s="1"/>
      <c r="C71" s="1"/>
      <c r="D71" s="1"/>
      <c r="E71" s="1"/>
      <c r="F71" s="29"/>
      <c r="G71" s="1"/>
      <c r="H71" s="1"/>
    </row>
    <row r="72">
      <c r="A72" s="1" t="str"/>
      <c r="B72" s="1"/>
      <c r="C72" s="1"/>
      <c r="D72" s="1"/>
      <c r="E72" s="1"/>
      <c r="F72" s="29"/>
      <c r="G72" s="1"/>
      <c r="H72" s="1"/>
    </row>
    <row r="73">
      <c r="A73" s="1" t="str"/>
      <c r="B73" s="1"/>
      <c r="C73" s="1"/>
      <c r="D73" s="1"/>
      <c r="E73" s="1"/>
      <c r="F73" s="29"/>
      <c r="G73" s="1"/>
      <c r="H73" s="1"/>
    </row>
    <row r="74">
      <c r="A74" s="1" t="str"/>
      <c r="B74" s="1"/>
      <c r="C74" s="1"/>
      <c r="D74" s="1"/>
      <c r="E74" s="1"/>
      <c r="F74" s="29"/>
      <c r="G74" s="1"/>
      <c r="H74" s="1"/>
    </row>
    <row r="75">
      <c r="A75" s="1" t="str"/>
      <c r="B75" s="1"/>
      <c r="C75" s="1"/>
      <c r="D75" s="1"/>
      <c r="E75" s="1"/>
      <c r="F75" s="29"/>
      <c r="G75" s="1"/>
      <c r="H75" s="1"/>
    </row>
    <row r="76">
      <c r="A76" s="1" t="str"/>
      <c r="B76" s="1"/>
      <c r="C76" s="1"/>
      <c r="D76" s="1"/>
      <c r="E76" s="1"/>
      <c r="F76" s="29"/>
      <c r="G76" s="1"/>
      <c r="H76" s="1"/>
    </row>
    <row r="77">
      <c r="A77" s="1" t="str"/>
      <c r="B77" s="1"/>
      <c r="C77" s="1"/>
      <c r="D77" s="1"/>
      <c r="E77" s="1"/>
      <c r="F77" s="29"/>
      <c r="G77" s="1"/>
      <c r="H77" s="1"/>
    </row>
    <row r="78">
      <c r="A78" s="1" t="str"/>
      <c r="B78" s="1"/>
      <c r="C78" s="1"/>
      <c r="D78" s="1"/>
      <c r="E78" s="1"/>
      <c r="F78" s="29"/>
      <c r="G78" s="1"/>
      <c r="H78" s="1"/>
    </row>
    <row r="79">
      <c r="A79" s="1" t="str"/>
      <c r="B79" s="1"/>
      <c r="C79" s="1"/>
      <c r="D79" s="1"/>
      <c r="E79" s="1"/>
      <c r="F79" s="29"/>
      <c r="G79" s="1"/>
      <c r="H79" s="1"/>
    </row>
    <row r="80">
      <c r="A80" s="1" t="str"/>
      <c r="B80" s="1"/>
      <c r="C80" s="1"/>
      <c r="D80" s="1"/>
      <c r="E80" s="1"/>
      <c r="F80" s="29"/>
      <c r="G80" s="1"/>
      <c r="H80" s="1"/>
    </row>
    <row r="81">
      <c r="A81" s="1" t="str"/>
      <c r="B81" s="1"/>
      <c r="C81" s="1"/>
      <c r="D81" s="1"/>
      <c r="E81" s="1"/>
      <c r="F81" s="29"/>
      <c r="G81" s="1"/>
      <c r="H81" s="1"/>
    </row>
    <row r="82">
      <c r="A82" s="1" t="str"/>
      <c r="B82" s="1"/>
      <c r="C82" s="1"/>
      <c r="D82" s="1"/>
      <c r="E82" s="1"/>
      <c r="F82" s="29"/>
      <c r="G82" s="1"/>
      <c r="H82" s="1"/>
    </row>
    <row r="83">
      <c r="A83" s="1" t="str"/>
      <c r="B83" s="1"/>
      <c r="C83" s="1"/>
      <c r="D83" s="1"/>
      <c r="E83" s="1"/>
      <c r="F83" s="29"/>
      <c r="G83" s="1"/>
      <c r="H83" s="1"/>
    </row>
    <row r="84">
      <c r="A84" s="1" t="str"/>
      <c r="B84" s="1"/>
      <c r="C84" s="1"/>
      <c r="D84" s="1"/>
      <c r="E84" s="1"/>
      <c r="F84" s="29"/>
      <c r="G84" s="1"/>
      <c r="H84" s="1"/>
    </row>
    <row r="85">
      <c r="A85" s="1" t="str"/>
      <c r="B85" s="1"/>
      <c r="C85" s="1"/>
      <c r="D85" s="1"/>
      <c r="E85" s="1"/>
      <c r="F85" s="29"/>
      <c r="G85" s="1"/>
      <c r="H85" s="1"/>
    </row>
    <row r="86">
      <c r="A86" s="1" t="str"/>
      <c r="B86" s="1"/>
      <c r="C86" s="1"/>
      <c r="D86" s="1"/>
      <c r="E86" s="1"/>
      <c r="F86" s="29"/>
      <c r="G86" s="1"/>
      <c r="H86" s="1"/>
    </row>
    <row r="87">
      <c r="A87" s="1" t="str"/>
      <c r="B87" s="1"/>
      <c r="C87" s="1"/>
      <c r="D87" s="1"/>
      <c r="E87" s="1"/>
      <c r="F87" s="29"/>
      <c r="G87" s="1"/>
      <c r="H87" s="1"/>
    </row>
    <row r="88">
      <c r="A88" s="1" t="str"/>
      <c r="B88" s="1"/>
      <c r="C88" s="1"/>
      <c r="D88" s="1"/>
      <c r="E88" s="1"/>
      <c r="F88" s="29"/>
      <c r="G88" s="1"/>
      <c r="H88" s="1"/>
    </row>
    <row r="89">
      <c r="A89" s="1" t="str"/>
      <c r="B89" s="1"/>
      <c r="C89" s="1"/>
      <c r="D89" s="1"/>
      <c r="E89" s="1"/>
      <c r="F89" s="29"/>
      <c r="G89" s="1"/>
      <c r="H89" s="1"/>
    </row>
    <row r="90">
      <c r="A90" s="1" t="str"/>
      <c r="B90" s="1"/>
      <c r="C90" s="1"/>
      <c r="D90" s="1"/>
      <c r="E90" s="1"/>
      <c r="F90" s="29"/>
      <c r="G90" s="1"/>
      <c r="H90" s="1"/>
    </row>
    <row r="91">
      <c r="A91" s="1" t="str"/>
      <c r="B91" s="1"/>
      <c r="C91" s="1"/>
      <c r="D91" s="1"/>
      <c r="E91" s="1"/>
      <c r="F91" s="29"/>
      <c r="G91" s="1"/>
      <c r="H91" s="1"/>
    </row>
    <row r="92">
      <c r="A92" s="1" t="str"/>
      <c r="B92" s="1"/>
      <c r="C92" s="1"/>
      <c r="D92" s="1"/>
      <c r="E92" s="1"/>
      <c r="F92" s="29"/>
      <c r="G92" s="1"/>
      <c r="H92" s="1"/>
    </row>
    <row r="93">
      <c r="A93" s="1" t="str"/>
      <c r="B93" s="1"/>
      <c r="C93" s="1"/>
      <c r="D93" s="1"/>
      <c r="E93" s="1"/>
      <c r="F93" s="29"/>
      <c r="G93" s="1"/>
      <c r="H93" s="1"/>
    </row>
    <row r="94">
      <c r="A94" s="1" t="str"/>
      <c r="B94" s="1"/>
      <c r="C94" s="1"/>
      <c r="D94" s="1"/>
      <c r="E94" s="1"/>
      <c r="F94" s="29"/>
      <c r="G94" s="1"/>
      <c r="H94" s="1"/>
    </row>
    <row r="95">
      <c r="A95" s="1" t="str"/>
      <c r="B95" s="1"/>
      <c r="C95" s="1"/>
      <c r="D95" s="1"/>
      <c r="E95" s="1"/>
      <c r="F95" s="29"/>
      <c r="G95" s="1"/>
      <c r="H95" s="1"/>
    </row>
    <row r="96">
      <c r="A96" s="1" t="str"/>
      <c r="B96" s="1"/>
      <c r="C96" s="1"/>
      <c r="D96" s="1"/>
      <c r="E96" s="1"/>
      <c r="F96" s="29"/>
      <c r="G96" s="1"/>
      <c r="H96" s="1"/>
    </row>
    <row r="97">
      <c r="A97" s="1" t="str"/>
      <c r="B97" s="1"/>
      <c r="C97" s="1"/>
      <c r="D97" s="1"/>
      <c r="E97" s="1"/>
      <c r="F97" s="29"/>
      <c r="G97" s="1"/>
      <c r="H97" s="1"/>
    </row>
    <row r="98">
      <c r="A98" s="1" t="str"/>
      <c r="B98" s="1"/>
      <c r="C98" s="1"/>
      <c r="D98" s="1"/>
      <c r="E98" s="1"/>
      <c r="F98" s="29"/>
      <c r="G98" s="1"/>
      <c r="H98" s="1"/>
    </row>
    <row r="99">
      <c r="A99" s="1" t="str"/>
      <c r="B99" s="1"/>
      <c r="C99" s="1"/>
      <c r="D99" s="1"/>
      <c r="E99" s="1"/>
      <c r="F99" s="29"/>
      <c r="G99" s="1"/>
      <c r="H99" s="1"/>
    </row>
    <row r="100">
      <c r="A100" s="1" t="str"/>
      <c r="B100" s="1"/>
      <c r="C100" s="1"/>
      <c r="D100" s="1"/>
      <c r="E100" s="1"/>
      <c r="F100" s="29"/>
      <c r="G100" s="1"/>
      <c r="H100" s="1"/>
    </row>
    <row r="101">
      <c r="A101" s="1" t="str"/>
      <c r="B101" s="1"/>
      <c r="C101" s="1"/>
      <c r="D101" s="1"/>
      <c r="E101" s="1"/>
      <c r="F101" s="29"/>
      <c r="G101" s="1"/>
      <c r="H101" s="1"/>
    </row>
    <row r="102">
      <c r="A102" s="1" t="str"/>
      <c r="B102" s="1"/>
      <c r="C102" s="1"/>
      <c r="D102" s="1"/>
      <c r="E102" s="1"/>
      <c r="F102" s="29"/>
      <c r="G102" s="1"/>
      <c r="H102" s="1"/>
    </row>
    <row r="103">
      <c r="A103" s="1" t="str"/>
      <c r="B103" s="1"/>
      <c r="C103" s="1"/>
      <c r="D103" s="1"/>
      <c r="E103" s="1"/>
      <c r="F103" s="29"/>
      <c r="G103" s="1"/>
      <c r="H103" s="1"/>
    </row>
    <row r="104">
      <c r="A104" s="1" t="str"/>
      <c r="B104" s="1"/>
      <c r="C104" s="1"/>
      <c r="D104" s="1"/>
      <c r="E104" s="1"/>
      <c r="F104" s="29"/>
      <c r="G104" s="1"/>
      <c r="H104" s="1"/>
    </row>
    <row r="105">
      <c r="A105" s="1" t="str"/>
      <c r="B105" s="1"/>
      <c r="C105" s="1"/>
      <c r="D105" s="1"/>
      <c r="E105" s="1"/>
      <c r="F105" s="29"/>
      <c r="G105" s="1"/>
      <c r="H105" s="1"/>
    </row>
    <row r="106">
      <c r="A106" s="1" t="str"/>
      <c r="B106" s="1"/>
      <c r="C106" s="1"/>
      <c r="D106" s="1"/>
      <c r="E106" s="1"/>
      <c r="F106" s="29"/>
      <c r="G106" s="1"/>
      <c r="H106" s="1"/>
    </row>
    <row r="107">
      <c r="A107" s="1" t="str"/>
      <c r="B107" s="1"/>
      <c r="C107" s="1"/>
      <c r="D107" s="1"/>
      <c r="E107" s="1"/>
      <c r="F107" s="29"/>
      <c r="G107" s="1"/>
      <c r="H107" s="1"/>
    </row>
    <row r="108">
      <c r="A108" s="1" t="str"/>
      <c r="B108" s="1"/>
      <c r="C108" s="1"/>
      <c r="D108" s="1"/>
      <c r="E108" s="1"/>
      <c r="F108" s="29"/>
      <c r="G108" s="1"/>
      <c r="H108" s="1"/>
    </row>
    <row r="109">
      <c r="A109" s="1" t="str"/>
      <c r="B109" s="1"/>
      <c r="C109" s="1"/>
      <c r="D109" s="1"/>
      <c r="E109" s="1"/>
      <c r="F109" s="29"/>
      <c r="G109" s="1"/>
      <c r="H109" s="1"/>
    </row>
    <row r="110">
      <c r="A110" s="1" t="str"/>
      <c r="B110" s="1"/>
      <c r="C110" s="1"/>
      <c r="D110" s="1"/>
      <c r="E110" s="1"/>
      <c r="F110" s="29"/>
      <c r="G110" s="1"/>
      <c r="H110" s="1"/>
    </row>
    <row r="111">
      <c r="A111" s="1" t="str"/>
      <c r="B111" s="1"/>
      <c r="C111" s="1"/>
      <c r="D111" s="1"/>
      <c r="E111" s="1"/>
      <c r="F111" s="29"/>
      <c r="G111" s="1"/>
      <c r="H111" s="1"/>
    </row>
    <row r="112">
      <c r="A112" s="1" t="str"/>
      <c r="B112" s="1"/>
      <c r="C112" s="1"/>
      <c r="D112" s="1"/>
      <c r="E112" s="1"/>
      <c r="F112" s="29"/>
      <c r="G112" s="1"/>
      <c r="H112" s="1"/>
    </row>
    <row r="113">
      <c r="A113" s="1" t="str"/>
      <c r="B113" s="1"/>
      <c r="C113" s="1"/>
      <c r="D113" s="1"/>
      <c r="E113" s="1"/>
      <c r="F113" s="29"/>
      <c r="G113" s="1"/>
      <c r="H113" s="1"/>
    </row>
    <row r="114">
      <c r="A114" s="1" t="str"/>
      <c r="B114" s="1"/>
      <c r="C114" s="1"/>
      <c r="D114" s="1"/>
      <c r="E114" s="1"/>
      <c r="F114" s="29"/>
      <c r="G114" s="1"/>
      <c r="H114" s="1"/>
    </row>
    <row r="115">
      <c r="A115" s="1" t="str"/>
      <c r="B115" s="1"/>
      <c r="C115" s="1"/>
      <c r="D115" s="1"/>
      <c r="E115" s="1"/>
      <c r="F115" s="29"/>
      <c r="G115" s="1"/>
      <c r="H115" s="1"/>
    </row>
    <row r="116">
      <c r="A116" s="1" t="str"/>
      <c r="B116" s="1"/>
      <c r="C116" s="1"/>
      <c r="D116" s="1"/>
      <c r="E116" s="1"/>
      <c r="F116" s="29"/>
      <c r="G116" s="1"/>
      <c r="H116" s="1"/>
    </row>
    <row r="117">
      <c r="A117" s="1" t="str"/>
      <c r="B117" s="1"/>
      <c r="C117" s="1"/>
      <c r="D117" s="1"/>
      <c r="E117" s="1"/>
      <c r="F117" s="29"/>
      <c r="G117" s="1"/>
      <c r="H117" s="1"/>
    </row>
    <row r="118">
      <c r="A118" s="1" t="str"/>
      <c r="B118" s="1"/>
      <c r="C118" s="1"/>
      <c r="D118" s="1"/>
      <c r="E118" s="1"/>
      <c r="F118" s="29"/>
      <c r="G118" s="1"/>
      <c r="H118" s="1"/>
    </row>
    <row r="119">
      <c r="A119" s="1" t="str"/>
      <c r="B119" s="1"/>
      <c r="C119" s="1"/>
      <c r="D119" s="1"/>
      <c r="E119" s="1"/>
      <c r="F119" s="29"/>
      <c r="G119" s="1"/>
      <c r="H119" s="1"/>
    </row>
    <row r="120">
      <c r="A120" s="1" t="str"/>
      <c r="B120" s="1"/>
      <c r="C120" s="1"/>
      <c r="D120" s="1"/>
      <c r="E120" s="1"/>
      <c r="F120" s="29"/>
      <c r="G120" s="1"/>
      <c r="H120" s="1"/>
    </row>
    <row r="121">
      <c r="A121" s="1" t="str"/>
      <c r="B121" s="1"/>
      <c r="C121" s="1"/>
      <c r="D121" s="1"/>
      <c r="E121" s="1"/>
      <c r="F121" s="29"/>
      <c r="G121" s="1"/>
      <c r="H121" s="1"/>
    </row>
    <row r="122">
      <c r="A122" s="1" t="str"/>
      <c r="B122" s="1"/>
      <c r="C122" s="1"/>
      <c r="D122" s="1"/>
      <c r="E122" s="1"/>
      <c r="F122" s="29"/>
      <c r="G122" s="1"/>
      <c r="H122" s="1"/>
    </row>
    <row r="123">
      <c r="A123" s="1" t="str"/>
      <c r="B123" s="1"/>
      <c r="C123" s="1"/>
      <c r="D123" s="1"/>
      <c r="E123" s="1"/>
      <c r="F123" s="29"/>
      <c r="G123" s="1"/>
      <c r="H123" s="1"/>
    </row>
    <row r="124">
      <c r="A124" s="1" t="str"/>
      <c r="B124" s="1"/>
      <c r="C124" s="1"/>
      <c r="D124" s="1"/>
      <c r="E124" s="1"/>
      <c r="F124" s="29"/>
      <c r="G124" s="1"/>
      <c r="H124" s="1"/>
    </row>
    <row r="125">
      <c r="A125" s="1" t="str"/>
      <c r="B125" s="1"/>
      <c r="C125" s="1"/>
      <c r="D125" s="1"/>
      <c r="E125" s="1"/>
      <c r="F125" s="29"/>
      <c r="G125" s="1"/>
      <c r="H125" s="1"/>
    </row>
    <row r="126">
      <c r="A126" s="1" t="str"/>
      <c r="B126" s="1"/>
      <c r="C126" s="1"/>
      <c r="D126" s="1"/>
      <c r="E126" s="1"/>
      <c r="F126" s="29"/>
      <c r="G126" s="1"/>
      <c r="H126" s="1"/>
    </row>
    <row r="127">
      <c r="A127" s="1" t="str"/>
      <c r="B127" s="1"/>
      <c r="C127" s="1"/>
      <c r="D127" s="1"/>
      <c r="E127" s="1"/>
      <c r="F127" s="29"/>
      <c r="G127" s="1"/>
      <c r="H127" s="1"/>
    </row>
    <row r="128">
      <c r="A128" s="1" t="str"/>
      <c r="B128" s="1"/>
      <c r="C128" s="1"/>
      <c r="D128" s="1"/>
      <c r="E128" s="1"/>
      <c r="F128" s="29"/>
      <c r="G128" s="1"/>
      <c r="H128" s="1"/>
    </row>
    <row r="129">
      <c r="A129" s="1" t="str"/>
      <c r="B129" s="1"/>
      <c r="C129" s="1"/>
      <c r="D129" s="1"/>
      <c r="E129" s="1"/>
      <c r="F129" s="29"/>
      <c r="G129" s="1"/>
      <c r="H129" s="1"/>
    </row>
    <row r="130">
      <c r="A130" s="1" t="str"/>
      <c r="B130" s="1"/>
      <c r="C130" s="1"/>
      <c r="D130" s="1"/>
      <c r="E130" s="1"/>
      <c r="F130" s="29"/>
      <c r="G130" s="1"/>
      <c r="H130" s="1"/>
    </row>
    <row r="131">
      <c r="A131" s="1" t="str"/>
      <c r="B131" s="1"/>
      <c r="C131" s="1"/>
      <c r="D131" s="1"/>
      <c r="E131" s="1"/>
      <c r="F131" s="29"/>
      <c r="G131" s="1"/>
      <c r="H131" s="1"/>
    </row>
    <row r="132">
      <c r="A132" s="1" t="str"/>
      <c r="B132" s="1"/>
      <c r="C132" s="1"/>
      <c r="D132" s="1"/>
      <c r="E132" s="1"/>
      <c r="F132" s="29"/>
      <c r="G132" s="1"/>
      <c r="H132" s="1"/>
    </row>
    <row r="133">
      <c r="A133" s="1" t="str"/>
      <c r="B133" s="1"/>
      <c r="C133" s="1"/>
      <c r="D133" s="1"/>
      <c r="E133" s="1"/>
      <c r="F133" s="29"/>
      <c r="G133" s="1"/>
      <c r="H133" s="1"/>
    </row>
    <row r="134">
      <c r="A134" s="1" t="str"/>
      <c r="B134" s="1"/>
      <c r="C134" s="1"/>
      <c r="D134" s="1"/>
      <c r="E134" s="1"/>
      <c r="F134" s="29"/>
      <c r="G134" s="1"/>
      <c r="H134" s="1"/>
    </row>
    <row r="135">
      <c r="A135" s="1" t="str"/>
      <c r="B135" s="1"/>
      <c r="C135" s="1"/>
      <c r="D135" s="1"/>
      <c r="E135" s="1"/>
      <c r="F135" s="29"/>
      <c r="G135" s="1"/>
      <c r="H135" s="1"/>
    </row>
    <row r="136">
      <c r="A136" s="1" t="str"/>
      <c r="B136" s="1"/>
      <c r="C136" s="1"/>
      <c r="D136" s="1"/>
      <c r="E136" s="1"/>
      <c r="F136" s="29"/>
      <c r="G136" s="1"/>
      <c r="H136" s="1"/>
    </row>
    <row r="137">
      <c r="A137" s="1" t="str"/>
      <c r="B137" s="1"/>
      <c r="C137" s="1"/>
      <c r="D137" s="1"/>
      <c r="E137" s="1"/>
      <c r="F137" s="29"/>
      <c r="G137" s="1"/>
      <c r="H137" s="1"/>
    </row>
    <row r="138">
      <c r="A138" s="1" t="str"/>
      <c r="B138" s="1"/>
      <c r="C138" s="1"/>
      <c r="D138" s="1"/>
      <c r="E138" s="1"/>
      <c r="F138" s="29"/>
      <c r="G138" s="1"/>
      <c r="H138" s="1"/>
    </row>
    <row r="139">
      <c r="A139" s="1" t="str"/>
      <c r="B139" s="1"/>
      <c r="C139" s="1"/>
      <c r="D139" s="1"/>
      <c r="E139" s="1"/>
      <c r="F139" s="29"/>
      <c r="G139" s="1"/>
      <c r="H139" s="1"/>
    </row>
    <row r="140">
      <c r="A140" s="1" t="str"/>
      <c r="B140" s="1"/>
      <c r="C140" s="1"/>
      <c r="D140" s="1"/>
      <c r="E140" s="1"/>
      <c r="F140" s="29"/>
      <c r="G140" s="1"/>
      <c r="H140" s="1"/>
    </row>
    <row r="141">
      <c r="A141" s="1" t="str"/>
      <c r="B141" s="1"/>
      <c r="C141" s="1"/>
      <c r="D141" s="1"/>
      <c r="E141" s="1"/>
      <c r="F141" s="29"/>
      <c r="G141" s="1"/>
      <c r="H141" s="1"/>
    </row>
    <row r="142">
      <c r="A142" s="1" t="str"/>
      <c r="B142" s="1"/>
      <c r="C142" s="1"/>
      <c r="D142" s="1"/>
      <c r="E142" s="1"/>
      <c r="F142" s="29"/>
      <c r="G142" s="1"/>
      <c r="H142" s="1"/>
    </row>
    <row r="143">
      <c r="A143" s="1" t="str"/>
      <c r="B143" s="1"/>
      <c r="C143" s="1"/>
      <c r="D143" s="1"/>
      <c r="E143" s="1"/>
      <c r="F143" s="29"/>
      <c r="G143" s="1"/>
      <c r="H143" s="1"/>
    </row>
    <row r="144">
      <c r="A144" s="1" t="str"/>
      <c r="B144" s="1"/>
      <c r="C144" s="1"/>
      <c r="D144" s="1"/>
      <c r="E144" s="1"/>
      <c r="F144" s="29"/>
      <c r="G144" s="1"/>
      <c r="H144" s="1"/>
    </row>
    <row r="145">
      <c r="A145" s="1" t="str"/>
      <c r="B145" s="1"/>
      <c r="C145" s="1"/>
      <c r="D145" s="1"/>
      <c r="E145" s="1"/>
      <c r="F145" s="29"/>
      <c r="G145" s="1"/>
      <c r="H145" s="1"/>
    </row>
    <row r="146">
      <c r="A146" s="1" t="str"/>
      <c r="B146" s="1"/>
      <c r="C146" s="1"/>
      <c r="D146" s="1"/>
      <c r="E146" s="1"/>
      <c r="F146" s="29"/>
      <c r="G146" s="1"/>
      <c r="H146" s="1"/>
    </row>
    <row r="147">
      <c r="A147" s="1" t="str"/>
      <c r="B147" s="1"/>
      <c r="C147" s="1"/>
      <c r="D147" s="1"/>
      <c r="E147" s="1"/>
      <c r="F147" s="29"/>
      <c r="G147" s="1"/>
      <c r="H147" s="1"/>
    </row>
    <row r="148">
      <c r="A148" s="1" t="str"/>
      <c r="B148" s="1"/>
      <c r="C148" s="1"/>
      <c r="D148" s="1"/>
      <c r="E148" s="1"/>
      <c r="F148" s="29"/>
      <c r="G148" s="1"/>
      <c r="H148" s="1"/>
    </row>
    <row r="149">
      <c r="A149" s="1" t="str"/>
      <c r="B149" s="1"/>
      <c r="C149" s="1"/>
      <c r="D149" s="1"/>
      <c r="E149" s="1"/>
      <c r="F149" s="29"/>
      <c r="G149" s="1"/>
      <c r="H149" s="1"/>
    </row>
    <row r="150">
      <c r="A150" s="1" t="str"/>
      <c r="B150" s="1"/>
      <c r="C150" s="1"/>
      <c r="D150" s="1"/>
      <c r="E150" s="1"/>
      <c r="F150" s="29"/>
      <c r="G150" s="1"/>
      <c r="H150" s="1"/>
    </row>
    <row r="151">
      <c r="A151" s="1" t="str"/>
      <c r="B151" s="1"/>
      <c r="C151" s="1"/>
      <c r="D151" s="1"/>
      <c r="E151" s="1"/>
      <c r="F151" s="29"/>
      <c r="G151" s="1"/>
      <c r="H151" s="1"/>
    </row>
    <row r="152">
      <c r="A152" s="1" t="str"/>
      <c r="B152" s="1"/>
      <c r="C152" s="1"/>
      <c r="D152" s="1"/>
      <c r="E152" s="1"/>
      <c r="F152" s="29"/>
      <c r="G152" s="1"/>
      <c r="H152" s="1"/>
    </row>
    <row r="153">
      <c r="A153" s="1" t="str"/>
      <c r="B153" s="1"/>
      <c r="C153" s="1"/>
      <c r="D153" s="1"/>
      <c r="E153" s="1"/>
      <c r="F153" s="29"/>
      <c r="G153" s="1"/>
      <c r="H153" s="1"/>
    </row>
    <row r="154">
      <c r="A154" s="1" t="str"/>
      <c r="B154" s="1"/>
      <c r="C154" s="1"/>
      <c r="D154" s="1"/>
      <c r="E154" s="1"/>
      <c r="F154" s="29"/>
      <c r="G154" s="1"/>
      <c r="H154" s="1"/>
    </row>
    <row r="155">
      <c r="A155" s="1" t="str"/>
      <c r="B155" s="1"/>
      <c r="C155" s="1"/>
      <c r="D155" s="1"/>
      <c r="E155" s="1"/>
      <c r="F155" s="29"/>
      <c r="G155" s="1"/>
      <c r="H155" s="1"/>
    </row>
    <row r="156">
      <c r="A156" s="1" t="str"/>
      <c r="B156" s="1"/>
      <c r="C156" s="1"/>
      <c r="D156" s="1"/>
      <c r="E156" s="1"/>
      <c r="F156" s="29"/>
      <c r="G156" s="1"/>
      <c r="H156" s="1"/>
    </row>
    <row r="157">
      <c r="A157" s="1" t="str"/>
      <c r="B157" s="1"/>
      <c r="C157" s="1"/>
      <c r="D157" s="1"/>
      <c r="E157" s="1"/>
      <c r="F157" s="29"/>
      <c r="G157" s="1"/>
      <c r="H157" s="1"/>
    </row>
    <row r="158">
      <c r="A158" s="1" t="str"/>
      <c r="B158" s="1"/>
      <c r="C158" s="1"/>
      <c r="D158" s="1"/>
      <c r="E158" s="1"/>
      <c r="F158" s="29"/>
      <c r="G158" s="1"/>
      <c r="H158" s="1"/>
    </row>
    <row r="159">
      <c r="A159" s="1" t="str"/>
      <c r="B159" s="1"/>
      <c r="C159" s="1"/>
      <c r="D159" s="1"/>
      <c r="E159" s="1"/>
      <c r="F159" s="29"/>
      <c r="G159" s="1"/>
      <c r="H159" s="1"/>
    </row>
    <row r="160">
      <c r="A160" s="1" t="str"/>
      <c r="B160" s="1"/>
      <c r="C160" s="1"/>
      <c r="D160" s="1"/>
      <c r="E160" s="1"/>
      <c r="F160" s="29"/>
      <c r="G160" s="1"/>
      <c r="H160" s="1"/>
    </row>
    <row r="161">
      <c r="A161" s="1" t="str"/>
      <c r="B161" s="1"/>
      <c r="C161" s="1"/>
      <c r="D161" s="1"/>
      <c r="E161" s="1"/>
      <c r="F161" s="29"/>
      <c r="G161" s="1"/>
      <c r="H161" s="1"/>
    </row>
    <row r="162">
      <c r="A162" s="1" t="str"/>
      <c r="B162" s="1"/>
      <c r="C162" s="1"/>
      <c r="D162" s="1"/>
      <c r="E162" s="1"/>
      <c r="F162" s="29"/>
      <c r="G162" s="1"/>
      <c r="H162" s="1"/>
    </row>
    <row r="163">
      <c r="A163" s="1" t="str"/>
      <c r="B163" s="1"/>
      <c r="C163" s="1"/>
      <c r="D163" s="1"/>
      <c r="E163" s="1"/>
      <c r="F163" s="29"/>
      <c r="G163" s="1"/>
      <c r="H163" s="1"/>
    </row>
    <row r="164">
      <c r="A164" s="1" t="str"/>
      <c r="B164" s="1"/>
      <c r="C164" s="1"/>
      <c r="D164" s="1"/>
      <c r="E164" s="1"/>
      <c r="F164" s="29"/>
      <c r="G164" s="1"/>
      <c r="H164" s="1"/>
    </row>
    <row r="165">
      <c r="A165" s="1" t="str"/>
      <c r="B165" s="1"/>
      <c r="C165" s="1"/>
      <c r="D165" s="1"/>
      <c r="E165" s="1"/>
      <c r="F165" s="29"/>
      <c r="G165" s="1"/>
      <c r="H165" s="1"/>
    </row>
    <row r="166">
      <c r="A166" s="1" t="str"/>
      <c r="B166" s="1"/>
      <c r="C166" s="1"/>
      <c r="D166" s="1"/>
      <c r="E166" s="1"/>
      <c r="F166" s="29"/>
      <c r="G166" s="1"/>
      <c r="H166" s="1"/>
    </row>
    <row r="167">
      <c r="A167" s="1" t="str"/>
      <c r="B167" s="1"/>
      <c r="C167" s="1"/>
      <c r="D167" s="1"/>
      <c r="E167" s="1"/>
      <c r="F167" s="29"/>
      <c r="G167" s="1"/>
      <c r="H167" s="1"/>
    </row>
    <row r="168">
      <c r="A168" s="1" t="str"/>
      <c r="B168" s="1"/>
      <c r="C168" s="1"/>
      <c r="D168" s="1"/>
      <c r="E168" s="1"/>
      <c r="F168" s="29"/>
      <c r="G168" s="1"/>
      <c r="H168" s="1"/>
    </row>
    <row r="169">
      <c r="A169" s="1" t="str"/>
      <c r="B169" s="1"/>
      <c r="C169" s="1"/>
      <c r="D169" s="1"/>
      <c r="E169" s="1"/>
      <c r="F169" s="29"/>
      <c r="G169" s="1"/>
      <c r="H169" s="1"/>
    </row>
    <row r="170">
      <c r="A170" s="1" t="str"/>
      <c r="B170" s="1"/>
      <c r="C170" s="1"/>
      <c r="D170" s="1"/>
      <c r="E170" s="1"/>
      <c r="F170" s="29"/>
      <c r="G170" s="1"/>
      <c r="H170" s="1"/>
    </row>
    <row r="171">
      <c r="A171" s="1" t="str"/>
      <c r="B171" s="1"/>
      <c r="C171" s="1"/>
      <c r="D171" s="1"/>
      <c r="E171" s="1"/>
      <c r="F171" s="29"/>
      <c r="G171" s="1"/>
      <c r="H171" s="1"/>
    </row>
    <row r="172">
      <c r="A172" s="1" t="str"/>
      <c r="B172" s="1"/>
      <c r="C172" s="1"/>
      <c r="D172" s="1"/>
      <c r="E172" s="1"/>
      <c r="F172" s="29"/>
      <c r="G172" s="1"/>
      <c r="H172" s="1"/>
    </row>
    <row r="173">
      <c r="A173" s="1" t="str"/>
      <c r="B173" s="1"/>
      <c r="C173" s="1"/>
      <c r="D173" s="1"/>
      <c r="E173" s="1"/>
      <c r="F173" s="29"/>
      <c r="G173" s="1"/>
      <c r="H173" s="1"/>
    </row>
    <row r="174">
      <c r="A174" s="1" t="str"/>
      <c r="B174" s="1"/>
      <c r="C174" s="1"/>
      <c r="D174" s="1"/>
      <c r="E174" s="1"/>
      <c r="F174" s="29"/>
      <c r="G174" s="1"/>
      <c r="H174" s="1"/>
    </row>
    <row r="175">
      <c r="A175" s="1" t="str"/>
      <c r="B175" s="1"/>
      <c r="C175" s="1"/>
      <c r="D175" s="1"/>
      <c r="E175" s="1"/>
      <c r="F175" s="29"/>
      <c r="G175" s="1"/>
      <c r="H175" s="1"/>
    </row>
    <row r="176">
      <c r="A176" s="1" t="str"/>
      <c r="B176" s="1"/>
      <c r="C176" s="1"/>
      <c r="D176" s="1"/>
      <c r="E176" s="1"/>
      <c r="F176" s="29"/>
      <c r="G176" s="1"/>
      <c r="H176" s="1"/>
    </row>
    <row r="177">
      <c r="A177" s="1" t="str"/>
      <c r="B177" s="1"/>
      <c r="C177" s="1"/>
      <c r="D177" s="1"/>
      <c r="E177" s="1"/>
      <c r="F177" s="29"/>
      <c r="G177" s="1"/>
      <c r="H177" s="1"/>
    </row>
    <row r="178">
      <c r="A178" s="1" t="str"/>
      <c r="B178" s="1"/>
      <c r="C178" s="1"/>
      <c r="D178" s="1"/>
      <c r="E178" s="1"/>
      <c r="F178" s="29"/>
      <c r="G178" s="1"/>
      <c r="H178" s="1"/>
    </row>
    <row r="179">
      <c r="A179" s="1" t="str"/>
      <c r="B179" s="1"/>
      <c r="C179" s="1"/>
      <c r="D179" s="1"/>
      <c r="E179" s="1"/>
      <c r="F179" s="29"/>
      <c r="G179" s="1"/>
      <c r="H179" s="1"/>
    </row>
    <row r="180">
      <c r="A180" s="1" t="str"/>
      <c r="B180" s="1"/>
      <c r="C180" s="1"/>
      <c r="D180" s="1"/>
      <c r="E180" s="1"/>
      <c r="F180" s="29"/>
      <c r="G180" s="1"/>
      <c r="H180" s="1"/>
    </row>
    <row r="181">
      <c r="A181" s="1" t="str"/>
      <c r="B181" s="1"/>
      <c r="C181" s="1"/>
      <c r="D181" s="1"/>
      <c r="E181" s="1"/>
      <c r="F181" s="29"/>
      <c r="G181" s="1"/>
      <c r="H181" s="1"/>
    </row>
    <row r="182">
      <c r="A182" s="1" t="str"/>
      <c r="B182" s="1"/>
      <c r="C182" s="1"/>
      <c r="D182" s="1"/>
      <c r="E182" s="1"/>
      <c r="F182" s="29"/>
      <c r="G182" s="1"/>
      <c r="H182" s="1"/>
    </row>
    <row r="183">
      <c r="A183" s="1" t="str"/>
      <c r="B183" s="1"/>
      <c r="C183" s="1"/>
      <c r="D183" s="1"/>
      <c r="E183" s="1"/>
      <c r="F183" s="29"/>
      <c r="G183" s="1"/>
      <c r="H183" s="1"/>
    </row>
    <row r="184">
      <c r="A184" s="1" t="str"/>
      <c r="B184" s="1"/>
      <c r="C184" s="1"/>
      <c r="D184" s="1"/>
      <c r="E184" s="1"/>
      <c r="F184" s="29"/>
      <c r="G184" s="1"/>
      <c r="H184" s="1"/>
    </row>
    <row r="185">
      <c r="A185" s="1" t="str"/>
      <c r="B185" s="1"/>
      <c r="C185" s="1"/>
      <c r="D185" s="1"/>
      <c r="E185" s="1"/>
      <c r="F185" s="29"/>
      <c r="G185" s="1"/>
      <c r="H185" s="1"/>
    </row>
    <row r="186">
      <c r="A186" s="1" t="str"/>
      <c r="B186" s="1"/>
      <c r="C186" s="1"/>
      <c r="D186" s="1"/>
      <c r="E186" s="1"/>
      <c r="F186" s="29"/>
      <c r="G186" s="1"/>
      <c r="H186" s="1"/>
    </row>
    <row r="187">
      <c r="A187" s="1" t="str"/>
      <c r="B187" s="1"/>
      <c r="C187" s="1"/>
      <c r="D187" s="1"/>
      <c r="E187" s="1"/>
      <c r="F187" s="29"/>
      <c r="G187" s="1"/>
      <c r="H187" s="1"/>
    </row>
    <row r="188">
      <c r="A188" s="1" t="str"/>
      <c r="B188" s="1"/>
      <c r="C188" s="1"/>
      <c r="D188" s="1"/>
      <c r="E188" s="1"/>
      <c r="F188" s="29"/>
      <c r="G188" s="1"/>
      <c r="H188" s="1"/>
    </row>
    <row r="189">
      <c r="A189" s="1" t="str"/>
      <c r="B189" s="1"/>
      <c r="C189" s="1"/>
      <c r="D189" s="1"/>
      <c r="E189" s="1"/>
      <c r="F189" s="29"/>
      <c r="G189" s="1"/>
      <c r="H189" s="1"/>
    </row>
    <row r="190">
      <c r="A190" s="1" t="str"/>
      <c r="B190" s="1"/>
      <c r="C190" s="1"/>
      <c r="D190" s="1"/>
      <c r="E190" s="1"/>
      <c r="F190" s="29"/>
      <c r="G190" s="1"/>
      <c r="H190" s="1"/>
    </row>
    <row r="191">
      <c r="A191" s="1" t="str"/>
      <c r="B191" s="1"/>
      <c r="C191" s="1"/>
      <c r="D191" s="1"/>
      <c r="E191" s="1"/>
      <c r="F191" s="29"/>
      <c r="G191" s="1"/>
      <c r="H191" s="1"/>
    </row>
    <row r="192">
      <c r="A192" s="1" t="str"/>
      <c r="B192" s="1"/>
      <c r="C192" s="1"/>
      <c r="D192" s="1"/>
      <c r="E192" s="1"/>
      <c r="F192" s="29"/>
      <c r="G192" s="1"/>
      <c r="H192" s="1"/>
    </row>
    <row r="193">
      <c r="A193" s="1" t="str"/>
      <c r="B193" s="1"/>
      <c r="C193" s="1"/>
      <c r="D193" s="1"/>
      <c r="E193" s="1"/>
      <c r="F193" s="29"/>
      <c r="G193" s="1"/>
      <c r="H193" s="1"/>
    </row>
    <row r="194">
      <c r="A194" s="1" t="str"/>
      <c r="B194" s="1"/>
      <c r="C194" s="1"/>
      <c r="D194" s="1"/>
      <c r="E194" s="1"/>
      <c r="F194" s="29"/>
      <c r="G194" s="1"/>
      <c r="H194" s="1"/>
    </row>
    <row r="195">
      <c r="A195" s="1" t="str"/>
      <c r="B195" s="1"/>
      <c r="C195" s="1"/>
      <c r="D195" s="1"/>
      <c r="E195" s="1"/>
      <c r="F195" s="29"/>
      <c r="G195" s="1"/>
      <c r="H195" s="1"/>
    </row>
    <row r="196">
      <c r="A196" s="1" t="str"/>
      <c r="B196" s="1"/>
      <c r="C196" s="1"/>
      <c r="D196" s="1"/>
      <c r="E196" s="1"/>
      <c r="F196" s="29"/>
      <c r="G196" s="1"/>
      <c r="H196" s="1"/>
    </row>
    <row r="197">
      <c r="A197" s="1" t="str"/>
      <c r="B197" s="1"/>
      <c r="C197" s="1"/>
      <c r="D197" s="1"/>
      <c r="E197" s="1"/>
      <c r="F197" s="29"/>
      <c r="G197" s="1"/>
      <c r="H197" s="1"/>
    </row>
    <row r="198">
      <c r="A198" s="1" t="str"/>
      <c r="B198" s="1"/>
      <c r="C198" s="1"/>
      <c r="D198" s="1"/>
      <c r="E198" s="1"/>
      <c r="F198" s="29"/>
      <c r="G198" s="1"/>
      <c r="H198" s="1"/>
    </row>
    <row r="199">
      <c r="A199" s="1" t="str"/>
      <c r="B199" s="1"/>
      <c r="C199" s="1"/>
      <c r="D199" s="1"/>
      <c r="E199" s="1"/>
      <c r="F199" s="29"/>
      <c r="G199" s="1"/>
      <c r="H199" s="1"/>
    </row>
    <row r="200">
      <c r="A200" s="1" t="str"/>
      <c r="B200" s="1"/>
      <c r="C200" s="1"/>
      <c r="D200" s="1"/>
      <c r="E200" s="1"/>
      <c r="F200" s="29"/>
      <c r="G200" s="1"/>
      <c r="H200" s="1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edafb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"/>
    <col collapsed="false" customWidth="true" hidden="false" max="3" min="3" style="0" width="7"/>
    <col collapsed="false" customWidth="true" hidden="false" max="4" min="4" style="0" width="1"/>
    <col collapsed="false" customWidth="true" hidden="false" max="5" min="5" style="0" width="7"/>
    <col collapsed="false" customWidth="true" hidden="false" max="6" min="6" style="0" width="4"/>
    <col collapsed="false" customWidth="true" hidden="false" max="7" min="7" style="0" width="8"/>
    <col collapsed="false" customWidth="true" hidden="false" max="8" min="8" style="0" width="2"/>
    <col collapsed="false" customWidth="true" hidden="false" max="9" min="9" style="0" width="7"/>
    <col collapsed="false" customWidth="true" hidden="false" max="10" min="10" style="0" width="4"/>
    <col collapsed="false" customWidth="true" hidden="false" max="11" min="11" style="0" width="7"/>
    <col collapsed="false" customWidth="true" hidden="false" max="12" min="12" style="0" width="1"/>
    <col collapsed="false" customWidth="true" hidden="false" max="13" min="13" style="0" width="4"/>
    <col collapsed="false" customWidth="true" hidden="false" max="14" min="14" style="0" width="4"/>
    <col collapsed="false" customWidth="true" hidden="false" max="15" min="15" style="0" width="7"/>
  </cols>
  <sheetData>
    <row r="1">
      <c r="A1" s="6" t="str">
        <v>组合</v>
      </c>
      <c r="B1" s="6" t="str">
        <v>统计</v>
      </c>
      <c r="C1" s="6" t="str">
        <v>占比</v>
      </c>
      <c r="D1" s="38" t="str" xml:space="preserve">
        <v> </v>
      </c>
      <c r="E1" s="38" t="str">
        <v>起点</v>
      </c>
      <c r="F1" s="38" t="str">
        <v>统计</v>
      </c>
      <c r="G1" s="38" t="str">
        <v>占比</v>
      </c>
      <c r="H1" s="38" t="str" xml:space="preserve">
        <v>  </v>
      </c>
      <c r="I1" s="38" t="str">
        <v>终点</v>
      </c>
      <c r="J1" s="38" t="str">
        <v>统计</v>
      </c>
      <c r="K1" s="38" t="str">
        <v>占比</v>
      </c>
      <c r="L1" s="38" t="str" xml:space="preserve">
        <v> </v>
      </c>
      <c r="M1" s="38" t="str">
        <v>区域</v>
      </c>
      <c r="N1" s="38" t="str">
        <v>统计</v>
      </c>
      <c r="O1" s="38" t="str">
        <v>占比</v>
      </c>
    </row>
    <row r="2">
      <c r="A2" s="32" t="str">
        <v>PosXPosX</v>
      </c>
      <c r="B2" s="1">
        <f>COUNTIFS('关卡程序命名'!T:T, A2, '关卡程序命名'!S:S, "DONE")</f>
      </c>
      <c r="C2" s="35">
        <f>B2/(SUM(B:B))</f>
      </c>
      <c r="D2" s="34"/>
      <c r="E2" s="2" t="str">
        <v>0_PosX</v>
      </c>
      <c r="F2" s="31">
        <f>COUNTIFS('关卡程序命名'!K:K,E2, '关卡程序命名'!S:S, "DONE")</f>
      </c>
      <c r="G2" s="34">
        <f>F2/(SUM(F:F))</f>
      </c>
      <c r="H2" s="34"/>
      <c r="I2" s="2" t="str">
        <v>0_PosX</v>
      </c>
      <c r="J2" s="31">
        <f>COUNTIFS('关卡程序命名'!N:N,I2, '关卡程序命名'!S:S, "DONE")</f>
      </c>
      <c r="K2" s="34">
        <f>J2/(SUM(J:J))</f>
      </c>
      <c r="L2" s="34"/>
      <c r="M2" s="33" t="str">
        <v>S01</v>
      </c>
      <c r="N2" s="31">
        <f>COUNTIFS('关卡程序命名'!I:I,M2, '关卡程序命名'!S:S, "DONE")</f>
      </c>
      <c r="O2" s="34">
        <f>N2/(SUM(N:N))</f>
      </c>
    </row>
    <row r="3">
      <c r="A3" s="32" t="s">
        <v>11</v>
      </c>
      <c r="B3" s="1">
        <f>COUNTIFS('关卡程序命名'!T:T, A3, '关卡程序命名'!S:S, "DONE")</f>
      </c>
      <c r="C3" s="35">
        <f>B3/(SUM(B:B))</f>
      </c>
      <c r="D3" s="34"/>
      <c r="E3" s="2" t="str">
        <v>1_NagX</v>
      </c>
      <c r="F3" s="31">
        <f>COUNTIFS('关卡程序命名'!K:K,E3, '关卡程序命名'!S:S, "DONE")</f>
      </c>
      <c r="G3" s="34">
        <f>F3/(SUM(F:F))</f>
      </c>
      <c r="H3" s="34"/>
      <c r="I3" s="2" t="str">
        <v>1_NagX</v>
      </c>
      <c r="J3" s="31">
        <f>COUNTIFS('关卡程序命名'!N:N,I3, '关卡程序命名'!S:S, "DONE")</f>
      </c>
      <c r="K3" s="34">
        <f>J3/(SUM(J:J))</f>
      </c>
      <c r="L3" s="34"/>
      <c r="M3" s="33" t="str">
        <v>S02</v>
      </c>
      <c r="N3" s="31">
        <f>COUNTIFS('关卡程序命名'!I:I,M3, '关卡程序命名'!S:S, "DONE")</f>
      </c>
      <c r="O3" s="34">
        <f>N3/(SUM(N:N))</f>
      </c>
    </row>
    <row r="4">
      <c r="A4" s="32" t="s">
        <v>7</v>
      </c>
      <c r="B4" s="1">
        <f>COUNTIFS('关卡程序命名'!T:T, A4, '关卡程序命名'!S:S, "DONE")</f>
      </c>
      <c r="C4" s="35">
        <f>B4/(SUM(B:B))</f>
      </c>
      <c r="D4" s="34"/>
      <c r="E4" s="2" t="str">
        <v>2_PosY</v>
      </c>
      <c r="F4" s="31">
        <f>COUNTIFS('关卡程序命名'!K:K,E4, '关卡程序命名'!S:S, "DONE")</f>
      </c>
      <c r="G4" s="34">
        <f>F4/(SUM(F:F))</f>
      </c>
      <c r="H4" s="34"/>
      <c r="I4" s="2" t="str">
        <v>2_PosY</v>
      </c>
      <c r="J4" s="31">
        <f>COUNTIFS('关卡程序命名'!N:N,I4, '关卡程序命名'!S:S, "DONE")</f>
      </c>
      <c r="K4" s="34">
        <f>J4/(SUM(J:J))</f>
      </c>
      <c r="L4" s="34"/>
      <c r="M4" s="33" t="str">
        <v>S03</v>
      </c>
      <c r="N4" s="31">
        <f>COUNTIFS('关卡程序命名'!I:I,M4, '关卡程序命名'!S:S, "DONE")</f>
      </c>
      <c r="O4" s="34">
        <f>N4/(SUM(N:N))</f>
      </c>
    </row>
    <row r="5">
      <c r="A5" s="32" t="s">
        <v>1</v>
      </c>
      <c r="B5" s="1">
        <f>COUNTIFS('关卡程序命名'!T:T, A5, '关卡程序命名'!S:S, "DONE")</f>
      </c>
      <c r="C5" s="35">
        <f>B5/(SUM(B:B))</f>
      </c>
      <c r="D5" s="34"/>
      <c r="E5" s="2" t="str">
        <v>3_NagY</v>
      </c>
      <c r="F5" s="31">
        <f>COUNTIFS('关卡程序命名'!K:K,E5, '关卡程序命名'!S:S, "DONE")</f>
      </c>
      <c r="G5" s="34">
        <f>F5/(SUM(F:F))</f>
      </c>
      <c r="H5" s="34"/>
      <c r="I5" s="2" t="str">
        <v>3_NagY</v>
      </c>
      <c r="J5" s="31">
        <f>COUNTIFS('关卡程序命名'!N:N,I5, '关卡程序命名'!S:S, "DONE")</f>
      </c>
      <c r="K5" s="34">
        <f>J5/(SUM(J:J))</f>
      </c>
      <c r="L5" s="34"/>
      <c r="M5" s="33" t="str">
        <v>S04</v>
      </c>
      <c r="N5" s="31">
        <f>COUNTIFS('关卡程序命名'!I:I,M5, '关卡程序命名'!S:S, "DONE")</f>
      </c>
      <c r="O5" s="34">
        <f>N5/(SUM(N:N))</f>
      </c>
    </row>
    <row r="6">
      <c r="A6" s="36" t="s">
        <v>12</v>
      </c>
      <c r="B6" s="1">
        <f>COUNTIFS('关卡程序命名'!T:T, A6, '关卡程序命名'!S:S, "DONE")</f>
      </c>
      <c r="C6" s="35">
        <f>B6/(SUM(B:B))</f>
      </c>
      <c r="D6" s="34"/>
      <c r="E6" s="2" t="str">
        <v>0_Initial</v>
      </c>
      <c r="F6" s="31">
        <f>COUNTIFS('关卡程序命名'!K:K,E6, '关卡程序命名'!S:S, "DONE")</f>
      </c>
      <c r="G6" s="34">
        <f>F6/(SUM(F:F))</f>
      </c>
      <c r="L6" s="34"/>
      <c r="M6" s="33" t="str">
        <v>S05</v>
      </c>
      <c r="N6" s="31">
        <f>COUNTIFS('关卡程序命名'!I:I,M6, '关卡程序命名'!S:S, "DONE")</f>
      </c>
      <c r="O6" s="34">
        <f>N6/(SUM(N:N))</f>
      </c>
    </row>
    <row r="7">
      <c r="A7" s="36" t="s">
        <v>8</v>
      </c>
      <c r="B7" s="1">
        <f>COUNTIFS('关卡程序命名'!T:T, A7, '关卡程序命名'!S:S, "DONE")</f>
      </c>
      <c r="C7" s="35">
        <f>B7/(SUM(B:B))</f>
      </c>
      <c r="M7" s="33" t="str">
        <v>S06</v>
      </c>
      <c r="N7" s="31">
        <f>COUNTIFS('关卡程序命名'!I:I,M7, '关卡程序命名'!S:S, "DONE")</f>
      </c>
      <c r="O7" s="34">
        <f>N7/(SUM(N:N))</f>
      </c>
    </row>
    <row r="8">
      <c r="A8" s="36" t="s">
        <v>5</v>
      </c>
      <c r="B8" s="1">
        <f>COUNTIFS('关卡程序命名'!T:T, A8, '关卡程序命名'!S:S, "DONE")</f>
      </c>
      <c r="C8" s="35">
        <f>B8/(SUM(B:B))</f>
      </c>
      <c r="M8" s="33" t="str">
        <v>S07</v>
      </c>
      <c r="N8" s="31">
        <f>COUNTIFS('关卡程序命名'!I:I,M8, '关卡程序命名'!S:S, "DONE")</f>
      </c>
      <c r="O8" s="34">
        <f>N8/(SUM(N:N))</f>
      </c>
    </row>
    <row r="9">
      <c r="A9" s="36" t="s">
        <v>2</v>
      </c>
      <c r="B9" s="1">
        <f>COUNTIFS('关卡程序命名'!T:T, A9, '关卡程序命名'!S:S, "DONE")</f>
      </c>
      <c r="C9" s="35">
        <f>B9/(SUM(B:B))</f>
      </c>
      <c r="M9" s="33" t="str">
        <v>S08</v>
      </c>
      <c r="N9" s="31">
        <f>COUNTIFS('关卡程序命名'!I:I,M9, '关卡程序命名'!S:S, "DONE")</f>
      </c>
      <c r="O9" s="34">
        <f>N9/(SUM(N:N))</f>
      </c>
    </row>
    <row r="10">
      <c r="A10" s="36" t="s">
        <v>13</v>
      </c>
      <c r="B10" s="1">
        <f>COUNTIFS('关卡程序命名'!T:T, A10, '关卡程序命名'!S:S, "DONE")</f>
      </c>
      <c r="C10" s="35">
        <f>B10/(SUM(B:B))</f>
      </c>
      <c r="M10" s="33" t="str">
        <v>S09</v>
      </c>
      <c r="N10" s="31">
        <f>COUNTIFS('关卡程序命名'!I:I,M10, '关卡程序命名'!S:S, "DONE")</f>
      </c>
      <c r="O10" s="34">
        <f>N10/(SUM(N:N))</f>
      </c>
    </row>
    <row r="11">
      <c r="A11" s="36" t="s">
        <v>9</v>
      </c>
      <c r="B11" s="1">
        <f>COUNTIFS('关卡程序命名'!T:T, A11, '关卡程序命名'!S:S, "DONE")</f>
      </c>
      <c r="C11" s="35">
        <f>B11/(SUM(B:B))</f>
      </c>
      <c r="D11" s="34"/>
      <c r="H11" s="34"/>
      <c r="L11" s="34"/>
      <c r="M11" s="33" t="str">
        <v>S10</v>
      </c>
      <c r="N11" s="31">
        <f>COUNTIFS('关卡程序命名'!I:I,M11, '关卡程序命名'!S:S, "DONE")</f>
      </c>
      <c r="O11" s="34">
        <f>N11/(SUM(N:N))</f>
      </c>
    </row>
    <row r="12">
      <c r="A12" s="39" t="str">
        <v>NagXNagX</v>
      </c>
      <c r="B12" s="1">
        <f>COUNTIFS('关卡程序命名'!T:T, A12, '关卡程序命名'!S:S, "DONE")</f>
      </c>
      <c r="C12" s="35">
        <f>B12/(SUM(B:B))</f>
      </c>
      <c r="D12" s="34"/>
      <c r="H12" s="34"/>
      <c r="L12" s="34"/>
      <c r="M12" s="33" t="str">
        <v>S11</v>
      </c>
      <c r="N12" s="31">
        <f>COUNTIFS('关卡程序命名'!I:I,M12, '关卡程序命名'!S:S, "DONE")</f>
      </c>
      <c r="O12" s="34">
        <f>N12/(SUM(N:N))</f>
      </c>
    </row>
    <row r="13">
      <c r="A13" s="2" t="s">
        <v>3</v>
      </c>
      <c r="B13" s="1">
        <f>COUNTIFS('关卡程序命名'!T:T, A13, '关卡程序命名'!S:S, "DONE")</f>
      </c>
      <c r="C13" s="35">
        <f>B13/(SUM(B:B))</f>
      </c>
    </row>
    <row r="14">
      <c r="A14" s="2" t="s">
        <v>14</v>
      </c>
      <c r="B14" s="1">
        <f>COUNTIFS('关卡程序命名'!T:T, A14, '关卡程序命名'!S:S, "DONE")</f>
      </c>
      <c r="C14" s="35">
        <f>B14/(SUM(B:B))</f>
      </c>
    </row>
    <row r="15">
      <c r="A15" s="2" t="s">
        <v>10</v>
      </c>
      <c r="B15" s="1">
        <f>COUNTIFS('关卡程序命名'!T:T, A15, '关卡程序命名'!S:S, "DONE")</f>
      </c>
      <c r="C15" s="35">
        <f>B15/(SUM(B:B))</f>
      </c>
    </row>
    <row r="16">
      <c r="A16" s="2" t="s">
        <v>6</v>
      </c>
      <c r="B16" s="1">
        <f>COUNTIFS('关卡程序命名'!T:T, A16, '关卡程序命名'!S:S, "DONE")</f>
      </c>
      <c r="C16" s="35">
        <f>B16/(SUM(B:B))</f>
      </c>
    </row>
    <row r="17">
      <c r="A17" s="37" t="str">
        <v>NagYNagY</v>
      </c>
      <c r="B17" s="1">
        <f>COUNTIFS('关卡程序命名'!T:T, A17, '关卡程序命名'!S:S, "DONE")</f>
      </c>
      <c r="C17" s="35">
        <f>B17/(SUM(B:B))</f>
      </c>
    </row>
    <row r="18">
      <c r="A18" s="2" t="str">
        <v>InitialPosX</v>
      </c>
      <c r="B18" s="1">
        <f>COUNTIFS('关卡程序命名'!T:T, A18, '关卡程序命名'!S:S, "DONE")</f>
      </c>
      <c r="C18" s="35">
        <f>B18/(SUM(B:B))</f>
      </c>
    </row>
    <row r="19">
      <c r="A19" s="2" t="str">
        <v>InitialPosY</v>
      </c>
      <c r="B19" s="1">
        <f>COUNTIFS('关卡程序命名'!T:T, A19, '关卡程序命名'!S:S, "DONE")</f>
      </c>
      <c r="C19" s="35">
        <f>B19/(SUM(B:B))</f>
      </c>
    </row>
    <row r="20">
      <c r="A20" s="2" t="str">
        <v>InitialNagX</v>
      </c>
      <c r="B20" s="1">
        <f>COUNTIFS('关卡程序命名'!T:T, A20, '关卡程序命名'!S:S, "DONE")</f>
      </c>
      <c r="C20" s="35">
        <f>B20/(SUM(B:B))</f>
      </c>
    </row>
    <row r="21">
      <c r="A21" s="2" t="s">
        <v>4</v>
      </c>
      <c r="B21" s="1">
        <f>COUNTIFS('关卡程序命名'!T:T, A21, '关卡程序命名'!S:S, "DONE")</f>
      </c>
      <c r="C21" s="35">
        <f>B21/(SUM(B:B))</f>
      </c>
    </row>
  </sheetData>
  <conditionalFormatting sqref="O2:O200">
    <cfRule priority="2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N2:N200">
    <cfRule priority="3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K2:K200">
    <cfRule priority="4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J2:J200">
    <cfRule priority="5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G2:G200">
    <cfRule priority="6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F2:F200">
    <cfRule priority="7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B2:B200">
    <cfRule priority="8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conditionalFormatting sqref="C2:C200">
    <cfRule priority="9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af1d1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0"/>
    <col collapsed="false" customWidth="true" hidden="false" max="3" min="3" style="0" width="4"/>
    <col collapsed="false" customWidth="true" hidden="false" max="4" min="4" style="0" width="4"/>
    <col collapsed="false" customWidth="true" hidden="false" max="5" min="5" style="0" width="5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20"/>
    <col collapsed="false" customWidth="true" hidden="false" max="10" min="10" style="0" width="1"/>
    <col collapsed="false" customWidth="true" hidden="false" max="12" min="12" style="0" width="8"/>
    <col collapsed="true" hidden="false" max="13" min="13" style="0" width="10"/>
    <col collapsed="false" customWidth="true" hidden="true" max="14" min="14" outlineLevel="1" style="0" width="10"/>
    <col collapsed="false" customWidth="true" hidden="true" max="15" min="15" outlineLevel="1" style="0" width="10"/>
    <col collapsed="false" customWidth="true" hidden="true" max="16" min="16" outlineLevel="1" style="0" width="10"/>
    <col collapsed="false" customWidth="true" hidden="true" max="17" min="17" outlineLevel="1" style="0" width="10"/>
    <col collapsed="false" customWidth="true" hidden="true" max="18" min="18" outlineLevel="1" style="0" width="10"/>
    <col collapsed="false" customWidth="true" hidden="true" max="19" min="19" outlineLevel="1" style="0" width="10"/>
    <col collapsed="false" customWidth="true" hidden="true" max="20" min="20" outlineLevel="1" style="0" width="10"/>
    <col collapsed="false" customWidth="true" hidden="true" max="21" min="21" outlineLevel="1" style="0" width="10"/>
    <col collapsed="false" customWidth="true" hidden="true" max="22" min="22" outlineLevel="1" style="0" width="10"/>
    <col collapsed="false" customWidth="true" hidden="true" max="23" min="23" outlineLevel="1" style="0" width="10"/>
    <col collapsed="false" customWidth="true" hidden="true" max="24" min="24" outlineLevel="1" style="0" width="10"/>
    <col collapsed="false" customWidth="true" hidden="true" max="25" min="25" outlineLevel="1" style="0" width="10"/>
    <col collapsed="false" customWidth="true" hidden="true" max="26" min="26" outlineLevel="1" style="0" width="10"/>
    <col collapsed="false" customWidth="true" hidden="true" max="27" min="27" outlineLevel="1" style="0" width="8"/>
    <col collapsed="false" customWidth="true" hidden="true" max="28" min="28" outlineLevel="1" style="0" width="8"/>
    <col collapsed="false" customWidth="true" hidden="true" max="29" min="29" outlineLevel="1" style="0" width="21"/>
    <col collapsed="false" customWidth="true" hidden="false" max="30" min="30" style="0" width="15"/>
    <col collapsed="false" customWidth="true" hidden="false" max="31" min="31" style="0" width="10"/>
    <col collapsed="false" customWidth="true" hidden="false" max="32" min="32" style="0" width="4"/>
    <col collapsed="false" customWidth="true" hidden="false" max="33" min="33" style="0" width="7"/>
    <col collapsed="false" customWidth="true" hidden="false" max="34" min="34" style="0" width="8"/>
    <col collapsed="false" customWidth="true" hidden="false" max="35" min="35" style="0" width="20"/>
  </cols>
  <sheetData>
    <row customHeight="true" ht="19" r="1">
      <c r="A1" s="55" t="str">
        <v>Name</v>
      </c>
      <c r="B1" s="55" t="str">
        <v>名称</v>
      </c>
      <c r="C1" s="54" t="str">
        <v>数量</v>
      </c>
      <c r="D1" s="54" t="str">
        <v>占比</v>
      </c>
      <c r="E1" s="54" t="str">
        <v>期望</v>
      </c>
      <c r="F1" s="54" t="str">
        <v>目标</v>
      </c>
      <c r="G1" s="54" t="str">
        <v>实际比例</v>
      </c>
      <c r="H1" s="54" t="str">
        <v>性质</v>
      </c>
      <c r="I1" s="54" t="str">
        <v>功能</v>
      </c>
      <c r="J1" s="38" t="str" xml:space="preserve">
        <v> </v>
      </c>
      <c r="K1" s="38" t="str">
        <v>统计数据</v>
      </c>
      <c r="L1" s="38" t="str">
        <v>统计值</v>
      </c>
      <c r="M1" s="55" t="str" xml:space="preserve">
        <v> </v>
      </c>
      <c r="N1" s="55">
        <f>SUM(O1:Q1)/1</f>
      </c>
      <c r="O1" s="58">
        <f>SUM(R1:U1)</f>
      </c>
      <c r="P1" s="59">
        <f>SUM(V1:W1)</f>
      </c>
      <c r="Q1" s="56">
        <f>SUM(X1:Y1)</f>
      </c>
      <c r="R1" s="53">
        <f>R2/Z1</f>
      </c>
      <c r="S1" s="53">
        <f>S2/Z1</f>
      </c>
      <c r="T1" s="53">
        <f>T2/Z1</f>
      </c>
      <c r="U1" s="53">
        <f>U2/Z1</f>
      </c>
      <c r="V1" s="60">
        <f>V2/Z1</f>
      </c>
      <c r="W1" s="60">
        <f>W2/Z1</f>
      </c>
      <c r="X1" s="57">
        <f>X2/Z1</f>
      </c>
      <c r="Y1" s="57">
        <f>Y2/Z1</f>
      </c>
      <c r="Z1" s="38">
        <f>COUNTA(Z6:Z1005)</f>
      </c>
      <c r="AA1" s="38"/>
      <c r="AB1" s="55"/>
      <c r="AC1" s="38"/>
      <c r="AD1" s="38"/>
      <c r="AE1" s="38"/>
      <c r="AF1" s="38"/>
      <c r="AG1" s="38"/>
      <c r="AH1" s="38"/>
      <c r="AI1" s="38"/>
    </row>
    <row customHeight="true" ht="19" r="2">
      <c r="A2" s="48" t="str">
        <v>WeaponPrinter</v>
      </c>
      <c r="B2" s="46" t="str">
        <v>武器打印机</v>
      </c>
      <c r="C2" s="51"/>
      <c r="D2" s="41"/>
      <c r="E2" s="49">
        <f>G2*(COUNTA('关卡程序命名'!B:B)-1)</f>
      </c>
      <c r="F2" s="50">
        <v>0.15</v>
      </c>
      <c r="G2" s="41">
        <f>F2*2/3</f>
      </c>
      <c r="H2" s="42" t="str">
        <v>成长</v>
      </c>
      <c r="I2" s="46" t="str">
        <v>获得新武器</v>
      </c>
      <c r="J2" s="38"/>
      <c r="K2" s="46" t="str">
        <v>奖励/层数</v>
      </c>
      <c r="L2" s="41">
        <f>SUM(C2:C12)/(COUNTA('关卡程序命名'!B:B)-1)</f>
      </c>
      <c r="M2" s="38"/>
      <c r="N2" s="38" t="str">
        <v>奖励概率</v>
      </c>
      <c r="O2" s="58" t="str">
        <v>成长性奖励</v>
      </c>
      <c r="P2" s="59" t="str">
        <v>非成长奖励</v>
      </c>
      <c r="Q2" s="56" t="str">
        <v>资源奖励</v>
      </c>
      <c r="R2" s="58">
        <f>COUNTA(R6:R107)</f>
      </c>
      <c r="S2" s="58">
        <f>COUNTA(S6:S107)</f>
      </c>
      <c r="T2" s="58">
        <f>COUNTA(T6:T107)</f>
      </c>
      <c r="U2" s="58">
        <f>COUNTA(U6:U107)</f>
      </c>
      <c r="V2" s="59">
        <f>COUNTA(V6:V107)</f>
      </c>
      <c r="W2" s="59">
        <f>COUNTA(W6:W107)</f>
      </c>
      <c r="X2" s="56">
        <f>COUNTA(X6:X107)</f>
      </c>
      <c r="Y2" s="56">
        <f>COUNTA(Y6:Y107)</f>
      </c>
      <c r="AA2" s="38"/>
      <c r="AB2" s="55"/>
      <c r="AC2" s="38"/>
      <c r="AD2" s="48" t="str">
        <v>GeneticEnhancer</v>
      </c>
      <c r="AE2" s="46" t="str">
        <v>基因强化仪</v>
      </c>
      <c r="AF2" s="51">
        <f>COUNTIF(#REF!,"*"&amp;AD2&amp;"*")</f>
      </c>
      <c r="AG2" s="41">
        <f>COUNTIF(#REF!,"*"&amp;AD2&amp;"*")/(COUNTA(#REF!)-1)</f>
      </c>
      <c r="AH2" s="42" t="str">
        <v>成长</v>
      </c>
      <c r="AI2" s="46" t="str">
        <v>增加生命上限&amp;当前值</v>
      </c>
    </row>
    <row r="3">
      <c r="A3" s="48" t="str">
        <v>CyborgPrinter</v>
      </c>
      <c r="B3" s="46" t="str">
        <v>义体打印机</v>
      </c>
      <c r="C3" s="51"/>
      <c r="D3" s="41"/>
      <c r="E3" s="49">
        <f>G3*(COUNTA('关卡程序命名'!B:B)-1)</f>
      </c>
      <c r="F3" s="50">
        <v>0.1</v>
      </c>
      <c r="G3" s="41">
        <f>F3*2/3</f>
      </c>
      <c r="H3" s="42" t="str">
        <v>成长</v>
      </c>
      <c r="I3" s="46" t="str">
        <v>获得新义体</v>
      </c>
      <c r="J3" s="38"/>
      <c r="K3" s="2" t="str">
        <v>成长性</v>
      </c>
      <c r="L3" s="41">
        <f>SUM(C2:C6)/(COUNTA('关卡程序命名'!B:B)-1)</f>
      </c>
      <c r="M3" s="38"/>
      <c r="N3" s="38" t="str">
        <v>Level</v>
      </c>
      <c r="O3" s="38" t="str">
        <v>Map</v>
      </c>
      <c r="P3" s="38" t="str">
        <v>Variant</v>
      </c>
      <c r="Q3" s="38" t="str">
        <v>类型</v>
      </c>
      <c r="R3" s="58" t="str">
        <v>武器打印机</v>
      </c>
      <c r="S3" s="58" t="str">
        <v>义体打印机</v>
      </c>
      <c r="T3" s="58" t="str">
        <v>武器升级器</v>
      </c>
      <c r="U3" s="58" t="str">
        <v>义体升级器</v>
      </c>
      <c r="V3" s="59" t="str">
        <v>生命恢复仓</v>
      </c>
      <c r="W3" s="59" t="str">
        <v>护驾修复仓</v>
      </c>
      <c r="X3" s="56" t="str">
        <v>子弹贩卖机</v>
      </c>
      <c r="Y3" s="56" t="str">
        <v>信用金库</v>
      </c>
      <c r="Z3" s="38" t="str">
        <v>奖励房间</v>
      </c>
      <c r="AA3" s="38" t="str">
        <v>奖励价值</v>
      </c>
      <c r="AB3" s="55" t="str">
        <v>奖励概率</v>
      </c>
      <c r="AC3" s="38" t="str">
        <v>备注</v>
      </c>
      <c r="AD3" s="38"/>
      <c r="AE3" s="38"/>
      <c r="AF3" s="38"/>
      <c r="AG3" s="38"/>
      <c r="AH3" s="38"/>
      <c r="AI3" s="38"/>
    </row>
    <row customHeight="true" ht="19" r="4">
      <c r="A4" s="48" t="str">
        <v>ChipWriter</v>
      </c>
      <c r="B4" s="46" t="str">
        <v>芯片写入仪</v>
      </c>
      <c r="C4" s="51"/>
      <c r="D4" s="41"/>
      <c r="E4" s="49">
        <f>G4*(COUNTA('关卡程序命名'!B:B)-1)</f>
      </c>
      <c r="F4" s="50">
        <v>0.2</v>
      </c>
      <c r="G4" s="41">
        <f>F4*2/3</f>
      </c>
      <c r="H4" s="42" t="str">
        <v>成长</v>
      </c>
      <c r="I4" s="46" t="str">
        <v>获得新芯片</v>
      </c>
      <c r="J4" s="38"/>
      <c r="K4" s="2"/>
      <c r="L4" s="41"/>
      <c r="M4" s="38"/>
      <c r="N4" s="38"/>
      <c r="O4" s="38"/>
      <c r="P4" s="38"/>
      <c r="Q4" s="38"/>
      <c r="R4" s="58"/>
      <c r="S4" s="58"/>
      <c r="T4" s="58"/>
      <c r="U4" s="58"/>
      <c r="V4" s="59"/>
      <c r="W4" s="59"/>
      <c r="X4" s="56"/>
      <c r="Y4" s="56"/>
      <c r="Z4" s="38"/>
      <c r="AA4" s="38"/>
      <c r="AB4" s="55"/>
      <c r="AC4" s="38"/>
      <c r="AD4" s="38"/>
      <c r="AE4" s="38"/>
      <c r="AF4" s="38"/>
      <c r="AG4" s="38"/>
      <c r="AH4" s="38"/>
      <c r="AI4" s="38"/>
    </row>
    <row customHeight="true" ht="19" r="5">
      <c r="A5" s="48" t="str">
        <v>IntelBrainPrinter</v>
      </c>
      <c r="B5" s="46" t="str">
        <v>智脑打印机</v>
      </c>
      <c r="C5" s="51"/>
      <c r="D5" s="41"/>
      <c r="E5" s="49">
        <f>G5*(COUNTA('关卡程序命名'!B:B)-1)</f>
      </c>
      <c r="F5" s="50">
        <v>0.1</v>
      </c>
      <c r="G5" s="41">
        <f>F5*2/3</f>
      </c>
      <c r="H5" s="42" t="str">
        <v>成长</v>
      </c>
      <c r="I5" s="46" t="str">
        <v>获得新智脑</v>
      </c>
      <c r="J5" s="38"/>
      <c r="K5" s="2"/>
      <c r="L5" s="41"/>
      <c r="M5" s="38"/>
      <c r="N5" s="38"/>
      <c r="O5" s="38"/>
      <c r="P5" s="38"/>
      <c r="Q5" s="38"/>
      <c r="R5" s="58"/>
      <c r="S5" s="58"/>
      <c r="T5" s="58"/>
      <c r="U5" s="58"/>
      <c r="V5" s="59"/>
      <c r="W5" s="59"/>
      <c r="X5" s="56"/>
      <c r="Y5" s="56"/>
      <c r="Z5" s="38"/>
      <c r="AA5" s="38"/>
      <c r="AB5" s="55"/>
      <c r="AC5" s="38"/>
      <c r="AD5" s="38"/>
      <c r="AE5" s="38"/>
      <c r="AF5" s="38"/>
      <c r="AG5" s="38"/>
      <c r="AH5" s="38"/>
      <c r="AI5" s="38"/>
    </row>
    <row r="6">
      <c r="A6" s="48" t="str">
        <v>ArmorReinforcer</v>
      </c>
      <c r="B6" s="46" t="str">
        <v>护甲补强仪</v>
      </c>
      <c r="C6" s="51"/>
      <c r="D6" s="41"/>
      <c r="E6" s="49">
        <f>G6*(COUNTA('关卡程序命名'!B:B)-1)</f>
      </c>
      <c r="F6" s="50">
        <v>0.1</v>
      </c>
      <c r="G6" s="41">
        <f>F6*2/3</f>
      </c>
      <c r="H6" s="42" t="str">
        <v>成长</v>
      </c>
      <c r="I6" s="46" t="str">
        <v>增加护甲值</v>
      </c>
      <c r="K6" s="46" t="str">
        <v>非成长</v>
      </c>
      <c r="L6" s="41">
        <f>SUM(C7:C12)/(COUNTA('关卡程序命名'!B:B)-1)</f>
      </c>
      <c r="M6" s="31"/>
      <c r="N6" s="31">
        <v>1</v>
      </c>
      <c r="O6" s="31" t="str">
        <v>a</v>
      </c>
      <c r="P6" s="31">
        <v>1</v>
      </c>
      <c r="Q6" s="31" t="str">
        <v>小怪</v>
      </c>
      <c r="R6" s="44" t="str">
        <v>✔️</v>
      </c>
      <c r="S6" s="44"/>
      <c r="T6" s="44"/>
      <c r="U6" s="44"/>
      <c r="V6" s="47"/>
      <c r="W6" s="47"/>
      <c r="X6" s="45" t="str">
        <v>2选1</v>
      </c>
      <c r="Y6" s="45"/>
      <c r="Z6" s="8">
        <f>COUNTA(R6:W6)+COUNTA(Y6)</f>
      </c>
      <c r="AA6" s="4"/>
      <c r="AB6" s="40">
        <f>COUNTA(R6:Y12)/4</f>
      </c>
      <c r="AC6" s="4" t="str">
        <v>Map在这里只表示地图地形，实际上要做4张图（4个Variant）。</v>
      </c>
    </row>
    <row r="7">
      <c r="A7" s="2" t="str">
        <v>CreditVault</v>
      </c>
      <c r="B7" s="2" t="str">
        <v>信用金库</v>
      </c>
      <c r="C7" s="51"/>
      <c r="D7" s="41"/>
      <c r="E7" s="49">
        <f>G7*(COUNTA('关卡程序命名'!B:B)-1)</f>
      </c>
      <c r="F7" s="50">
        <v>0.15</v>
      </c>
      <c r="G7" s="41">
        <f>F7*2/3</f>
      </c>
      <c r="H7" s="42" t="str">
        <v>非成长</v>
      </c>
      <c r="I7" s="46" t="str">
        <v>增加随身携带的信用点</v>
      </c>
      <c r="K7" s="46" t="str">
        <v>奖励/奖励</v>
      </c>
      <c r="L7" s="43">
        <f>SUM(D2:D12)</f>
      </c>
      <c r="M7" s="31"/>
      <c r="N7" s="31">
        <v>1</v>
      </c>
      <c r="O7" s="31" t="str">
        <v>a</v>
      </c>
      <c r="P7" s="31">
        <v>2</v>
      </c>
      <c r="Q7" s="31" t="str">
        <v>小怪</v>
      </c>
      <c r="R7" s="44"/>
      <c r="S7" s="44" t="str">
        <v>✔️</v>
      </c>
      <c r="T7" s="44"/>
      <c r="U7" s="44"/>
      <c r="V7" s="47"/>
      <c r="W7" s="47"/>
      <c r="X7" s="45"/>
      <c r="Y7" s="45"/>
      <c r="Z7" s="8">
        <f>COUNTA(R7:W7)+COUNTA(Y7)</f>
      </c>
      <c r="AA7" s="4"/>
      <c r="AB7" s="40"/>
      <c r="AC7" s="4"/>
    </row>
    <row r="8">
      <c r="A8" s="48" t="str">
        <v>HealingPod</v>
      </c>
      <c r="B8" s="46" t="str">
        <v>治疗舱</v>
      </c>
      <c r="C8" s="51"/>
      <c r="D8" s="41"/>
      <c r="E8" s="49">
        <f>G8*(COUNTA('关卡程序命名'!B:B)-1)</f>
      </c>
      <c r="F8" s="50">
        <v>0.1</v>
      </c>
      <c r="G8" s="41">
        <f>F8*2/3</f>
      </c>
      <c r="H8" s="42" t="str">
        <v>非成长</v>
      </c>
      <c r="I8" s="46" t="str">
        <v>恢复生命值，不超过上限</v>
      </c>
      <c r="K8" s="46" t="str">
        <v>成长性</v>
      </c>
      <c r="L8" s="41">
        <f>SUM(D2:D6)</f>
      </c>
      <c r="M8" s="31"/>
      <c r="N8" s="31">
        <v>1</v>
      </c>
      <c r="O8" s="31" t="str">
        <v>b</v>
      </c>
      <c r="P8" s="31">
        <v>3</v>
      </c>
      <c r="Q8" s="31" t="str">
        <v>小怪</v>
      </c>
      <c r="R8" s="44" t="str">
        <v>✔️</v>
      </c>
      <c r="S8" s="44"/>
      <c r="T8" s="44"/>
      <c r="U8" s="44"/>
      <c r="V8" s="47"/>
      <c r="W8" s="47"/>
      <c r="X8" s="45"/>
      <c r="Y8" s="45"/>
      <c r="Z8" s="8">
        <f>COUNTA(R8:W8)+COUNTA(Y8)</f>
      </c>
      <c r="AA8" s="4"/>
      <c r="AB8" s="40"/>
      <c r="AC8" s="4"/>
    </row>
    <row customHeight="true" ht="19" r="9">
      <c r="A9" s="48" t="str">
        <v>Drone</v>
      </c>
      <c r="B9" s="46" t="str">
        <v>无人机</v>
      </c>
      <c r="C9" s="51"/>
      <c r="D9" s="41"/>
      <c r="E9" s="49">
        <f>G9*(COUNTA('关卡程序命名'!B:B)-1)</f>
      </c>
      <c r="F9" s="50">
        <v>0.1</v>
      </c>
      <c r="G9" s="41">
        <f>F9*2/3</f>
      </c>
      <c r="H9" s="42" t="str">
        <v>成长</v>
      </c>
      <c r="I9" s="46"/>
      <c r="K9" s="46"/>
      <c r="L9" s="41"/>
      <c r="M9" s="31"/>
      <c r="N9" s="31"/>
      <c r="O9" s="31"/>
      <c r="P9" s="31"/>
      <c r="Q9" s="31"/>
      <c r="R9" s="44"/>
      <c r="S9" s="44"/>
      <c r="T9" s="44"/>
      <c r="U9" s="44"/>
      <c r="V9" s="47"/>
      <c r="W9" s="47"/>
      <c r="X9" s="45"/>
      <c r="Y9" s="45"/>
      <c r="Z9" s="8"/>
      <c r="AA9" s="4"/>
      <c r="AB9" s="40"/>
      <c r="AC9" s="4"/>
    </row>
    <row customHeight="true" ht="19" r="10">
      <c r="A10" s="48" t="str">
        <v>FAKE1</v>
      </c>
      <c r="B10" s="46" t="str">
        <v>占位垃圾1</v>
      </c>
      <c r="C10" s="51"/>
      <c r="D10" s="41"/>
      <c r="E10" s="49">
        <f>G10*(COUNTA('关卡程序命名'!B:B)-1)</f>
      </c>
      <c r="F10" s="50"/>
      <c r="G10" s="41">
        <f>1/6</f>
      </c>
      <c r="H10" s="42"/>
      <c r="I10" s="46"/>
      <c r="K10" s="46"/>
      <c r="L10" s="41"/>
      <c r="M10" s="31"/>
      <c r="N10" s="31"/>
      <c r="O10" s="31"/>
      <c r="P10" s="31"/>
      <c r="Q10" s="31"/>
      <c r="R10" s="44"/>
      <c r="S10" s="44"/>
      <c r="T10" s="44"/>
      <c r="U10" s="44"/>
      <c r="V10" s="47"/>
      <c r="W10" s="47"/>
      <c r="X10" s="45"/>
      <c r="Y10" s="45"/>
      <c r="Z10" s="8"/>
      <c r="AA10" s="4"/>
      <c r="AB10" s="40"/>
      <c r="AC10" s="4"/>
    </row>
    <row customHeight="true" ht="19" r="11">
      <c r="A11" s="48" t="str">
        <v>FAKE2</v>
      </c>
      <c r="B11" s="46" t="str">
        <v>占位垃圾2</v>
      </c>
      <c r="C11" s="51"/>
      <c r="D11" s="41"/>
      <c r="E11" s="49">
        <f>G11*(COUNTA('关卡程序命名'!B:B)-1)</f>
      </c>
      <c r="F11" s="50"/>
      <c r="G11" s="41">
        <f>1/6</f>
      </c>
      <c r="H11" s="42"/>
      <c r="I11" s="46"/>
      <c r="K11" s="46"/>
      <c r="L11" s="41"/>
      <c r="M11" s="31"/>
      <c r="N11" s="31"/>
      <c r="O11" s="31"/>
      <c r="P11" s="31"/>
      <c r="Q11" s="31"/>
      <c r="R11" s="44"/>
      <c r="S11" s="44"/>
      <c r="T11" s="44"/>
      <c r="U11" s="44"/>
      <c r="V11" s="47"/>
      <c r="W11" s="47"/>
      <c r="X11" s="45"/>
      <c r="Y11" s="45"/>
      <c r="Z11" s="8"/>
      <c r="AA11" s="4"/>
      <c r="AB11" s="40"/>
      <c r="AC11" s="4"/>
    </row>
    <row r="12">
      <c r="A12" s="48" t="str">
        <v>AmmoVEM</v>
      </c>
      <c r="B12" s="46" t="str">
        <v>子弹贩卖机</v>
      </c>
      <c r="C12" s="51"/>
      <c r="D12" s="41"/>
      <c r="E12" s="49">
        <f>G12*(COUNTA('关卡程序命名'!B:B)-1)</f>
      </c>
      <c r="F12" s="50">
        <v>1</v>
      </c>
      <c r="G12" s="41">
        <v>1</v>
      </c>
      <c r="H12" s="42" t="str">
        <v>非成长</v>
      </c>
      <c r="I12" s="46" t="str">
        <v>购买子弹</v>
      </c>
      <c r="K12" s="46" t="str">
        <v>非成长</v>
      </c>
      <c r="L12" s="41">
        <f>SUM(D7:D12)</f>
      </c>
      <c r="M12" s="31"/>
      <c r="N12" s="31">
        <v>1</v>
      </c>
      <c r="O12" s="31" t="str">
        <v>b</v>
      </c>
      <c r="P12" s="31">
        <v>4</v>
      </c>
      <c r="Q12" s="31" t="str">
        <v>小怪</v>
      </c>
      <c r="R12" s="44"/>
      <c r="S12" s="44" t="str">
        <v>✔️</v>
      </c>
      <c r="T12" s="44"/>
      <c r="U12" s="44"/>
      <c r="V12" s="47"/>
      <c r="W12" s="47"/>
      <c r="X12" s="45"/>
      <c r="Y12" s="45"/>
      <c r="Z12" s="8">
        <f>COUNTA(R12:W12)+COUNTA(Y12)</f>
      </c>
      <c r="AA12" s="4"/>
      <c r="AB12" s="40"/>
      <c r="AC12" s="4"/>
    </row>
    <row r="13">
      <c r="E13" s="52"/>
      <c r="M13" s="31"/>
      <c r="N13" s="31">
        <v>2</v>
      </c>
      <c r="O13" s="31" t="str">
        <v>a</v>
      </c>
      <c r="P13" s="31">
        <v>1</v>
      </c>
      <c r="Q13" s="31" t="str">
        <v>小怪</v>
      </c>
      <c r="R13" s="44"/>
      <c r="S13" s="44"/>
      <c r="T13" s="44"/>
      <c r="U13" s="44" t="str">
        <v>✔️</v>
      </c>
      <c r="V13" s="47"/>
      <c r="W13" s="47"/>
      <c r="X13" s="45"/>
      <c r="Y13" s="45"/>
      <c r="Z13" s="8">
        <f>COUNTA(R13:W13)+COUNTA(Y13)</f>
      </c>
      <c r="AA13" s="1"/>
      <c r="AB13" s="40">
        <f>COUNTA(R13:Y16)/4</f>
      </c>
      <c r="AC13" s="1"/>
    </row>
    <row customHeight="true" ht="19" r="14">
      <c r="E14" s="52"/>
      <c r="F14" s="31"/>
      <c r="G14" s="31"/>
      <c r="H14" s="31"/>
      <c r="K14" s="46"/>
      <c r="L14" s="43"/>
      <c r="M14" s="31"/>
      <c r="N14" s="31">
        <v>2</v>
      </c>
      <c r="O14" s="31" t="str">
        <v>a</v>
      </c>
      <c r="P14" s="31">
        <v>2</v>
      </c>
      <c r="Q14" s="31" t="str">
        <v>小怪</v>
      </c>
      <c r="R14" s="44"/>
      <c r="S14" s="44"/>
      <c r="T14" s="44"/>
      <c r="U14" s="44"/>
      <c r="V14" s="47"/>
      <c r="W14" s="47"/>
      <c r="X14" s="45"/>
      <c r="Y14" s="45" t="str">
        <v>✔️</v>
      </c>
      <c r="Z14" s="8">
        <f>COUNTA(R14:W14)+COUNTA(Y14)</f>
      </c>
      <c r="AA14" s="1"/>
      <c r="AB14" s="40"/>
      <c r="AC14" s="1"/>
    </row>
    <row r="15">
      <c r="E15" s="52"/>
      <c r="F15" s="31"/>
      <c r="G15" s="31"/>
      <c r="H15" s="31"/>
      <c r="K15" s="46"/>
      <c r="L15" s="43"/>
      <c r="M15" s="31"/>
      <c r="N15" s="31">
        <v>2</v>
      </c>
      <c r="O15" s="31" t="str">
        <v>b</v>
      </c>
      <c r="P15" s="31">
        <v>3</v>
      </c>
      <c r="Q15" s="31" t="str">
        <v>小怪</v>
      </c>
      <c r="R15" s="44"/>
      <c r="S15" s="44"/>
      <c r="T15" s="44"/>
      <c r="U15" s="44" t="str">
        <v>✔️</v>
      </c>
      <c r="V15" s="47"/>
      <c r="W15" s="47"/>
      <c r="X15" s="45"/>
      <c r="Y15" s="45"/>
      <c r="Z15" s="8">
        <f>COUNTA(R15:W15)+COUNTA(Y15)</f>
      </c>
      <c r="AA15" s="1"/>
      <c r="AB15" s="40"/>
      <c r="AC15" s="1"/>
    </row>
    <row customHeight="true" ht="19" r="16">
      <c r="A16" s="31"/>
      <c r="B16" s="31"/>
      <c r="C16" s="41"/>
      <c r="D16" s="41"/>
      <c r="E16" s="43"/>
      <c r="F16" s="42"/>
      <c r="G16" s="42"/>
      <c r="H16" s="42"/>
      <c r="I16" s="46"/>
      <c r="K16" s="46"/>
      <c r="L16" s="43"/>
      <c r="M16" s="31"/>
      <c r="N16" s="31">
        <v>2</v>
      </c>
      <c r="O16" s="31" t="str">
        <v>b</v>
      </c>
      <c r="P16" s="31">
        <v>4</v>
      </c>
      <c r="Q16" s="31" t="str">
        <v>小怪</v>
      </c>
      <c r="R16" s="44"/>
      <c r="S16" s="44" t="str">
        <v>✔️</v>
      </c>
      <c r="T16" s="44"/>
      <c r="U16" s="44"/>
      <c r="V16" s="47"/>
      <c r="W16" s="47"/>
      <c r="X16" s="45" t="str">
        <v>3选1</v>
      </c>
      <c r="Y16" s="45"/>
      <c r="Z16" s="8">
        <f>COUNTA(R16:W16)+COUNTA(Y16)</f>
      </c>
      <c r="AA16" s="1"/>
      <c r="AB16" s="40"/>
      <c r="AC16" s="1"/>
    </row>
    <row r="17">
      <c r="A17" s="31"/>
      <c r="B17" s="31"/>
      <c r="C17" s="41"/>
      <c r="D17" s="41"/>
      <c r="E17" s="43"/>
      <c r="F17" s="42"/>
      <c r="G17" s="42"/>
      <c r="H17" s="42"/>
      <c r="I17" s="46"/>
      <c r="K17" s="46"/>
      <c r="L17" s="43"/>
      <c r="M17" s="31"/>
      <c r="N17" s="31">
        <v>3</v>
      </c>
      <c r="O17" s="31" t="str">
        <v>a</v>
      </c>
      <c r="P17" s="31">
        <v>1</v>
      </c>
      <c r="Q17" s="31" t="str">
        <v>小怪</v>
      </c>
      <c r="R17" s="44"/>
      <c r="S17" s="44"/>
      <c r="T17" s="44" t="str">
        <v>✔️</v>
      </c>
      <c r="U17" s="44"/>
      <c r="V17" s="47"/>
      <c r="W17" s="47"/>
      <c r="X17" s="45"/>
      <c r="Y17" s="45"/>
      <c r="Z17" s="8">
        <f>COUNTA(R17:W17)+COUNTA(Y17)</f>
      </c>
      <c r="AA17" s="1"/>
      <c r="AB17" s="40">
        <f>COUNTA(R17:Y20)/4</f>
      </c>
      <c r="AC17" s="1"/>
    </row>
    <row customHeight="true" ht="19" r="18">
      <c r="A18" s="31"/>
      <c r="B18" s="31"/>
      <c r="C18" s="41"/>
      <c r="D18" s="41"/>
      <c r="E18" s="43"/>
      <c r="F18" s="42"/>
      <c r="G18" s="42"/>
      <c r="H18" s="42"/>
      <c r="I18" s="46"/>
      <c r="K18" s="46"/>
      <c r="L18" s="43"/>
      <c r="M18" s="31"/>
      <c r="N18" s="31">
        <v>3</v>
      </c>
      <c r="O18" s="31" t="str">
        <v>a</v>
      </c>
      <c r="P18" s="31">
        <v>2</v>
      </c>
      <c r="Q18" s="31" t="str">
        <v>小怪</v>
      </c>
      <c r="R18" s="44" t="str">
        <v>✔️</v>
      </c>
      <c r="S18" s="44"/>
      <c r="T18" s="44"/>
      <c r="U18" s="44"/>
      <c r="V18" s="47"/>
      <c r="W18" s="47"/>
      <c r="X18" s="45"/>
      <c r="Y18" s="45" t="str">
        <v>✔️</v>
      </c>
      <c r="Z18" s="8">
        <f>COUNTA(R18:W18)+COUNTA(Y18)</f>
      </c>
      <c r="AA18" s="1"/>
      <c r="AB18" s="40"/>
      <c r="AC18" s="1"/>
    </row>
    <row r="19">
      <c r="A19" s="31"/>
      <c r="B19" s="31"/>
      <c r="C19" s="41"/>
      <c r="D19" s="41"/>
      <c r="E19" s="43"/>
      <c r="F19" s="42"/>
      <c r="G19" s="42"/>
      <c r="H19" s="42"/>
      <c r="I19" s="46"/>
      <c r="K19" s="46"/>
      <c r="L19" s="43"/>
      <c r="M19" s="31"/>
      <c r="N19" s="31">
        <v>3</v>
      </c>
      <c r="O19" s="31" t="str">
        <v>b</v>
      </c>
      <c r="P19" s="31">
        <v>3</v>
      </c>
      <c r="Q19" s="31" t="str">
        <v>小怪</v>
      </c>
      <c r="R19" s="44"/>
      <c r="S19" s="44"/>
      <c r="T19" s="44" t="str">
        <v>✔️</v>
      </c>
      <c r="U19" s="44"/>
      <c r="V19" s="47"/>
      <c r="W19" s="47"/>
      <c r="X19" s="45"/>
      <c r="Y19" s="45" t="str">
        <v>✔️</v>
      </c>
      <c r="Z19" s="8">
        <f>COUNTA(R19:W19)+COUNTA(Y19)</f>
      </c>
      <c r="AA19" s="1"/>
      <c r="AB19" s="40"/>
      <c r="AC19" s="1"/>
    </row>
    <row r="20">
      <c r="A20" s="31"/>
      <c r="B20" s="31"/>
      <c r="C20" s="41"/>
      <c r="D20" s="41"/>
      <c r="E20" s="43"/>
      <c r="F20" s="42"/>
      <c r="G20" s="42"/>
      <c r="H20" s="42"/>
      <c r="I20" s="46"/>
      <c r="K20" s="46"/>
      <c r="L20" s="43"/>
      <c r="M20" s="31"/>
      <c r="N20" s="31">
        <v>3</v>
      </c>
      <c r="O20" s="31" t="str">
        <v>b</v>
      </c>
      <c r="P20" s="31">
        <v>4</v>
      </c>
      <c r="Q20" s="31" t="str">
        <v>小怪</v>
      </c>
      <c r="R20" s="44"/>
      <c r="S20" s="44"/>
      <c r="T20" s="44"/>
      <c r="U20" s="44"/>
      <c r="V20" s="47"/>
      <c r="W20" s="47"/>
      <c r="X20" s="45"/>
      <c r="Y20" s="45" t="str">
        <v>✔️</v>
      </c>
      <c r="Z20" s="8">
        <f>COUNTA(R20:W20)+COUNTA(Y20)</f>
      </c>
      <c r="AA20" s="1"/>
      <c r="AB20" s="40"/>
      <c r="AC20" s="1"/>
    </row>
    <row r="21">
      <c r="A21" s="31"/>
      <c r="B21" s="31"/>
      <c r="C21" s="41"/>
      <c r="D21" s="41"/>
      <c r="E21" s="43"/>
      <c r="F21" s="42"/>
      <c r="G21" s="42"/>
      <c r="H21" s="42"/>
      <c r="I21" s="46"/>
      <c r="K21" s="46"/>
      <c r="L21" s="43"/>
      <c r="M21" s="31"/>
      <c r="N21" s="31">
        <v>4</v>
      </c>
      <c r="O21" s="31" t="str">
        <v>a</v>
      </c>
      <c r="P21" s="31">
        <v>1</v>
      </c>
      <c r="Q21" s="31" t="str">
        <v>小怪</v>
      </c>
      <c r="R21" s="44"/>
      <c r="S21" s="44"/>
      <c r="T21" s="44"/>
      <c r="U21" s="44"/>
      <c r="V21" s="47" t="str">
        <v>✔️</v>
      </c>
      <c r="W21" s="47"/>
      <c r="X21" s="45" t="str">
        <v>1选1</v>
      </c>
      <c r="Y21" s="45"/>
      <c r="Z21" s="8">
        <f>COUNTA(R21:W21)+COUNTA(Y21)</f>
      </c>
      <c r="AA21" s="1"/>
      <c r="AB21" s="40">
        <f>COUNTA(R21:Y24)/4</f>
      </c>
      <c r="AC21" s="1"/>
    </row>
    <row r="22">
      <c r="A22" s="31"/>
      <c r="B22" s="31"/>
      <c r="C22" s="41"/>
      <c r="D22" s="41"/>
      <c r="E22" s="43"/>
      <c r="F22" s="42"/>
      <c r="G22" s="42"/>
      <c r="H22" s="42"/>
      <c r="I22" s="46"/>
      <c r="K22" s="46"/>
      <c r="L22" s="43"/>
      <c r="M22" s="31"/>
      <c r="N22" s="31">
        <v>4</v>
      </c>
      <c r="O22" s="31" t="str">
        <v>a</v>
      </c>
      <c r="P22" s="31">
        <v>2</v>
      </c>
      <c r="Q22" s="31" t="str">
        <v>小怪</v>
      </c>
      <c r="R22" s="44"/>
      <c r="S22" s="44"/>
      <c r="T22" s="44"/>
      <c r="U22" s="44"/>
      <c r="V22" s="47"/>
      <c r="W22" s="47" t="str">
        <v>✔️</v>
      </c>
      <c r="X22" s="45"/>
      <c r="Y22" s="45"/>
      <c r="Z22" s="8">
        <f>COUNTA(R22:W22)+COUNTA(Y22)</f>
      </c>
      <c r="AA22" s="1"/>
      <c r="AB22" s="40"/>
      <c r="AC22" s="1"/>
    </row>
    <row r="23">
      <c r="A23" s="31"/>
      <c r="B23" s="31"/>
      <c r="C23" s="41"/>
      <c r="D23" s="41"/>
      <c r="E23" s="43"/>
      <c r="F23" s="42"/>
      <c r="G23" s="42"/>
      <c r="H23" s="42"/>
      <c r="I23" s="46"/>
      <c r="K23" s="46"/>
      <c r="L23" s="43"/>
      <c r="M23" s="31"/>
      <c r="N23" s="31">
        <v>4</v>
      </c>
      <c r="O23" s="31" t="str">
        <v>b</v>
      </c>
      <c r="P23" s="31">
        <v>3</v>
      </c>
      <c r="Q23" s="31" t="str">
        <v>小怪</v>
      </c>
      <c r="R23" s="44"/>
      <c r="S23" s="44"/>
      <c r="T23" s="44"/>
      <c r="U23" s="44"/>
      <c r="V23" s="47"/>
      <c r="W23" s="47"/>
      <c r="X23" s="45"/>
      <c r="Y23" s="45" t="str">
        <v>✔️</v>
      </c>
      <c r="Z23" s="8">
        <f>COUNTA(R23:W23)+COUNTA(Y23)</f>
      </c>
      <c r="AA23" s="1"/>
      <c r="AB23" s="40"/>
      <c r="AC23" s="1"/>
    </row>
    <row r="24">
      <c r="A24" s="31"/>
      <c r="B24" s="31"/>
      <c r="C24" s="41"/>
      <c r="D24" s="41"/>
      <c r="E24" s="43"/>
      <c r="F24" s="42"/>
      <c r="G24" s="42"/>
      <c r="H24" s="42"/>
      <c r="I24" s="46"/>
      <c r="K24" s="46"/>
      <c r="L24" s="43"/>
      <c r="M24" s="31"/>
      <c r="N24" s="31">
        <v>4</v>
      </c>
      <c r="O24" s="31" t="str">
        <v>b</v>
      </c>
      <c r="P24" s="31">
        <v>4</v>
      </c>
      <c r="Q24" s="31" t="str">
        <v>小怪</v>
      </c>
      <c r="R24" s="44"/>
      <c r="S24" s="44" t="str">
        <v>✔️</v>
      </c>
      <c r="T24" s="44"/>
      <c r="U24" s="44"/>
      <c r="V24" s="47"/>
      <c r="W24" s="47"/>
      <c r="X24" s="45" t="str">
        <v>2选1</v>
      </c>
      <c r="Y24" s="45"/>
      <c r="Z24" s="8">
        <f>COUNTA(R24:W24)+COUNTA(Y24)</f>
      </c>
      <c r="AA24" s="1"/>
      <c r="AB24" s="40"/>
      <c r="AC24" s="1"/>
    </row>
    <row r="25">
      <c r="A25" s="31"/>
      <c r="B25" s="31"/>
      <c r="C25" s="41"/>
      <c r="D25" s="41"/>
      <c r="E25" s="43"/>
      <c r="F25" s="42"/>
      <c r="G25" s="42"/>
      <c r="H25" s="42"/>
      <c r="I25" s="46"/>
      <c r="K25" s="46"/>
      <c r="L25" s="43"/>
      <c r="M25" s="31"/>
      <c r="N25" s="31">
        <v>5</v>
      </c>
      <c r="O25" s="31" t="str">
        <v>a</v>
      </c>
      <c r="P25" s="31">
        <v>1</v>
      </c>
      <c r="Q25" s="31" t="str">
        <v>小怪</v>
      </c>
      <c r="R25" s="44"/>
      <c r="S25" s="44"/>
      <c r="T25" s="44"/>
      <c r="U25" s="44"/>
      <c r="V25" s="47" t="str">
        <v>✔️</v>
      </c>
      <c r="W25" s="47"/>
      <c r="X25" s="45"/>
      <c r="Y25" s="45"/>
      <c r="Z25" s="8">
        <f>COUNTA(R25:W25)+COUNTA(Y25)</f>
      </c>
      <c r="AA25" s="1"/>
      <c r="AB25" s="40">
        <f>COUNTA(R25:Y28)/4</f>
      </c>
      <c r="AC25" s="1"/>
    </row>
    <row r="26">
      <c r="A26" s="31"/>
      <c r="B26" s="31"/>
      <c r="C26" s="41"/>
      <c r="D26" s="41"/>
      <c r="E26" s="43"/>
      <c r="F26" s="42"/>
      <c r="G26" s="42"/>
      <c r="H26" s="42"/>
      <c r="I26" s="46"/>
      <c r="K26" s="46"/>
      <c r="L26" s="43"/>
      <c r="M26" s="31"/>
      <c r="N26" s="31">
        <v>5</v>
      </c>
      <c r="O26" s="31" t="str">
        <v>a</v>
      </c>
      <c r="P26" s="31">
        <v>2</v>
      </c>
      <c r="Q26" s="31" t="str">
        <v>小怪</v>
      </c>
      <c r="R26" s="44"/>
      <c r="S26" s="44"/>
      <c r="T26" s="44" t="str">
        <v>✔️</v>
      </c>
      <c r="U26" s="44"/>
      <c r="V26" s="47"/>
      <c r="W26" s="47"/>
      <c r="X26" s="45" t="str">
        <v>3选1</v>
      </c>
      <c r="Y26" s="45"/>
      <c r="Z26" s="8">
        <f>COUNTA(R26:W26)+COUNTA(Y26)</f>
      </c>
      <c r="AA26" s="1"/>
      <c r="AB26" s="40"/>
      <c r="AC26" s="1"/>
    </row>
    <row r="27">
      <c r="A27" s="31"/>
      <c r="B27" s="31"/>
      <c r="C27" s="41"/>
      <c r="D27" s="41"/>
      <c r="E27" s="43"/>
      <c r="F27" s="42"/>
      <c r="G27" s="42"/>
      <c r="H27" s="42"/>
      <c r="I27" s="46"/>
      <c r="K27" s="46"/>
      <c r="L27" s="43"/>
      <c r="M27" s="31"/>
      <c r="N27" s="31">
        <v>5</v>
      </c>
      <c r="O27" s="31" t="str">
        <v>b</v>
      </c>
      <c r="P27" s="31">
        <v>3</v>
      </c>
      <c r="Q27" s="31" t="str">
        <v>小怪</v>
      </c>
      <c r="R27" s="44" t="str">
        <v>✔️</v>
      </c>
      <c r="S27" s="44"/>
      <c r="T27" s="44"/>
      <c r="U27" s="44"/>
      <c r="V27" s="47"/>
      <c r="W27" s="47"/>
      <c r="X27" s="45"/>
      <c r="Y27" s="45"/>
      <c r="Z27" s="8">
        <f>COUNTA(R27:W27)+COUNTA(Y27)</f>
      </c>
      <c r="AA27" s="1"/>
      <c r="AB27" s="40"/>
      <c r="AC27" s="1"/>
    </row>
    <row r="28">
      <c r="A28" s="31"/>
      <c r="B28" s="31"/>
      <c r="C28" s="41"/>
      <c r="D28" s="41"/>
      <c r="E28" s="43"/>
      <c r="F28" s="42"/>
      <c r="G28" s="42"/>
      <c r="H28" s="42"/>
      <c r="I28" s="46"/>
      <c r="K28" s="46"/>
      <c r="L28" s="43"/>
      <c r="M28" s="31"/>
      <c r="N28" s="31">
        <v>5</v>
      </c>
      <c r="O28" s="31" t="str">
        <v>b</v>
      </c>
      <c r="P28" s="31">
        <v>4</v>
      </c>
      <c r="Q28" s="31" t="str">
        <v>小怪</v>
      </c>
      <c r="R28" s="44"/>
      <c r="S28" s="44"/>
      <c r="T28" s="44"/>
      <c r="U28" s="44" t="str">
        <v>✔️</v>
      </c>
      <c r="V28" s="47"/>
      <c r="W28" s="47"/>
      <c r="X28" s="45"/>
      <c r="Y28" s="45" t="str">
        <v>✔️</v>
      </c>
      <c r="Z28" s="8">
        <f>COUNTA(R28:W28)+COUNTA(Y28)</f>
      </c>
      <c r="AA28" s="1"/>
      <c r="AB28" s="40"/>
      <c r="AC28" s="1"/>
    </row>
    <row r="29">
      <c r="A29" s="31"/>
      <c r="B29" s="31"/>
      <c r="C29" s="41"/>
      <c r="D29" s="41"/>
      <c r="E29" s="43"/>
      <c r="F29" s="42"/>
      <c r="G29" s="42"/>
      <c r="H29" s="42"/>
      <c r="I29" s="46"/>
      <c r="K29" s="46"/>
      <c r="L29" s="43"/>
      <c r="M29" s="31"/>
      <c r="N29" s="31">
        <v>6</v>
      </c>
      <c r="O29" s="31" t="str">
        <v>a</v>
      </c>
      <c r="P29" s="31">
        <v>1</v>
      </c>
      <c r="Q29" s="31" t="str">
        <v>小怪</v>
      </c>
      <c r="R29" s="44"/>
      <c r="S29" s="44"/>
      <c r="T29" s="44" t="str">
        <v>✔️</v>
      </c>
      <c r="U29" s="44"/>
      <c r="V29" s="47"/>
      <c r="W29" s="47"/>
      <c r="X29" s="45" t="str">
        <v>3选1</v>
      </c>
      <c r="Y29" s="45"/>
      <c r="Z29" s="8">
        <f>COUNTA(R29:W29)+COUNTA(Y29)</f>
      </c>
      <c r="AA29" s="1"/>
      <c r="AB29" s="40">
        <f>COUNTA(R29:Y32)/4</f>
      </c>
      <c r="AC29" s="1"/>
    </row>
    <row r="30">
      <c r="A30" s="31"/>
      <c r="B30" s="31"/>
      <c r="C30" s="41"/>
      <c r="D30" s="41"/>
      <c r="E30" s="43"/>
      <c r="F30" s="42"/>
      <c r="G30" s="42"/>
      <c r="H30" s="42"/>
      <c r="I30" s="46"/>
      <c r="K30" s="46"/>
      <c r="L30" s="43"/>
      <c r="M30" s="31"/>
      <c r="N30" s="31">
        <v>6</v>
      </c>
      <c r="O30" s="31" t="str">
        <v>a</v>
      </c>
      <c r="P30" s="31">
        <v>2</v>
      </c>
      <c r="Q30" s="31" t="str">
        <v>小怪</v>
      </c>
      <c r="R30" s="44"/>
      <c r="S30" s="44"/>
      <c r="T30" s="44"/>
      <c r="U30" s="44" t="str">
        <v>✔️</v>
      </c>
      <c r="V30" s="47"/>
      <c r="W30" s="47"/>
      <c r="X30" s="45"/>
      <c r="Y30" s="45"/>
      <c r="Z30" s="8">
        <f>COUNTA(R30:W30)+COUNTA(Y30)</f>
      </c>
      <c r="AA30" s="1"/>
      <c r="AB30" s="40"/>
      <c r="AC30" s="1"/>
    </row>
    <row r="31">
      <c r="A31" s="31"/>
      <c r="B31" s="31"/>
      <c r="C31" s="41"/>
      <c r="D31" s="41"/>
      <c r="E31" s="43"/>
      <c r="F31" s="42"/>
      <c r="G31" s="42"/>
      <c r="H31" s="42"/>
      <c r="I31" s="46"/>
      <c r="K31" s="46"/>
      <c r="L31" s="43"/>
      <c r="M31" s="31"/>
      <c r="N31" s="31">
        <v>6</v>
      </c>
      <c r="O31" s="31" t="str">
        <v>b</v>
      </c>
      <c r="P31" s="31">
        <v>3</v>
      </c>
      <c r="Q31" s="31" t="str">
        <v>小怪</v>
      </c>
      <c r="R31" s="44"/>
      <c r="S31" s="44"/>
      <c r="T31" s="44" t="str">
        <v>✔️</v>
      </c>
      <c r="U31" s="44"/>
      <c r="V31" s="47"/>
      <c r="W31" s="47"/>
      <c r="X31" s="45"/>
      <c r="Y31" s="45"/>
      <c r="Z31" s="8">
        <f>COUNTA(R31:W31)+COUNTA(Y31)</f>
      </c>
      <c r="AA31" s="1"/>
      <c r="AB31" s="40"/>
      <c r="AC31" s="1"/>
    </row>
    <row r="32">
      <c r="A32" s="31"/>
      <c r="B32" s="31"/>
      <c r="C32" s="41"/>
      <c r="D32" s="41"/>
      <c r="E32" s="43"/>
      <c r="F32" s="42"/>
      <c r="G32" s="42"/>
      <c r="H32" s="42"/>
      <c r="I32" s="46"/>
      <c r="K32" s="46"/>
      <c r="L32" s="43"/>
      <c r="M32" s="31"/>
      <c r="N32" s="31">
        <v>6</v>
      </c>
      <c r="O32" s="31" t="str">
        <v>b</v>
      </c>
      <c r="P32" s="31">
        <v>4</v>
      </c>
      <c r="Q32" s="31" t="str">
        <v>小怪</v>
      </c>
      <c r="R32" s="44"/>
      <c r="S32" s="44"/>
      <c r="T32" s="44"/>
      <c r="U32" s="44"/>
      <c r="V32" s="47"/>
      <c r="W32" s="47"/>
      <c r="X32" s="45" t="str">
        <v>2选1</v>
      </c>
      <c r="Y32" s="45" t="str">
        <v>✔️</v>
      </c>
      <c r="Z32" s="8">
        <f>COUNTA(R32:W32)+COUNTA(Y32)</f>
      </c>
      <c r="AA32" s="1"/>
      <c r="AB32" s="40"/>
      <c r="AC32" s="1"/>
    </row>
    <row r="33">
      <c r="A33" s="31"/>
      <c r="B33" s="31"/>
      <c r="C33" s="41"/>
      <c r="D33" s="41"/>
      <c r="E33" s="43"/>
      <c r="F33" s="42"/>
      <c r="G33" s="42"/>
      <c r="H33" s="42"/>
      <c r="I33" s="46"/>
      <c r="K33" s="46"/>
      <c r="L33" s="43"/>
      <c r="M33" s="31"/>
      <c r="N33" s="31">
        <v>7</v>
      </c>
      <c r="O33" s="31" t="str">
        <v>a</v>
      </c>
      <c r="P33" s="31">
        <v>1</v>
      </c>
      <c r="Q33" s="31" t="str">
        <v>小怪</v>
      </c>
      <c r="R33" s="44"/>
      <c r="S33" s="44"/>
      <c r="T33" s="44" t="str">
        <v>✔️</v>
      </c>
      <c r="U33" s="44"/>
      <c r="V33" s="47"/>
      <c r="W33" s="47"/>
      <c r="X33" s="45"/>
      <c r="Y33" s="45"/>
      <c r="Z33" s="8">
        <f>COUNTA(R33:W33)+COUNTA(Y33)</f>
      </c>
      <c r="AA33" s="1"/>
      <c r="AB33" s="40">
        <f>COUNTA(R33:Y36)/4</f>
      </c>
      <c r="AC33" s="1"/>
    </row>
    <row r="34">
      <c r="A34" s="31"/>
      <c r="B34" s="31"/>
      <c r="C34" s="41"/>
      <c r="D34" s="41"/>
      <c r="E34" s="43"/>
      <c r="F34" s="42"/>
      <c r="G34" s="42"/>
      <c r="H34" s="42"/>
      <c r="I34" s="46"/>
      <c r="K34" s="46"/>
      <c r="L34" s="43"/>
      <c r="M34" s="31"/>
      <c r="N34" s="31">
        <v>7</v>
      </c>
      <c r="O34" s="31" t="str">
        <v>a</v>
      </c>
      <c r="P34" s="31">
        <v>2</v>
      </c>
      <c r="Q34" s="31" t="str">
        <v>小怪</v>
      </c>
      <c r="R34" s="44"/>
      <c r="S34" s="44"/>
      <c r="T34" s="44"/>
      <c r="U34" s="44" t="str">
        <v>✔️</v>
      </c>
      <c r="V34" s="47"/>
      <c r="W34" s="47" t="str">
        <v>✔️</v>
      </c>
      <c r="X34" s="45"/>
      <c r="Y34" s="45"/>
      <c r="Z34" s="8">
        <f>COUNTA(R34:W34)+COUNTA(Y34)</f>
      </c>
      <c r="AA34" s="1"/>
      <c r="AB34" s="40"/>
      <c r="AC34" s="1"/>
    </row>
    <row r="35">
      <c r="A35" s="31"/>
      <c r="B35" s="31"/>
      <c r="C35" s="41"/>
      <c r="D35" s="41"/>
      <c r="E35" s="43"/>
      <c r="F35" s="42"/>
      <c r="G35" s="42"/>
      <c r="H35" s="42"/>
      <c r="I35" s="46"/>
      <c r="K35" s="46"/>
      <c r="L35" s="43"/>
      <c r="M35" s="31"/>
      <c r="N35" s="31">
        <v>7</v>
      </c>
      <c r="O35" s="31" t="str">
        <v>b</v>
      </c>
      <c r="P35" s="31">
        <v>3</v>
      </c>
      <c r="Q35" s="31" t="str">
        <v>小怪</v>
      </c>
      <c r="R35" s="44"/>
      <c r="S35" s="44"/>
      <c r="T35" s="44" t="str">
        <v>✔️</v>
      </c>
      <c r="U35" s="44"/>
      <c r="V35" s="47" t="str">
        <v>✔️</v>
      </c>
      <c r="W35" s="47"/>
      <c r="X35" s="45"/>
      <c r="Y35" s="45"/>
      <c r="Z35" s="8">
        <f>COUNTA(R35:W35)+COUNTA(Y35)</f>
      </c>
      <c r="AA35" s="1"/>
      <c r="AB35" s="40"/>
      <c r="AC35" s="1"/>
    </row>
    <row r="36">
      <c r="A36" s="31"/>
      <c r="B36" s="31"/>
      <c r="C36" s="41"/>
      <c r="D36" s="41"/>
      <c r="E36" s="43"/>
      <c r="F36" s="42"/>
      <c r="G36" s="42"/>
      <c r="H36" s="42"/>
      <c r="I36" s="46"/>
      <c r="K36" s="46"/>
      <c r="L36" s="43"/>
      <c r="M36" s="31"/>
      <c r="N36" s="31">
        <v>7</v>
      </c>
      <c r="O36" s="31" t="str">
        <v>b</v>
      </c>
      <c r="P36" s="31">
        <v>4</v>
      </c>
      <c r="Q36" s="31" t="str">
        <v>小怪</v>
      </c>
      <c r="R36" s="44"/>
      <c r="S36" s="44"/>
      <c r="T36" s="44"/>
      <c r="U36" s="44"/>
      <c r="V36" s="47"/>
      <c r="W36" s="47"/>
      <c r="X36" s="45"/>
      <c r="Y36" s="45" t="str">
        <v>✔️</v>
      </c>
      <c r="Z36" s="8">
        <f>COUNTA(R36:W36)+COUNTA(Y36)</f>
      </c>
      <c r="AA36" s="1"/>
      <c r="AB36" s="40"/>
      <c r="AC36" s="1"/>
    </row>
    <row r="37">
      <c r="A37" s="31"/>
      <c r="B37" s="31"/>
      <c r="C37" s="41"/>
      <c r="D37" s="41"/>
      <c r="E37" s="43"/>
      <c r="F37" s="42"/>
      <c r="G37" s="42"/>
      <c r="H37" s="42"/>
      <c r="I37" s="46"/>
      <c r="K37" s="46"/>
      <c r="L37" s="43"/>
      <c r="M37" s="31"/>
      <c r="N37" s="31">
        <v>8</v>
      </c>
      <c r="O37" s="31" t="str">
        <v>a</v>
      </c>
      <c r="P37" s="31">
        <v>1</v>
      </c>
      <c r="Q37" s="31" t="str">
        <v>小怪</v>
      </c>
      <c r="R37" s="44"/>
      <c r="S37" s="44"/>
      <c r="T37" s="44"/>
      <c r="U37" s="44"/>
      <c r="V37" s="47" t="str">
        <v>✔️</v>
      </c>
      <c r="W37" s="47"/>
      <c r="X37" s="45"/>
      <c r="Y37" s="45"/>
      <c r="Z37" s="8">
        <f>COUNTA(R37:W37)+COUNTA(Y37)</f>
      </c>
      <c r="AA37" s="1"/>
      <c r="AB37" s="40">
        <f>COUNTA(R37:Y40)/4</f>
      </c>
      <c r="AC37" s="1"/>
    </row>
    <row r="38">
      <c r="A38" s="31"/>
      <c r="B38" s="31"/>
      <c r="C38" s="41"/>
      <c r="D38" s="41"/>
      <c r="E38" s="43"/>
      <c r="F38" s="42"/>
      <c r="G38" s="42"/>
      <c r="H38" s="42"/>
      <c r="I38" s="46"/>
      <c r="K38" s="46"/>
      <c r="L38" s="43"/>
      <c r="M38" s="31"/>
      <c r="N38" s="31">
        <v>8</v>
      </c>
      <c r="O38" s="31" t="str">
        <v>a</v>
      </c>
      <c r="P38" s="31">
        <v>2</v>
      </c>
      <c r="Q38" s="31" t="str">
        <v>小怪</v>
      </c>
      <c r="R38" s="44"/>
      <c r="S38" s="44"/>
      <c r="T38" s="44"/>
      <c r="U38" s="44"/>
      <c r="V38" s="47"/>
      <c r="W38" s="47" t="str">
        <v>✔️</v>
      </c>
      <c r="X38" s="45" t="str">
        <v>2选1</v>
      </c>
      <c r="Y38" s="45"/>
      <c r="Z38" s="8">
        <f>COUNTA(R38:W38)+COUNTA(Y38)</f>
      </c>
      <c r="AA38" s="1"/>
      <c r="AB38" s="40"/>
      <c r="AC38" s="1"/>
    </row>
    <row r="39">
      <c r="A39" s="31"/>
      <c r="B39" s="31"/>
      <c r="C39" s="41"/>
      <c r="D39" s="41"/>
      <c r="E39" s="43"/>
      <c r="F39" s="42"/>
      <c r="G39" s="42"/>
      <c r="H39" s="42"/>
      <c r="I39" s="46"/>
      <c r="K39" s="46"/>
      <c r="L39" s="43"/>
      <c r="M39" s="31"/>
      <c r="N39" s="31">
        <v>8</v>
      </c>
      <c r="O39" s="31" t="str">
        <v>b</v>
      </c>
      <c r="P39" s="31">
        <v>3</v>
      </c>
      <c r="Q39" s="31" t="str">
        <v>小怪</v>
      </c>
      <c r="R39" s="44" t="str">
        <v>✔️</v>
      </c>
      <c r="S39" s="44"/>
      <c r="T39" s="44"/>
      <c r="U39" s="44"/>
      <c r="V39" s="47"/>
      <c r="W39" s="47"/>
      <c r="X39" s="45"/>
      <c r="Y39" s="45"/>
      <c r="Z39" s="8">
        <f>COUNTA(R39:W39)+COUNTA(Y39)</f>
      </c>
      <c r="AA39" s="1"/>
      <c r="AB39" s="40"/>
      <c r="AC39" s="1"/>
    </row>
    <row r="40">
      <c r="A40" s="31"/>
      <c r="B40" s="31"/>
      <c r="C40" s="41"/>
      <c r="D40" s="41"/>
      <c r="E40" s="43"/>
      <c r="F40" s="42"/>
      <c r="G40" s="42"/>
      <c r="H40" s="42"/>
      <c r="I40" s="46"/>
      <c r="K40" s="46"/>
      <c r="L40" s="43"/>
      <c r="M40" s="31"/>
      <c r="N40" s="31">
        <v>8</v>
      </c>
      <c r="O40" s="31" t="str">
        <v>b</v>
      </c>
      <c r="P40" s="31">
        <v>4</v>
      </c>
      <c r="Q40" s="31" t="str">
        <v>小怪</v>
      </c>
      <c r="R40" s="44"/>
      <c r="S40" s="44"/>
      <c r="T40" s="44"/>
      <c r="U40" s="44"/>
      <c r="V40" s="47"/>
      <c r="W40" s="47" t="str">
        <v>✔️</v>
      </c>
      <c r="X40" s="45" t="str">
        <v>2选1</v>
      </c>
      <c r="Y40" s="45"/>
      <c r="Z40" s="8">
        <f>COUNTA(R40:W40)+COUNTA(Y40)</f>
      </c>
      <c r="AA40" s="1"/>
      <c r="AB40" s="40"/>
      <c r="AC40" s="1"/>
    </row>
    <row r="41">
      <c r="A41" s="31"/>
      <c r="B41" s="31"/>
      <c r="C41" s="41"/>
      <c r="D41" s="41"/>
      <c r="E41" s="43"/>
      <c r="F41" s="42"/>
      <c r="G41" s="42"/>
      <c r="H41" s="42"/>
      <c r="I41" s="46"/>
      <c r="K41" s="46"/>
      <c r="L41" s="43"/>
      <c r="M41" s="31"/>
      <c r="N41" s="31">
        <v>9</v>
      </c>
      <c r="O41" s="31" t="str">
        <v>a</v>
      </c>
      <c r="P41" s="31"/>
      <c r="Q41" s="31" t="str">
        <v>小怪</v>
      </c>
      <c r="R41" s="44" t="str">
        <v>✔️</v>
      </c>
      <c r="S41" s="44"/>
      <c r="T41" s="44"/>
      <c r="U41" s="44"/>
      <c r="V41" s="47"/>
      <c r="W41" s="47"/>
      <c r="X41" s="45"/>
      <c r="Y41" s="45"/>
      <c r="Z41" s="8">
        <f>COUNTA(R41:W41)+COUNTA(Y41)</f>
      </c>
      <c r="AA41" s="1"/>
      <c r="AB41" s="40">
        <f>COUNTA(R41:Y44)/4</f>
      </c>
      <c r="AC41" s="1"/>
    </row>
    <row r="42">
      <c r="A42" s="31"/>
      <c r="B42" s="31"/>
      <c r="C42" s="41"/>
      <c r="D42" s="41"/>
      <c r="E42" s="43"/>
      <c r="F42" s="42"/>
      <c r="G42" s="42"/>
      <c r="H42" s="42"/>
      <c r="I42" s="46"/>
      <c r="K42" s="46"/>
      <c r="L42" s="43"/>
      <c r="M42" s="31"/>
      <c r="N42" s="31">
        <v>9</v>
      </c>
      <c r="O42" s="31" t="str">
        <v>a</v>
      </c>
      <c r="P42" s="31"/>
      <c r="Q42" s="31" t="str">
        <v>小怪</v>
      </c>
      <c r="R42" s="44"/>
      <c r="S42" s="44" t="str">
        <v>✔️</v>
      </c>
      <c r="T42" s="44"/>
      <c r="U42" s="44"/>
      <c r="V42" s="47"/>
      <c r="W42" s="47"/>
      <c r="X42" s="45"/>
      <c r="Y42" s="45"/>
      <c r="Z42" s="8">
        <f>COUNTA(R42:W42)+COUNTA(Y42)</f>
      </c>
      <c r="AA42" s="1"/>
      <c r="AB42" s="40"/>
      <c r="AC42" s="1"/>
    </row>
    <row r="43">
      <c r="A43" s="31"/>
      <c r="B43" s="31"/>
      <c r="C43" s="41"/>
      <c r="D43" s="41"/>
      <c r="E43" s="43"/>
      <c r="F43" s="42"/>
      <c r="G43" s="42"/>
      <c r="H43" s="42"/>
      <c r="I43" s="46"/>
      <c r="K43" s="46"/>
      <c r="L43" s="43"/>
      <c r="M43" s="31"/>
      <c r="N43" s="31">
        <v>9</v>
      </c>
      <c r="O43" s="31" t="str">
        <v>b</v>
      </c>
      <c r="P43" s="31"/>
      <c r="Q43" s="31" t="str">
        <v>小怪</v>
      </c>
      <c r="R43" s="44" t="str">
        <v>✔️</v>
      </c>
      <c r="S43" s="44"/>
      <c r="T43" s="44"/>
      <c r="U43" s="44"/>
      <c r="V43" s="47"/>
      <c r="W43" s="47"/>
      <c r="X43" s="45"/>
      <c r="Y43" s="45" t="str">
        <v>✔️</v>
      </c>
      <c r="Z43" s="8">
        <f>COUNTA(R43:W43)+COUNTA(Y43)</f>
      </c>
      <c r="AA43" s="1"/>
      <c r="AB43" s="40"/>
      <c r="AC43" s="1"/>
    </row>
    <row r="44">
      <c r="A44" s="31"/>
      <c r="B44" s="31"/>
      <c r="C44" s="41"/>
      <c r="D44" s="41"/>
      <c r="E44" s="43"/>
      <c r="F44" s="42"/>
      <c r="G44" s="42"/>
      <c r="H44" s="42"/>
      <c r="I44" s="46"/>
      <c r="K44" s="46"/>
      <c r="L44" s="43"/>
      <c r="M44" s="31"/>
      <c r="N44" s="31">
        <v>9</v>
      </c>
      <c r="O44" s="31" t="str">
        <v>b</v>
      </c>
      <c r="P44" s="31"/>
      <c r="Q44" s="31" t="str">
        <v>小怪</v>
      </c>
      <c r="R44" s="44"/>
      <c r="S44" s="44" t="str">
        <v>✔️</v>
      </c>
      <c r="T44" s="44"/>
      <c r="U44" s="44"/>
      <c r="V44" s="47"/>
      <c r="W44" s="47"/>
      <c r="X44" s="45"/>
      <c r="Y44" s="45" t="str">
        <v>✔️</v>
      </c>
      <c r="Z44" s="8">
        <f>COUNTA(R44:W44)+COUNTA(Y44)</f>
      </c>
      <c r="AA44" s="1"/>
      <c r="AB44" s="40"/>
      <c r="AC44" s="1"/>
    </row>
    <row r="45">
      <c r="A45" s="31"/>
      <c r="B45" s="31"/>
      <c r="C45" s="41"/>
      <c r="D45" s="41"/>
      <c r="E45" s="43"/>
      <c r="F45" s="42"/>
      <c r="G45" s="42"/>
      <c r="H45" s="42"/>
      <c r="I45" s="46"/>
      <c r="K45" s="46"/>
      <c r="L45" s="43"/>
      <c r="M45" s="31"/>
      <c r="N45" s="31">
        <v>10</v>
      </c>
      <c r="O45" s="31" t="str">
        <v>a</v>
      </c>
      <c r="P45" s="31"/>
      <c r="Q45" s="31" t="str">
        <v>小怪</v>
      </c>
      <c r="R45" s="44"/>
      <c r="S45" s="44"/>
      <c r="T45" s="44" t="str">
        <v>✔️</v>
      </c>
      <c r="U45" s="44"/>
      <c r="V45" s="47"/>
      <c r="W45" s="47"/>
      <c r="X45" s="45"/>
      <c r="Y45" s="45"/>
      <c r="Z45" s="8">
        <f>COUNTA(R45:W45)+COUNTA(Y45)</f>
      </c>
      <c r="AA45" s="1"/>
      <c r="AB45" s="40">
        <f>COUNTA(R45:Y48)/4</f>
      </c>
      <c r="AC45" s="1"/>
    </row>
    <row r="46">
      <c r="A46" s="31"/>
      <c r="B46" s="31"/>
      <c r="C46" s="41"/>
      <c r="D46" s="41"/>
      <c r="E46" s="43"/>
      <c r="F46" s="42"/>
      <c r="G46" s="42"/>
      <c r="H46" s="42"/>
      <c r="I46" s="46"/>
      <c r="K46" s="46"/>
      <c r="L46" s="43"/>
      <c r="M46" s="31"/>
      <c r="N46" s="31">
        <v>10</v>
      </c>
      <c r="O46" s="31" t="str">
        <v>a</v>
      </c>
      <c r="P46" s="31"/>
      <c r="Q46" s="31" t="str">
        <v>小怪</v>
      </c>
      <c r="R46" s="44"/>
      <c r="S46" s="44" t="str">
        <v>✔️</v>
      </c>
      <c r="T46" s="44"/>
      <c r="U46" s="44"/>
      <c r="V46" s="47"/>
      <c r="W46" s="47" t="str">
        <v>✔️</v>
      </c>
      <c r="X46" s="45"/>
      <c r="Y46" s="45"/>
      <c r="Z46" s="8">
        <f>COUNTA(R46:W46)+COUNTA(Y46)</f>
      </c>
      <c r="AA46" s="1"/>
      <c r="AB46" s="40"/>
      <c r="AC46" s="1"/>
    </row>
    <row r="47">
      <c r="A47" s="31"/>
      <c r="B47" s="31"/>
      <c r="C47" s="41"/>
      <c r="D47" s="41"/>
      <c r="E47" s="43"/>
      <c r="F47" s="42"/>
      <c r="G47" s="42"/>
      <c r="H47" s="42"/>
      <c r="I47" s="46"/>
      <c r="K47" s="46"/>
      <c r="L47" s="43"/>
      <c r="M47" s="31"/>
      <c r="N47" s="31">
        <v>10</v>
      </c>
      <c r="O47" s="31" t="str">
        <v>b</v>
      </c>
      <c r="P47" s="31"/>
      <c r="Q47" s="31" t="str">
        <v>小怪</v>
      </c>
      <c r="R47" s="44"/>
      <c r="S47" s="44"/>
      <c r="T47" s="44"/>
      <c r="U47" s="44"/>
      <c r="V47" s="47"/>
      <c r="W47" s="47"/>
      <c r="X47" s="45" t="str">
        <v>3选1</v>
      </c>
      <c r="Y47" s="45" t="str">
        <v>✔️</v>
      </c>
      <c r="Z47" s="8">
        <f>COUNTA(R47:W47)+COUNTA(Y47)</f>
      </c>
      <c r="AA47" s="1"/>
      <c r="AB47" s="40"/>
      <c r="AC47" s="1"/>
    </row>
    <row r="48">
      <c r="A48" s="31"/>
      <c r="B48" s="31"/>
      <c r="C48" s="41"/>
      <c r="D48" s="41"/>
      <c r="E48" s="43"/>
      <c r="F48" s="42"/>
      <c r="G48" s="42"/>
      <c r="H48" s="42"/>
      <c r="I48" s="46"/>
      <c r="K48" s="46"/>
      <c r="L48" s="43"/>
      <c r="M48" s="31"/>
      <c r="N48" s="31">
        <v>10</v>
      </c>
      <c r="O48" s="31" t="str">
        <v>b</v>
      </c>
      <c r="P48" s="31"/>
      <c r="Q48" s="31" t="str">
        <v>小怪</v>
      </c>
      <c r="R48" s="44"/>
      <c r="S48" s="44" t="str">
        <v>✔️</v>
      </c>
      <c r="T48" s="44"/>
      <c r="U48" s="44"/>
      <c r="V48" s="47"/>
      <c r="W48" s="47"/>
      <c r="X48" s="45"/>
      <c r="Y48" s="45"/>
      <c r="Z48" s="8">
        <f>COUNTA(R48:W48)+COUNTA(Y48)</f>
      </c>
      <c r="AA48" s="1"/>
      <c r="AB48" s="40"/>
      <c r="AC48" s="1"/>
    </row>
    <row r="49">
      <c r="A49" s="31"/>
      <c r="B49" s="31"/>
      <c r="C49" s="41"/>
      <c r="D49" s="41"/>
      <c r="E49" s="43"/>
      <c r="F49" s="42"/>
      <c r="G49" s="42"/>
      <c r="H49" s="42"/>
      <c r="I49" s="46"/>
      <c r="K49" s="46"/>
      <c r="L49" s="43"/>
      <c r="M49" s="31"/>
      <c r="N49" s="31">
        <v>11</v>
      </c>
      <c r="O49" s="31" t="str">
        <v>a</v>
      </c>
      <c r="P49" s="31"/>
      <c r="Q49" s="31" t="str">
        <v>小怪</v>
      </c>
      <c r="R49" s="44" t="str">
        <v>✔️</v>
      </c>
      <c r="S49" s="44"/>
      <c r="T49" s="44"/>
      <c r="U49" s="44"/>
      <c r="V49" s="47"/>
      <c r="W49" s="47"/>
      <c r="X49" s="45"/>
      <c r="Y49" s="45"/>
      <c r="Z49" s="8">
        <f>COUNTA(R49:W49)+COUNTA(Y49)</f>
      </c>
      <c r="AA49" s="1"/>
      <c r="AB49" s="40">
        <f>COUNTA(R49:Y52)/4</f>
      </c>
      <c r="AC49" s="1"/>
    </row>
    <row r="50">
      <c r="A50" s="31"/>
      <c r="B50" s="31"/>
      <c r="C50" s="41"/>
      <c r="D50" s="41"/>
      <c r="E50" s="43"/>
      <c r="F50" s="42"/>
      <c r="G50" s="42"/>
      <c r="H50" s="42"/>
      <c r="I50" s="46"/>
      <c r="K50" s="46"/>
      <c r="L50" s="43"/>
      <c r="M50" s="31"/>
      <c r="N50" s="31">
        <v>11</v>
      </c>
      <c r="O50" s="31" t="str">
        <v>a</v>
      </c>
      <c r="P50" s="31"/>
      <c r="Q50" s="31" t="str">
        <v>小怪</v>
      </c>
      <c r="R50" s="44"/>
      <c r="S50" s="44"/>
      <c r="T50" s="44"/>
      <c r="U50" s="44" t="str">
        <v>✔️</v>
      </c>
      <c r="V50" s="47"/>
      <c r="W50" s="47"/>
      <c r="X50" s="45"/>
      <c r="Y50" s="45"/>
      <c r="Z50" s="8">
        <f>COUNTA(R50:W50)+COUNTA(Y50)</f>
      </c>
      <c r="AA50" s="1"/>
      <c r="AB50" s="40"/>
      <c r="AC50" s="1"/>
    </row>
    <row r="51">
      <c r="A51" s="31"/>
      <c r="B51" s="31"/>
      <c r="C51" s="41"/>
      <c r="D51" s="41"/>
      <c r="E51" s="43"/>
      <c r="F51" s="42"/>
      <c r="G51" s="42"/>
      <c r="H51" s="42"/>
      <c r="I51" s="46"/>
      <c r="K51" s="46"/>
      <c r="L51" s="43"/>
      <c r="M51" s="31"/>
      <c r="N51" s="31">
        <v>11</v>
      </c>
      <c r="O51" s="31" t="str">
        <v>b</v>
      </c>
      <c r="P51" s="31"/>
      <c r="Q51" s="31" t="str">
        <v>小怪</v>
      </c>
      <c r="R51" s="44" t="str">
        <v>✔️</v>
      </c>
      <c r="S51" s="44"/>
      <c r="T51" s="44"/>
      <c r="U51" s="44"/>
      <c r="V51" s="47" t="str">
        <v>✔️</v>
      </c>
      <c r="W51" s="47"/>
      <c r="X51" s="45" t="str">
        <v>1选1</v>
      </c>
      <c r="Y51" s="45"/>
      <c r="Z51" s="8">
        <f>COUNTA(R51:W51)+COUNTA(Y51)</f>
      </c>
      <c r="AA51" s="1"/>
      <c r="AB51" s="40"/>
      <c r="AC51" s="1"/>
    </row>
    <row r="52">
      <c r="A52" s="31"/>
      <c r="B52" s="31"/>
      <c r="C52" s="41"/>
      <c r="D52" s="41"/>
      <c r="E52" s="43"/>
      <c r="F52" s="42"/>
      <c r="G52" s="42"/>
      <c r="H52" s="42"/>
      <c r="I52" s="46"/>
      <c r="K52" s="46"/>
      <c r="L52" s="43"/>
      <c r="M52" s="31"/>
      <c r="N52" s="31">
        <v>11</v>
      </c>
      <c r="O52" s="31" t="str">
        <v>b</v>
      </c>
      <c r="P52" s="31"/>
      <c r="Q52" s="31" t="str">
        <v>小怪</v>
      </c>
      <c r="R52" s="44"/>
      <c r="S52" s="44"/>
      <c r="T52" s="44"/>
      <c r="U52" s="44" t="str">
        <v>✔️</v>
      </c>
      <c r="V52" s="47"/>
      <c r="W52" s="47"/>
      <c r="X52" s="45"/>
      <c r="Y52" s="45"/>
      <c r="Z52" s="8">
        <f>COUNTA(R52:W52)+COUNTA(Y52)</f>
      </c>
      <c r="AA52" s="1"/>
      <c r="AB52" s="40"/>
      <c r="AC52" s="1"/>
    </row>
    <row r="53">
      <c r="A53" s="31"/>
      <c r="B53" s="31"/>
      <c r="C53" s="41"/>
      <c r="D53" s="41"/>
      <c r="E53" s="43"/>
      <c r="F53" s="42"/>
      <c r="G53" s="42"/>
      <c r="H53" s="42"/>
      <c r="I53" s="46"/>
      <c r="K53" s="46"/>
      <c r="L53" s="43"/>
      <c r="M53" s="31"/>
      <c r="N53" s="31">
        <v>12</v>
      </c>
      <c r="O53" s="31" t="str">
        <v>a</v>
      </c>
      <c r="P53" s="31"/>
      <c r="Q53" s="31" t="str">
        <v>小怪</v>
      </c>
      <c r="R53" s="44"/>
      <c r="S53" s="44"/>
      <c r="T53" s="44"/>
      <c r="U53" s="44"/>
      <c r="V53" s="47" t="str">
        <v>✔️</v>
      </c>
      <c r="W53" s="47"/>
      <c r="X53" s="45"/>
      <c r="Y53" s="45" t="str">
        <v>✔️</v>
      </c>
      <c r="Z53" s="8">
        <f>COUNTA(R53:W53)+COUNTA(Y53)</f>
      </c>
      <c r="AA53" s="1"/>
      <c r="AB53" s="40">
        <f>COUNTA(R53:Y56)/4</f>
      </c>
      <c r="AC53" s="1"/>
    </row>
    <row r="54">
      <c r="A54" s="31"/>
      <c r="B54" s="31"/>
      <c r="C54" s="41"/>
      <c r="D54" s="41"/>
      <c r="E54" s="43"/>
      <c r="F54" s="42"/>
      <c r="G54" s="42"/>
      <c r="H54" s="42"/>
      <c r="I54" s="46"/>
      <c r="K54" s="46"/>
      <c r="L54" s="43"/>
      <c r="M54" s="31"/>
      <c r="N54" s="31">
        <v>12</v>
      </c>
      <c r="O54" s="31" t="str">
        <v>a</v>
      </c>
      <c r="P54" s="31"/>
      <c r="Q54" s="31" t="str">
        <v>小怪</v>
      </c>
      <c r="R54" s="44"/>
      <c r="S54" s="44"/>
      <c r="T54" s="44"/>
      <c r="U54" s="44"/>
      <c r="V54" s="47"/>
      <c r="W54" s="47" t="str">
        <v>✔️</v>
      </c>
      <c r="X54" s="45"/>
      <c r="Y54" s="45"/>
      <c r="Z54" s="8">
        <f>COUNTA(R54:W54)+COUNTA(Y54)</f>
      </c>
      <c r="AA54" s="1"/>
      <c r="AB54" s="40"/>
      <c r="AC54" s="1"/>
    </row>
    <row r="55">
      <c r="A55" s="31"/>
      <c r="B55" s="31"/>
      <c r="C55" s="41"/>
      <c r="D55" s="41"/>
      <c r="E55" s="43"/>
      <c r="F55" s="42"/>
      <c r="G55" s="42"/>
      <c r="H55" s="42"/>
      <c r="I55" s="46"/>
      <c r="K55" s="46"/>
      <c r="L55" s="43"/>
      <c r="M55" s="31"/>
      <c r="N55" s="31">
        <v>12</v>
      </c>
      <c r="O55" s="31" t="str">
        <v>b</v>
      </c>
      <c r="P55" s="31"/>
      <c r="Q55" s="31" t="str">
        <v>小怪</v>
      </c>
      <c r="R55" s="44"/>
      <c r="S55" s="44" t="str">
        <v>✔️</v>
      </c>
      <c r="T55" s="44"/>
      <c r="U55" s="44"/>
      <c r="V55" s="47"/>
      <c r="W55" s="47"/>
      <c r="X55" s="45" t="str">
        <v>2选1</v>
      </c>
      <c r="Y55" s="45"/>
      <c r="Z55" s="8">
        <f>COUNTA(R55:W55)+COUNTA(Y55)</f>
      </c>
      <c r="AA55" s="1"/>
      <c r="AB55" s="40"/>
      <c r="AC55" s="1"/>
    </row>
    <row r="56">
      <c r="A56" s="31"/>
      <c r="B56" s="31"/>
      <c r="C56" s="41"/>
      <c r="D56" s="41"/>
      <c r="E56" s="43"/>
      <c r="F56" s="42"/>
      <c r="G56" s="42"/>
      <c r="H56" s="42"/>
      <c r="I56" s="46"/>
      <c r="K56" s="46"/>
      <c r="L56" s="43"/>
      <c r="M56" s="31"/>
      <c r="N56" s="31">
        <v>12</v>
      </c>
      <c r="O56" s="31" t="str">
        <v>b</v>
      </c>
      <c r="P56" s="31"/>
      <c r="Q56" s="31" t="str">
        <v>小怪</v>
      </c>
      <c r="R56" s="44"/>
      <c r="S56" s="44"/>
      <c r="T56" s="44"/>
      <c r="U56" s="44" t="str">
        <v>✔️</v>
      </c>
      <c r="V56" s="47"/>
      <c r="W56" s="47"/>
      <c r="X56" s="45"/>
      <c r="Y56" s="45"/>
      <c r="Z56" s="8">
        <f>COUNTA(R56:W56)+COUNTA(Y56)</f>
      </c>
      <c r="AA56" s="1"/>
      <c r="AB56" s="40"/>
      <c r="AC56" s="1"/>
    </row>
    <row r="57">
      <c r="A57" s="31"/>
      <c r="B57" s="31"/>
      <c r="C57" s="41"/>
      <c r="D57" s="41"/>
      <c r="E57" s="43"/>
      <c r="F57" s="42"/>
      <c r="G57" s="42"/>
      <c r="H57" s="42"/>
      <c r="I57" s="46"/>
      <c r="K57" s="46"/>
      <c r="L57" s="43"/>
      <c r="M57" s="31"/>
      <c r="N57" s="31"/>
      <c r="O57" s="31"/>
      <c r="P57" s="31"/>
      <c r="Q57" s="31"/>
      <c r="R57" s="44"/>
      <c r="S57" s="44"/>
      <c r="T57" s="44"/>
      <c r="U57" s="44"/>
      <c r="V57" s="47"/>
      <c r="W57" s="47"/>
      <c r="X57" s="45"/>
      <c r="Y57" s="45"/>
      <c r="Z57" s="8"/>
      <c r="AA57" s="1"/>
      <c r="AB57" s="33"/>
      <c r="AC57" s="1"/>
    </row>
    <row r="58">
      <c r="A58" s="31"/>
      <c r="B58" s="31"/>
      <c r="C58" s="41"/>
      <c r="D58" s="41"/>
      <c r="E58" s="43"/>
      <c r="F58" s="42"/>
      <c r="G58" s="42"/>
      <c r="H58" s="42"/>
      <c r="I58" s="46"/>
      <c r="K58" s="46"/>
      <c r="L58" s="43"/>
      <c r="M58" s="31"/>
      <c r="N58" s="31"/>
      <c r="O58" s="31"/>
      <c r="P58" s="31"/>
      <c r="Q58" s="31"/>
      <c r="R58" s="44"/>
      <c r="S58" s="44"/>
      <c r="T58" s="44"/>
      <c r="U58" s="44"/>
      <c r="V58" s="47"/>
      <c r="W58" s="47"/>
      <c r="X58" s="45"/>
      <c r="Y58" s="45"/>
      <c r="Z58" s="8"/>
      <c r="AA58" s="1"/>
      <c r="AB58" s="33"/>
      <c r="AC58" s="1"/>
    </row>
    <row r="59">
      <c r="A59" s="31"/>
      <c r="B59" s="31"/>
      <c r="C59" s="41"/>
      <c r="D59" s="41"/>
      <c r="E59" s="43"/>
      <c r="F59" s="42"/>
      <c r="G59" s="42"/>
      <c r="H59" s="42"/>
      <c r="I59" s="46"/>
      <c r="K59" s="46"/>
      <c r="L59" s="43"/>
      <c r="M59" s="31"/>
      <c r="N59" s="31"/>
      <c r="O59" s="31"/>
      <c r="P59" s="31"/>
      <c r="Q59" s="31"/>
      <c r="R59" s="44"/>
      <c r="S59" s="44"/>
      <c r="T59" s="44"/>
      <c r="U59" s="44"/>
      <c r="V59" s="47"/>
      <c r="W59" s="47"/>
      <c r="X59" s="45"/>
      <c r="Y59" s="45"/>
      <c r="Z59" s="8"/>
      <c r="AA59" s="1"/>
      <c r="AB59" s="33"/>
      <c r="AC59" s="1"/>
    </row>
    <row r="60">
      <c r="A60" s="31"/>
      <c r="B60" s="31"/>
      <c r="C60" s="41"/>
      <c r="D60" s="41"/>
      <c r="E60" s="43"/>
      <c r="F60" s="42"/>
      <c r="G60" s="42"/>
      <c r="H60" s="42"/>
      <c r="I60" s="46"/>
      <c r="K60" s="46"/>
      <c r="L60" s="43"/>
      <c r="M60" s="31"/>
      <c r="N60" s="31"/>
      <c r="O60" s="31"/>
      <c r="P60" s="31"/>
      <c r="Q60" s="31"/>
      <c r="R60" s="44"/>
      <c r="S60" s="44"/>
      <c r="T60" s="44"/>
      <c r="U60" s="44"/>
      <c r="V60" s="47"/>
      <c r="W60" s="47"/>
      <c r="X60" s="45"/>
      <c r="Y60" s="45"/>
      <c r="Z60" s="8"/>
      <c r="AA60" s="1"/>
      <c r="AB60" s="33"/>
      <c r="AC60" s="1"/>
    </row>
    <row r="61">
      <c r="A61" s="31"/>
      <c r="B61" s="31"/>
      <c r="C61" s="41"/>
      <c r="D61" s="41"/>
      <c r="E61" s="43"/>
      <c r="F61" s="42"/>
      <c r="G61" s="42"/>
      <c r="H61" s="42"/>
      <c r="I61" s="46"/>
      <c r="K61" s="46"/>
      <c r="L61" s="43"/>
      <c r="M61" s="31"/>
      <c r="N61" s="31"/>
      <c r="O61" s="31"/>
      <c r="P61" s="31"/>
      <c r="Q61" s="31"/>
      <c r="R61" s="44"/>
      <c r="S61" s="44"/>
      <c r="T61" s="44"/>
      <c r="U61" s="44"/>
      <c r="V61" s="47"/>
      <c r="W61" s="47"/>
      <c r="X61" s="45"/>
      <c r="Y61" s="45"/>
      <c r="Z61" s="8"/>
      <c r="AA61" s="1"/>
      <c r="AB61" s="33"/>
      <c r="AC61" s="1"/>
    </row>
    <row r="62">
      <c r="A62" s="31"/>
      <c r="B62" s="31"/>
      <c r="C62" s="41"/>
      <c r="D62" s="41"/>
      <c r="E62" s="43"/>
      <c r="F62" s="42"/>
      <c r="G62" s="42"/>
      <c r="H62" s="42"/>
      <c r="I62" s="46"/>
      <c r="K62" s="46"/>
      <c r="L62" s="43"/>
      <c r="M62" s="31"/>
      <c r="N62" s="31"/>
      <c r="O62" s="31"/>
      <c r="P62" s="31"/>
      <c r="Q62" s="31"/>
      <c r="R62" s="44"/>
      <c r="S62" s="44"/>
      <c r="T62" s="44"/>
      <c r="U62" s="44"/>
      <c r="V62" s="47"/>
      <c r="W62" s="47"/>
      <c r="X62" s="45"/>
      <c r="Y62" s="45"/>
      <c r="Z62" s="8"/>
      <c r="AA62" s="1"/>
      <c r="AB62" s="33"/>
      <c r="AC62" s="1"/>
    </row>
    <row r="63">
      <c r="A63" s="31"/>
      <c r="B63" s="31"/>
      <c r="C63" s="41"/>
      <c r="D63" s="41"/>
      <c r="E63" s="43"/>
      <c r="F63" s="42"/>
      <c r="G63" s="42"/>
      <c r="H63" s="42"/>
      <c r="I63" s="46"/>
      <c r="K63" s="46"/>
      <c r="L63" s="43"/>
      <c r="M63" s="31"/>
      <c r="N63" s="31"/>
      <c r="O63" s="31"/>
      <c r="P63" s="31"/>
      <c r="Q63" s="31"/>
      <c r="R63" s="44"/>
      <c r="S63" s="44"/>
      <c r="T63" s="44"/>
      <c r="U63" s="44"/>
      <c r="V63" s="47"/>
      <c r="W63" s="47"/>
      <c r="X63" s="45"/>
      <c r="Y63" s="45"/>
      <c r="Z63" s="8"/>
      <c r="AA63" s="1"/>
      <c r="AB63" s="33"/>
      <c r="AC63" s="1"/>
    </row>
    <row r="64">
      <c r="A64" s="31"/>
      <c r="B64" s="31"/>
      <c r="C64" s="41"/>
      <c r="D64" s="41"/>
      <c r="E64" s="43"/>
      <c r="F64" s="42"/>
      <c r="G64" s="42"/>
      <c r="H64" s="42"/>
      <c r="I64" s="46"/>
      <c r="K64" s="46"/>
      <c r="L64" s="43"/>
      <c r="M64" s="31"/>
      <c r="N64" s="31"/>
      <c r="O64" s="31"/>
      <c r="P64" s="31"/>
      <c r="Q64" s="31"/>
      <c r="R64" s="44"/>
      <c r="S64" s="44"/>
      <c r="T64" s="44"/>
      <c r="U64" s="44"/>
      <c r="V64" s="47"/>
      <c r="W64" s="47"/>
      <c r="X64" s="45"/>
      <c r="Y64" s="45"/>
      <c r="Z64" s="8"/>
      <c r="AA64" s="1"/>
      <c r="AB64" s="33"/>
      <c r="AC64" s="1"/>
    </row>
    <row r="65">
      <c r="A65" s="31"/>
      <c r="B65" s="31"/>
      <c r="C65" s="41"/>
      <c r="D65" s="41"/>
      <c r="E65" s="43"/>
      <c r="F65" s="42"/>
      <c r="G65" s="42"/>
      <c r="H65" s="42"/>
      <c r="I65" s="46"/>
      <c r="K65" s="46"/>
      <c r="L65" s="43"/>
      <c r="M65" s="31"/>
      <c r="N65" s="31"/>
      <c r="O65" s="31"/>
      <c r="P65" s="31"/>
      <c r="Q65" s="31"/>
      <c r="R65" s="44"/>
      <c r="S65" s="44"/>
      <c r="T65" s="44"/>
      <c r="U65" s="44"/>
      <c r="V65" s="47"/>
      <c r="W65" s="47"/>
      <c r="X65" s="45"/>
      <c r="Y65" s="45"/>
      <c r="Z65" s="8"/>
      <c r="AA65" s="1"/>
      <c r="AB65" s="33"/>
      <c r="AC65" s="1"/>
    </row>
    <row r="66">
      <c r="A66" s="31"/>
      <c r="B66" s="31"/>
      <c r="C66" s="41"/>
      <c r="D66" s="41"/>
      <c r="E66" s="43"/>
      <c r="F66" s="42"/>
      <c r="G66" s="42"/>
      <c r="H66" s="42"/>
      <c r="I66" s="46"/>
      <c r="K66" s="46"/>
      <c r="L66" s="43"/>
      <c r="M66" s="31"/>
      <c r="N66" s="31"/>
      <c r="O66" s="31"/>
      <c r="P66" s="31"/>
      <c r="Q66" s="31"/>
      <c r="R66" s="44"/>
      <c r="S66" s="44"/>
      <c r="T66" s="44"/>
      <c r="U66" s="44"/>
      <c r="V66" s="47"/>
      <c r="W66" s="47"/>
      <c r="X66" s="45"/>
      <c r="Y66" s="45"/>
      <c r="Z66" s="8"/>
      <c r="AA66" s="1"/>
      <c r="AB66" s="33"/>
      <c r="AC66" s="1"/>
    </row>
    <row r="67">
      <c r="A67" s="31"/>
      <c r="B67" s="31"/>
      <c r="C67" s="41"/>
      <c r="D67" s="41"/>
      <c r="E67" s="43"/>
      <c r="F67" s="42"/>
      <c r="G67" s="42"/>
      <c r="H67" s="42"/>
      <c r="I67" s="46"/>
      <c r="K67" s="46"/>
      <c r="L67" s="43"/>
      <c r="M67" s="31"/>
      <c r="N67" s="31"/>
      <c r="O67" s="31"/>
      <c r="P67" s="31"/>
      <c r="Q67" s="31"/>
      <c r="R67" s="44"/>
      <c r="S67" s="44"/>
      <c r="T67" s="44"/>
      <c r="U67" s="44"/>
      <c r="V67" s="47"/>
      <c r="W67" s="47"/>
      <c r="X67" s="45"/>
      <c r="Y67" s="45"/>
      <c r="Z67" s="8"/>
      <c r="AA67" s="1"/>
      <c r="AB67" s="33"/>
      <c r="AC67" s="1"/>
    </row>
    <row r="68">
      <c r="A68" s="31"/>
      <c r="B68" s="31"/>
      <c r="C68" s="41"/>
      <c r="D68" s="41"/>
      <c r="E68" s="43"/>
      <c r="F68" s="42"/>
      <c r="G68" s="42"/>
      <c r="H68" s="42"/>
      <c r="I68" s="46"/>
      <c r="K68" s="46"/>
      <c r="L68" s="43"/>
      <c r="M68" s="31"/>
      <c r="N68" s="31"/>
      <c r="O68" s="31"/>
      <c r="P68" s="31"/>
      <c r="Q68" s="31"/>
      <c r="R68" s="44"/>
      <c r="S68" s="44"/>
      <c r="T68" s="44"/>
      <c r="U68" s="44"/>
      <c r="V68" s="47"/>
      <c r="W68" s="47"/>
      <c r="X68" s="45"/>
      <c r="Y68" s="45"/>
      <c r="Z68" s="8"/>
      <c r="AA68" s="1"/>
      <c r="AB68" s="33"/>
      <c r="AC68" s="1"/>
    </row>
    <row r="69">
      <c r="A69" s="31"/>
      <c r="B69" s="31"/>
      <c r="C69" s="41"/>
      <c r="D69" s="41"/>
      <c r="E69" s="43"/>
      <c r="F69" s="42"/>
      <c r="G69" s="42"/>
      <c r="H69" s="42"/>
      <c r="I69" s="46"/>
      <c r="K69" s="46"/>
      <c r="L69" s="43"/>
      <c r="M69" s="31"/>
      <c r="N69" s="31"/>
      <c r="O69" s="31"/>
      <c r="P69" s="31"/>
      <c r="Q69" s="31"/>
      <c r="R69" s="44"/>
      <c r="S69" s="44"/>
      <c r="T69" s="44"/>
      <c r="U69" s="44"/>
      <c r="V69" s="47"/>
      <c r="W69" s="47"/>
      <c r="X69" s="45"/>
      <c r="Y69" s="45"/>
      <c r="Z69" s="31"/>
      <c r="AA69" s="1"/>
      <c r="AB69" s="33"/>
      <c r="AC69" s="1"/>
    </row>
    <row r="70">
      <c r="A70" s="31"/>
      <c r="B70" s="31"/>
      <c r="C70" s="41"/>
      <c r="D70" s="41"/>
      <c r="E70" s="43"/>
      <c r="F70" s="42"/>
      <c r="G70" s="42"/>
      <c r="H70" s="42"/>
      <c r="I70" s="46"/>
      <c r="K70" s="46"/>
      <c r="L70" s="43"/>
      <c r="M70" s="31"/>
      <c r="N70" s="31"/>
      <c r="O70" s="31"/>
      <c r="P70" s="31"/>
      <c r="Q70" s="31"/>
      <c r="R70" s="44"/>
      <c r="S70" s="44"/>
      <c r="T70" s="44"/>
      <c r="U70" s="44"/>
      <c r="V70" s="47"/>
      <c r="W70" s="47"/>
      <c r="X70" s="45"/>
      <c r="Y70" s="45"/>
      <c r="Z70" s="31"/>
      <c r="AA70" s="1"/>
      <c r="AB70" s="33"/>
      <c r="AC70" s="1"/>
    </row>
    <row r="71">
      <c r="A71" s="31"/>
      <c r="B71" s="31"/>
      <c r="C71" s="41"/>
      <c r="D71" s="41"/>
      <c r="E71" s="43"/>
      <c r="F71" s="42"/>
      <c r="G71" s="42"/>
      <c r="H71" s="42"/>
      <c r="I71" s="46"/>
      <c r="K71" s="46"/>
      <c r="L71" s="43"/>
      <c r="M71" s="31"/>
      <c r="N71" s="31"/>
      <c r="O71" s="31"/>
      <c r="P71" s="31"/>
      <c r="Q71" s="31"/>
      <c r="R71" s="44"/>
      <c r="S71" s="44"/>
      <c r="T71" s="44"/>
      <c r="U71" s="44"/>
      <c r="V71" s="47"/>
      <c r="W71" s="47"/>
      <c r="X71" s="45"/>
      <c r="Y71" s="45"/>
      <c r="Z71" s="31"/>
      <c r="AA71" s="1"/>
      <c r="AB71" s="33"/>
      <c r="AC71" s="1"/>
    </row>
    <row r="72">
      <c r="A72" s="31"/>
      <c r="B72" s="31"/>
      <c r="C72" s="41"/>
      <c r="D72" s="41"/>
      <c r="E72" s="43"/>
      <c r="F72" s="42"/>
      <c r="G72" s="42"/>
      <c r="H72" s="42"/>
      <c r="I72" s="46"/>
      <c r="K72" s="46"/>
      <c r="L72" s="43"/>
      <c r="M72" s="31"/>
      <c r="N72" s="31"/>
      <c r="O72" s="31"/>
      <c r="P72" s="31"/>
      <c r="Q72" s="31"/>
      <c r="R72" s="44"/>
      <c r="S72" s="44"/>
      <c r="T72" s="44"/>
      <c r="U72" s="44"/>
      <c r="V72" s="47"/>
      <c r="W72" s="47"/>
      <c r="X72" s="45"/>
      <c r="Y72" s="45"/>
      <c r="Z72" s="31"/>
      <c r="AA72" s="1"/>
      <c r="AB72" s="33"/>
      <c r="AC72" s="1"/>
    </row>
    <row r="73">
      <c r="A73" s="31"/>
      <c r="B73" s="31"/>
      <c r="C73" s="41"/>
      <c r="D73" s="41"/>
      <c r="E73" s="43"/>
      <c r="F73" s="42"/>
      <c r="G73" s="42"/>
      <c r="H73" s="42"/>
      <c r="I73" s="46"/>
      <c r="K73" s="46"/>
      <c r="L73" s="43"/>
      <c r="M73" s="31"/>
      <c r="N73" s="31"/>
      <c r="O73" s="31"/>
      <c r="P73" s="31"/>
      <c r="Q73" s="31"/>
      <c r="R73" s="44"/>
      <c r="S73" s="44"/>
      <c r="T73" s="44"/>
      <c r="U73" s="44"/>
      <c r="V73" s="47"/>
      <c r="W73" s="47"/>
      <c r="X73" s="45"/>
      <c r="Y73" s="45"/>
      <c r="Z73" s="31"/>
      <c r="AA73" s="1"/>
      <c r="AB73" s="33"/>
      <c r="AC73" s="1"/>
    </row>
    <row r="74">
      <c r="A74" s="31"/>
      <c r="B74" s="31"/>
      <c r="C74" s="41"/>
      <c r="D74" s="41"/>
      <c r="E74" s="43"/>
      <c r="F74" s="42"/>
      <c r="G74" s="42"/>
      <c r="H74" s="42"/>
      <c r="I74" s="46"/>
      <c r="K74" s="46"/>
      <c r="L74" s="43"/>
      <c r="M74" s="31"/>
      <c r="N74" s="31"/>
      <c r="O74" s="31"/>
      <c r="P74" s="31"/>
      <c r="Q74" s="31"/>
      <c r="R74" s="44"/>
      <c r="S74" s="44"/>
      <c r="T74" s="44"/>
      <c r="U74" s="44"/>
      <c r="V74" s="47"/>
      <c r="W74" s="47"/>
      <c r="X74" s="45"/>
      <c r="Y74" s="45"/>
      <c r="Z74" s="31"/>
      <c r="AA74" s="1"/>
      <c r="AB74" s="33"/>
      <c r="AC74" s="1"/>
    </row>
    <row r="75">
      <c r="A75" s="31"/>
      <c r="B75" s="31"/>
      <c r="C75" s="41"/>
      <c r="D75" s="41"/>
      <c r="E75" s="43"/>
      <c r="F75" s="42"/>
      <c r="G75" s="42"/>
      <c r="H75" s="42"/>
      <c r="I75" s="46"/>
      <c r="K75" s="46"/>
      <c r="L75" s="43"/>
      <c r="M75" s="31"/>
      <c r="N75" s="31"/>
      <c r="O75" s="31"/>
      <c r="P75" s="31"/>
      <c r="Q75" s="31"/>
      <c r="R75" s="44"/>
      <c r="S75" s="44"/>
      <c r="T75" s="44"/>
      <c r="U75" s="44"/>
      <c r="V75" s="47"/>
      <c r="W75" s="47"/>
      <c r="X75" s="45"/>
      <c r="Y75" s="45"/>
      <c r="Z75" s="31"/>
      <c r="AA75" s="1"/>
      <c r="AB75" s="33"/>
      <c r="AC75" s="1"/>
    </row>
    <row r="76">
      <c r="A76" s="31"/>
      <c r="B76" s="31"/>
      <c r="C76" s="41"/>
      <c r="D76" s="41"/>
      <c r="E76" s="43"/>
      <c r="F76" s="42"/>
      <c r="G76" s="42"/>
      <c r="H76" s="42"/>
      <c r="I76" s="46"/>
      <c r="K76" s="46"/>
      <c r="L76" s="43"/>
      <c r="M76" s="31"/>
      <c r="N76" s="31"/>
      <c r="O76" s="31"/>
      <c r="P76" s="31"/>
      <c r="Q76" s="31"/>
      <c r="R76" s="44"/>
      <c r="S76" s="44"/>
      <c r="T76" s="44"/>
      <c r="U76" s="44"/>
      <c r="V76" s="47"/>
      <c r="W76" s="47"/>
      <c r="X76" s="45"/>
      <c r="Y76" s="45"/>
      <c r="Z76" s="31"/>
      <c r="AA76" s="1"/>
      <c r="AB76" s="33"/>
      <c r="AC76" s="1"/>
    </row>
    <row r="77">
      <c r="A77" s="31"/>
      <c r="B77" s="31"/>
      <c r="C77" s="41"/>
      <c r="D77" s="41"/>
      <c r="E77" s="43"/>
      <c r="F77" s="42"/>
      <c r="G77" s="42"/>
      <c r="H77" s="42"/>
      <c r="I77" s="46"/>
      <c r="K77" s="46"/>
      <c r="L77" s="43"/>
      <c r="M77" s="31"/>
      <c r="N77" s="31"/>
      <c r="O77" s="31"/>
      <c r="P77" s="31"/>
      <c r="Q77" s="31"/>
      <c r="R77" s="44"/>
      <c r="S77" s="44"/>
      <c r="T77" s="44"/>
      <c r="U77" s="44"/>
      <c r="V77" s="47"/>
      <c r="W77" s="47"/>
      <c r="X77" s="45"/>
      <c r="Y77" s="45"/>
      <c r="Z77" s="31"/>
      <c r="AA77" s="1"/>
      <c r="AB77" s="33"/>
      <c r="AC77" s="1"/>
    </row>
    <row r="78">
      <c r="A78" s="31"/>
      <c r="B78" s="31"/>
      <c r="C78" s="41"/>
      <c r="D78" s="41"/>
      <c r="E78" s="43"/>
      <c r="F78" s="42"/>
      <c r="G78" s="42"/>
      <c r="H78" s="42"/>
      <c r="I78" s="46"/>
      <c r="K78" s="46"/>
      <c r="L78" s="43"/>
      <c r="M78" s="31"/>
      <c r="N78" s="31"/>
      <c r="O78" s="31"/>
      <c r="P78" s="31"/>
      <c r="Q78" s="31"/>
      <c r="R78" s="44"/>
      <c r="S78" s="44"/>
      <c r="T78" s="44"/>
      <c r="U78" s="44"/>
      <c r="V78" s="47"/>
      <c r="W78" s="47"/>
      <c r="X78" s="45"/>
      <c r="Y78" s="45"/>
      <c r="Z78" s="31"/>
      <c r="AA78" s="1"/>
      <c r="AB78" s="33"/>
      <c r="AC78" s="1"/>
    </row>
    <row r="79">
      <c r="A79" s="31"/>
      <c r="B79" s="31"/>
      <c r="C79" s="41"/>
      <c r="D79" s="41"/>
      <c r="E79" s="43"/>
      <c r="F79" s="42"/>
      <c r="G79" s="42"/>
      <c r="H79" s="42"/>
      <c r="I79" s="46"/>
      <c r="K79" s="46"/>
      <c r="L79" s="43"/>
      <c r="M79" s="31"/>
      <c r="N79" s="31"/>
      <c r="O79" s="31"/>
      <c r="P79" s="31"/>
      <c r="Q79" s="31"/>
      <c r="R79" s="44"/>
      <c r="S79" s="44"/>
      <c r="T79" s="44"/>
      <c r="U79" s="44"/>
      <c r="V79" s="47"/>
      <c r="W79" s="47"/>
      <c r="X79" s="45"/>
      <c r="Y79" s="45"/>
      <c r="Z79" s="31"/>
      <c r="AA79" s="1"/>
      <c r="AB79" s="33"/>
      <c r="AC79" s="1"/>
    </row>
    <row r="80">
      <c r="A80" s="31"/>
      <c r="B80" s="31"/>
      <c r="C80" s="41"/>
      <c r="D80" s="41"/>
      <c r="E80" s="43"/>
      <c r="F80" s="42"/>
      <c r="G80" s="42"/>
      <c r="H80" s="42"/>
      <c r="I80" s="46"/>
      <c r="K80" s="46"/>
      <c r="L80" s="43"/>
      <c r="M80" s="31"/>
      <c r="N80" s="31"/>
      <c r="O80" s="31"/>
      <c r="P80" s="31"/>
      <c r="Q80" s="31"/>
      <c r="R80" s="44"/>
      <c r="S80" s="44"/>
      <c r="T80" s="44"/>
      <c r="U80" s="44"/>
      <c r="V80" s="47"/>
      <c r="W80" s="47"/>
      <c r="X80" s="45"/>
      <c r="Y80" s="45"/>
      <c r="Z80" s="31"/>
      <c r="AA80" s="1"/>
      <c r="AB80" s="33"/>
      <c r="AC80" s="1"/>
    </row>
    <row r="81">
      <c r="A81" s="31"/>
      <c r="B81" s="31"/>
      <c r="C81" s="41"/>
      <c r="D81" s="41"/>
      <c r="E81" s="43"/>
      <c r="F81" s="42"/>
      <c r="G81" s="42"/>
      <c r="H81" s="42"/>
      <c r="I81" s="46"/>
      <c r="K81" s="46"/>
      <c r="L81" s="43"/>
      <c r="M81" s="31"/>
      <c r="N81" s="31"/>
      <c r="O81" s="31"/>
      <c r="P81" s="31"/>
      <c r="Q81" s="31"/>
      <c r="R81" s="44"/>
      <c r="S81" s="44"/>
      <c r="T81" s="44"/>
      <c r="U81" s="44"/>
      <c r="V81" s="47"/>
      <c r="W81" s="47"/>
      <c r="X81" s="45"/>
      <c r="Y81" s="45"/>
      <c r="Z81" s="31"/>
      <c r="AA81" s="1"/>
      <c r="AB81" s="33"/>
      <c r="AC81" s="1"/>
    </row>
    <row r="82">
      <c r="A82" s="31"/>
      <c r="B82" s="31"/>
      <c r="C82" s="41"/>
      <c r="D82" s="41"/>
      <c r="E82" s="43"/>
      <c r="F82" s="42"/>
      <c r="G82" s="42"/>
      <c r="H82" s="42"/>
      <c r="I82" s="46"/>
      <c r="K82" s="46"/>
      <c r="L82" s="43"/>
      <c r="M82" s="31"/>
      <c r="N82" s="31"/>
      <c r="O82" s="31"/>
      <c r="P82" s="31"/>
      <c r="Q82" s="31"/>
      <c r="R82" s="44"/>
      <c r="S82" s="44"/>
      <c r="T82" s="44"/>
      <c r="U82" s="44"/>
      <c r="V82" s="47"/>
      <c r="W82" s="47"/>
      <c r="X82" s="45"/>
      <c r="Y82" s="45"/>
      <c r="Z82" s="31"/>
      <c r="AA82" s="1"/>
      <c r="AB82" s="33"/>
      <c r="AC82" s="1"/>
    </row>
    <row r="83">
      <c r="A83" s="31"/>
      <c r="B83" s="31"/>
      <c r="C83" s="41"/>
      <c r="D83" s="41"/>
      <c r="E83" s="43"/>
      <c r="F83" s="42"/>
      <c r="G83" s="42"/>
      <c r="H83" s="42"/>
      <c r="I83" s="46"/>
      <c r="K83" s="46"/>
      <c r="L83" s="43"/>
      <c r="M83" s="31"/>
      <c r="N83" s="31"/>
      <c r="O83" s="31"/>
      <c r="P83" s="31"/>
      <c r="Q83" s="31"/>
      <c r="R83" s="44"/>
      <c r="S83" s="44"/>
      <c r="T83" s="44"/>
      <c r="U83" s="44"/>
      <c r="V83" s="47"/>
      <c r="W83" s="47"/>
      <c r="X83" s="45"/>
      <c r="Y83" s="45"/>
      <c r="Z83" s="31"/>
      <c r="AA83" s="1"/>
      <c r="AB83" s="33"/>
      <c r="AC83" s="1"/>
    </row>
    <row r="84">
      <c r="A84" s="31"/>
      <c r="B84" s="31"/>
      <c r="C84" s="41"/>
      <c r="D84" s="41"/>
      <c r="E84" s="43"/>
      <c r="F84" s="42"/>
      <c r="G84" s="42"/>
      <c r="H84" s="42"/>
      <c r="I84" s="46"/>
      <c r="K84" s="46"/>
      <c r="L84" s="43"/>
      <c r="M84" s="31"/>
      <c r="N84" s="31"/>
      <c r="O84" s="31"/>
      <c r="P84" s="31"/>
      <c r="Q84" s="31"/>
      <c r="R84" s="44"/>
      <c r="S84" s="44"/>
      <c r="T84" s="44"/>
      <c r="U84" s="44"/>
      <c r="V84" s="47"/>
      <c r="W84" s="47"/>
      <c r="X84" s="45"/>
      <c r="Y84" s="45"/>
      <c r="Z84" s="31"/>
      <c r="AA84" s="1"/>
      <c r="AB84" s="33"/>
      <c r="AC84" s="1"/>
    </row>
    <row r="85">
      <c r="A85" s="31"/>
      <c r="B85" s="31"/>
      <c r="C85" s="41"/>
      <c r="D85" s="41"/>
      <c r="E85" s="43"/>
      <c r="F85" s="42"/>
      <c r="G85" s="42"/>
      <c r="H85" s="42"/>
      <c r="I85" s="46"/>
      <c r="K85" s="46"/>
      <c r="L85" s="43"/>
      <c r="M85" s="31"/>
      <c r="N85" s="31"/>
      <c r="O85" s="31"/>
      <c r="P85" s="31"/>
      <c r="Q85" s="31"/>
      <c r="R85" s="44"/>
      <c r="S85" s="44"/>
      <c r="T85" s="44"/>
      <c r="U85" s="44"/>
      <c r="V85" s="47"/>
      <c r="W85" s="47"/>
      <c r="X85" s="45"/>
      <c r="Y85" s="45"/>
      <c r="Z85" s="31"/>
      <c r="AA85" s="1"/>
      <c r="AB85" s="33"/>
      <c r="AC85" s="1"/>
    </row>
    <row r="86">
      <c r="A86" s="31"/>
      <c r="B86" s="31"/>
      <c r="C86" s="41"/>
      <c r="D86" s="41"/>
      <c r="E86" s="43"/>
      <c r="F86" s="42"/>
      <c r="G86" s="42"/>
      <c r="H86" s="42"/>
      <c r="I86" s="46"/>
      <c r="K86" s="46"/>
      <c r="L86" s="43"/>
      <c r="M86" s="31"/>
      <c r="N86" s="31"/>
      <c r="O86" s="31"/>
      <c r="P86" s="31"/>
      <c r="Q86" s="31"/>
      <c r="R86" s="44"/>
      <c r="S86" s="44"/>
      <c r="T86" s="44"/>
      <c r="U86" s="44"/>
      <c r="V86" s="47"/>
      <c r="W86" s="47"/>
      <c r="X86" s="45"/>
      <c r="Y86" s="45"/>
      <c r="Z86" s="31"/>
      <c r="AA86" s="1"/>
      <c r="AB86" s="33"/>
      <c r="AC86" s="1"/>
    </row>
    <row r="87">
      <c r="A87" s="31"/>
      <c r="B87" s="31"/>
      <c r="C87" s="41"/>
      <c r="D87" s="41"/>
      <c r="E87" s="43"/>
      <c r="F87" s="42"/>
      <c r="G87" s="42"/>
      <c r="H87" s="42"/>
      <c r="I87" s="46"/>
      <c r="K87" s="46"/>
      <c r="L87" s="43"/>
      <c r="M87" s="31"/>
      <c r="N87" s="31"/>
      <c r="O87" s="31"/>
      <c r="P87" s="31"/>
      <c r="Q87" s="31"/>
      <c r="R87" s="44"/>
      <c r="S87" s="44"/>
      <c r="T87" s="44"/>
      <c r="U87" s="44"/>
      <c r="V87" s="47"/>
      <c r="W87" s="47"/>
      <c r="X87" s="45"/>
      <c r="Y87" s="45"/>
      <c r="Z87" s="31"/>
      <c r="AA87" s="1"/>
      <c r="AB87" s="33"/>
      <c r="AC87" s="1"/>
    </row>
    <row r="88">
      <c r="A88" s="31"/>
      <c r="B88" s="31"/>
      <c r="C88" s="41"/>
      <c r="D88" s="41"/>
      <c r="E88" s="43"/>
      <c r="F88" s="42"/>
      <c r="G88" s="42"/>
      <c r="H88" s="42"/>
      <c r="I88" s="46"/>
      <c r="K88" s="46"/>
      <c r="L88" s="43"/>
      <c r="M88" s="31"/>
      <c r="N88" s="31"/>
      <c r="O88" s="31"/>
      <c r="P88" s="31"/>
      <c r="Q88" s="31"/>
      <c r="R88" s="44"/>
      <c r="S88" s="44"/>
      <c r="T88" s="44"/>
      <c r="U88" s="44"/>
      <c r="V88" s="47"/>
      <c r="W88" s="47"/>
      <c r="X88" s="45"/>
      <c r="Y88" s="45"/>
      <c r="Z88" s="31"/>
      <c r="AA88" s="1"/>
      <c r="AB88" s="33"/>
      <c r="AC88" s="1"/>
    </row>
    <row r="89">
      <c r="A89" s="31"/>
      <c r="B89" s="31"/>
      <c r="C89" s="41"/>
      <c r="D89" s="41"/>
      <c r="E89" s="43"/>
      <c r="F89" s="42"/>
      <c r="G89" s="42"/>
      <c r="H89" s="42"/>
      <c r="I89" s="46"/>
      <c r="K89" s="46"/>
      <c r="L89" s="43"/>
      <c r="M89" s="31"/>
      <c r="N89" s="31"/>
      <c r="O89" s="31"/>
      <c r="P89" s="31"/>
      <c r="Q89" s="31"/>
      <c r="R89" s="44"/>
      <c r="S89" s="44"/>
      <c r="T89" s="44"/>
      <c r="U89" s="44"/>
      <c r="V89" s="47"/>
      <c r="W89" s="47"/>
      <c r="X89" s="45"/>
      <c r="Y89" s="45"/>
      <c r="Z89" s="31"/>
      <c r="AA89" s="1"/>
      <c r="AB89" s="33"/>
      <c r="AC89" s="1"/>
    </row>
    <row r="90">
      <c r="A90" s="31"/>
      <c r="B90" s="31"/>
      <c r="C90" s="41"/>
      <c r="D90" s="41"/>
      <c r="E90" s="43"/>
      <c r="F90" s="42"/>
      <c r="G90" s="42"/>
      <c r="H90" s="42"/>
      <c r="I90" s="46"/>
      <c r="K90" s="46"/>
      <c r="L90" s="43"/>
      <c r="M90" s="31"/>
      <c r="N90" s="31"/>
      <c r="O90" s="31"/>
      <c r="P90" s="31"/>
      <c r="Q90" s="31"/>
      <c r="R90" s="44"/>
      <c r="S90" s="44"/>
      <c r="T90" s="44"/>
      <c r="U90" s="44"/>
      <c r="V90" s="47"/>
      <c r="W90" s="47"/>
      <c r="X90" s="45"/>
      <c r="Y90" s="45"/>
      <c r="Z90" s="31"/>
      <c r="AA90" s="1"/>
      <c r="AB90" s="33"/>
      <c r="AC90" s="1"/>
    </row>
    <row r="91">
      <c r="A91" s="31"/>
      <c r="B91" s="31"/>
      <c r="C91" s="41"/>
      <c r="D91" s="41"/>
      <c r="E91" s="43"/>
      <c r="F91" s="42"/>
      <c r="G91" s="42"/>
      <c r="H91" s="42"/>
      <c r="I91" s="46"/>
      <c r="K91" s="46"/>
      <c r="L91" s="43"/>
      <c r="M91" s="31"/>
      <c r="N91" s="31"/>
      <c r="O91" s="31"/>
      <c r="P91" s="31"/>
      <c r="Q91" s="31"/>
      <c r="R91" s="44"/>
      <c r="S91" s="44"/>
      <c r="T91" s="44"/>
      <c r="U91" s="44"/>
      <c r="V91" s="47"/>
      <c r="W91" s="47"/>
      <c r="X91" s="45"/>
      <c r="Y91" s="45"/>
      <c r="Z91" s="31"/>
      <c r="AA91" s="1"/>
      <c r="AB91" s="33"/>
      <c r="AC91" s="1"/>
    </row>
    <row r="92">
      <c r="A92" s="31"/>
      <c r="B92" s="31"/>
      <c r="C92" s="41"/>
      <c r="D92" s="41"/>
      <c r="E92" s="43"/>
      <c r="F92" s="42"/>
      <c r="G92" s="42"/>
      <c r="H92" s="42"/>
      <c r="I92" s="46"/>
      <c r="K92" s="46"/>
      <c r="L92" s="43"/>
      <c r="M92" s="31"/>
      <c r="N92" s="31"/>
      <c r="O92" s="31"/>
      <c r="P92" s="31"/>
      <c r="Q92" s="31"/>
      <c r="R92" s="44"/>
      <c r="S92" s="44"/>
      <c r="T92" s="44"/>
      <c r="U92" s="44"/>
      <c r="V92" s="47"/>
      <c r="W92" s="47"/>
      <c r="X92" s="45"/>
      <c r="Y92" s="45"/>
      <c r="Z92" s="31"/>
      <c r="AA92" s="1"/>
      <c r="AB92" s="33"/>
      <c r="AC92" s="1"/>
    </row>
    <row r="93">
      <c r="A93" s="31"/>
      <c r="B93" s="31"/>
      <c r="C93" s="41"/>
      <c r="D93" s="41"/>
      <c r="E93" s="43"/>
      <c r="F93" s="42"/>
      <c r="G93" s="42"/>
      <c r="H93" s="42"/>
      <c r="I93" s="46"/>
      <c r="K93" s="46"/>
      <c r="L93" s="43"/>
      <c r="M93" s="31"/>
      <c r="N93" s="31"/>
      <c r="O93" s="31"/>
      <c r="P93" s="31"/>
      <c r="Q93" s="31"/>
      <c r="R93" s="44"/>
      <c r="S93" s="44"/>
      <c r="T93" s="44"/>
      <c r="U93" s="44"/>
      <c r="V93" s="47"/>
      <c r="W93" s="47"/>
      <c r="X93" s="45"/>
      <c r="Y93" s="45"/>
      <c r="Z93" s="31"/>
      <c r="AA93" s="1"/>
      <c r="AB93" s="33"/>
      <c r="AC93" s="1"/>
    </row>
    <row r="94">
      <c r="A94" s="31"/>
      <c r="B94" s="31"/>
      <c r="C94" s="41"/>
      <c r="D94" s="41"/>
      <c r="E94" s="43"/>
      <c r="F94" s="42"/>
      <c r="G94" s="42"/>
      <c r="H94" s="42"/>
      <c r="I94" s="46"/>
      <c r="K94" s="46"/>
      <c r="L94" s="43"/>
      <c r="M94" s="31"/>
      <c r="N94" s="31"/>
      <c r="O94" s="31"/>
      <c r="P94" s="31"/>
      <c r="Q94" s="31"/>
      <c r="R94" s="44"/>
      <c r="S94" s="44"/>
      <c r="T94" s="44"/>
      <c r="U94" s="44"/>
      <c r="V94" s="47"/>
      <c r="W94" s="47"/>
      <c r="X94" s="45"/>
      <c r="Y94" s="45"/>
      <c r="Z94" s="31"/>
      <c r="AA94" s="1"/>
      <c r="AB94" s="33"/>
      <c r="AC94" s="1"/>
    </row>
    <row r="95">
      <c r="A95" s="31"/>
      <c r="B95" s="31"/>
      <c r="C95" s="41"/>
      <c r="D95" s="41"/>
      <c r="E95" s="43"/>
      <c r="F95" s="42"/>
      <c r="G95" s="42"/>
      <c r="H95" s="42"/>
      <c r="I95" s="46"/>
      <c r="K95" s="46"/>
      <c r="L95" s="43"/>
      <c r="M95" s="31"/>
      <c r="N95" s="31"/>
      <c r="O95" s="31"/>
      <c r="P95" s="31"/>
      <c r="Q95" s="31"/>
      <c r="R95" s="44"/>
      <c r="S95" s="44"/>
      <c r="T95" s="44"/>
      <c r="U95" s="44"/>
      <c r="V95" s="47"/>
      <c r="W95" s="47"/>
      <c r="X95" s="45"/>
      <c r="Y95" s="45"/>
      <c r="Z95" s="31"/>
      <c r="AA95" s="1"/>
      <c r="AB95" s="33"/>
      <c r="AC95" s="1"/>
    </row>
    <row r="96">
      <c r="A96" s="31"/>
      <c r="B96" s="31"/>
      <c r="C96" s="41"/>
      <c r="D96" s="41"/>
      <c r="E96" s="43"/>
      <c r="F96" s="42"/>
      <c r="G96" s="42"/>
      <c r="H96" s="42"/>
      <c r="I96" s="46"/>
      <c r="K96" s="46"/>
      <c r="L96" s="43"/>
      <c r="M96" s="31"/>
      <c r="N96" s="31"/>
      <c r="O96" s="31"/>
      <c r="P96" s="31"/>
      <c r="Q96" s="31"/>
      <c r="R96" s="44"/>
      <c r="S96" s="44"/>
      <c r="T96" s="44"/>
      <c r="U96" s="44"/>
      <c r="V96" s="47"/>
      <c r="W96" s="47"/>
      <c r="X96" s="45"/>
      <c r="Y96" s="45"/>
      <c r="Z96" s="31"/>
      <c r="AA96" s="1"/>
      <c r="AB96" s="33"/>
      <c r="AC96" s="1"/>
    </row>
    <row r="97">
      <c r="A97" s="31"/>
      <c r="B97" s="31"/>
      <c r="C97" s="41"/>
      <c r="D97" s="41"/>
      <c r="E97" s="43"/>
      <c r="F97" s="42"/>
      <c r="G97" s="42"/>
      <c r="H97" s="42"/>
      <c r="I97" s="46"/>
      <c r="K97" s="46"/>
      <c r="L97" s="43"/>
      <c r="M97" s="31"/>
      <c r="N97" s="31"/>
      <c r="O97" s="31"/>
      <c r="P97" s="31"/>
      <c r="Q97" s="31"/>
      <c r="R97" s="44"/>
      <c r="S97" s="44"/>
      <c r="T97" s="44"/>
      <c r="U97" s="44"/>
      <c r="V97" s="47"/>
      <c r="W97" s="47"/>
      <c r="X97" s="45"/>
      <c r="Y97" s="45"/>
      <c r="Z97" s="31"/>
      <c r="AA97" s="1"/>
      <c r="AB97" s="33"/>
      <c r="AC97" s="1"/>
    </row>
    <row r="98">
      <c r="A98" s="31"/>
      <c r="B98" s="31"/>
      <c r="C98" s="41"/>
      <c r="D98" s="41"/>
      <c r="E98" s="43"/>
      <c r="F98" s="42"/>
      <c r="G98" s="42"/>
      <c r="H98" s="42"/>
      <c r="I98" s="46"/>
      <c r="K98" s="46"/>
      <c r="L98" s="43"/>
      <c r="M98" s="31"/>
      <c r="N98" s="31"/>
      <c r="O98" s="31"/>
      <c r="P98" s="31"/>
      <c r="Q98" s="31"/>
      <c r="R98" s="44"/>
      <c r="S98" s="44"/>
      <c r="T98" s="44"/>
      <c r="U98" s="44"/>
      <c r="V98" s="47"/>
      <c r="W98" s="47"/>
      <c r="X98" s="45"/>
      <c r="Y98" s="45"/>
      <c r="Z98" s="31"/>
      <c r="AA98" s="1"/>
      <c r="AB98" s="33"/>
      <c r="AC98" s="1"/>
    </row>
    <row r="99">
      <c r="A99" s="31"/>
      <c r="B99" s="31"/>
      <c r="C99" s="41"/>
      <c r="D99" s="41"/>
      <c r="E99" s="43"/>
      <c r="F99" s="42"/>
      <c r="G99" s="42"/>
      <c r="H99" s="42"/>
      <c r="I99" s="46"/>
      <c r="K99" s="46"/>
      <c r="L99" s="43"/>
      <c r="M99" s="31"/>
      <c r="N99" s="31"/>
      <c r="O99" s="31"/>
      <c r="P99" s="31"/>
      <c r="Q99" s="31"/>
      <c r="R99" s="44"/>
      <c r="S99" s="44"/>
      <c r="T99" s="44"/>
      <c r="U99" s="44"/>
      <c r="V99" s="47"/>
      <c r="W99" s="47"/>
      <c r="X99" s="45"/>
      <c r="Y99" s="45"/>
      <c r="Z99" s="31"/>
      <c r="AA99" s="1"/>
      <c r="AB99" s="33"/>
      <c r="AC99" s="1"/>
    </row>
    <row r="100">
      <c r="A100" s="31"/>
      <c r="B100" s="31"/>
      <c r="C100" s="41"/>
      <c r="D100" s="41"/>
      <c r="E100" s="43"/>
      <c r="F100" s="42"/>
      <c r="G100" s="42"/>
      <c r="H100" s="42"/>
      <c r="I100" s="46"/>
      <c r="K100" s="46"/>
      <c r="L100" s="43"/>
      <c r="M100" s="31"/>
      <c r="N100" s="31"/>
      <c r="O100" s="31"/>
      <c r="P100" s="31"/>
      <c r="Q100" s="31"/>
      <c r="R100" s="44"/>
      <c r="S100" s="44"/>
      <c r="T100" s="44"/>
      <c r="U100" s="44"/>
      <c r="V100" s="47"/>
      <c r="W100" s="47"/>
      <c r="X100" s="45"/>
      <c r="Y100" s="45"/>
      <c r="Z100" s="31"/>
      <c r="AA100" s="1"/>
      <c r="AB100" s="33"/>
      <c r="AC100" s="1"/>
    </row>
    <row r="101">
      <c r="A101" s="31"/>
      <c r="B101" s="31"/>
      <c r="C101" s="41"/>
      <c r="D101" s="41"/>
      <c r="E101" s="43"/>
      <c r="F101" s="42"/>
      <c r="G101" s="42"/>
      <c r="H101" s="42"/>
      <c r="I101" s="46"/>
      <c r="K101" s="46"/>
      <c r="L101" s="43"/>
      <c r="M101" s="31"/>
      <c r="N101" s="31"/>
      <c r="O101" s="31"/>
      <c r="P101" s="31"/>
      <c r="Q101" s="31"/>
      <c r="R101" s="44"/>
      <c r="S101" s="44"/>
      <c r="T101" s="44"/>
      <c r="U101" s="44"/>
      <c r="V101" s="47"/>
      <c r="W101" s="47"/>
      <c r="X101" s="45"/>
      <c r="Y101" s="45"/>
      <c r="Z101" s="31"/>
      <c r="AA101" s="1"/>
      <c r="AB101" s="33"/>
      <c r="AC101" s="1"/>
    </row>
    <row r="102">
      <c r="A102" s="31"/>
      <c r="B102" s="31"/>
      <c r="C102" s="41"/>
      <c r="D102" s="41"/>
      <c r="E102" s="43"/>
      <c r="F102" s="42"/>
      <c r="G102" s="42"/>
      <c r="H102" s="42"/>
      <c r="I102" s="46"/>
      <c r="K102" s="46"/>
      <c r="L102" s="43"/>
      <c r="M102" s="31"/>
      <c r="N102" s="31"/>
      <c r="O102" s="31"/>
      <c r="P102" s="31"/>
      <c r="Q102" s="31"/>
      <c r="R102" s="44"/>
      <c r="S102" s="44"/>
      <c r="T102" s="44"/>
      <c r="U102" s="44"/>
      <c r="V102" s="47"/>
      <c r="W102" s="47"/>
      <c r="X102" s="45"/>
      <c r="Y102" s="45"/>
      <c r="Z102" s="31"/>
      <c r="AA102" s="1"/>
      <c r="AB102" s="33"/>
      <c r="AC102" s="1"/>
    </row>
    <row r="103">
      <c r="A103" s="31"/>
      <c r="B103" s="31"/>
      <c r="C103" s="41"/>
      <c r="D103" s="41"/>
      <c r="E103" s="43"/>
      <c r="F103" s="42"/>
      <c r="G103" s="42"/>
      <c r="H103" s="42"/>
      <c r="I103" s="46"/>
      <c r="K103" s="46"/>
      <c r="L103" s="43"/>
      <c r="M103" s="31"/>
      <c r="N103" s="31"/>
      <c r="O103" s="31"/>
      <c r="P103" s="31"/>
      <c r="Q103" s="31"/>
      <c r="R103" s="44"/>
      <c r="S103" s="44"/>
      <c r="T103" s="44"/>
      <c r="U103" s="44"/>
      <c r="V103" s="47"/>
      <c r="W103" s="47"/>
      <c r="X103" s="45"/>
      <c r="Y103" s="45"/>
      <c r="Z103" s="31"/>
      <c r="AA103" s="1"/>
      <c r="AB103" s="33"/>
      <c r="AC103" s="1"/>
    </row>
    <row r="104">
      <c r="A104" s="31"/>
      <c r="B104" s="31"/>
      <c r="C104" s="41"/>
      <c r="D104" s="41"/>
      <c r="E104" s="43"/>
      <c r="F104" s="42"/>
      <c r="G104" s="42"/>
      <c r="H104" s="42"/>
      <c r="I104" s="46"/>
      <c r="K104" s="46"/>
      <c r="L104" s="43"/>
      <c r="M104" s="31"/>
      <c r="N104" s="31"/>
      <c r="O104" s="31"/>
      <c r="P104" s="31"/>
      <c r="Q104" s="31"/>
      <c r="R104" s="44"/>
      <c r="S104" s="44"/>
      <c r="T104" s="44"/>
      <c r="U104" s="44"/>
      <c r="V104" s="47"/>
      <c r="W104" s="47"/>
      <c r="X104" s="45"/>
      <c r="Y104" s="45"/>
      <c r="Z104" s="31"/>
      <c r="AA104" s="1"/>
      <c r="AB104" s="33"/>
      <c r="AC104" s="1"/>
    </row>
    <row r="105">
      <c r="A105" s="31"/>
      <c r="B105" s="31"/>
      <c r="C105" s="41"/>
      <c r="D105" s="41"/>
      <c r="E105" s="43"/>
      <c r="F105" s="42"/>
      <c r="G105" s="42"/>
      <c r="H105" s="42"/>
      <c r="I105" s="46"/>
      <c r="K105" s="46"/>
      <c r="L105" s="43"/>
      <c r="M105" s="31"/>
      <c r="N105" s="31"/>
      <c r="O105" s="31"/>
      <c r="P105" s="31"/>
      <c r="Q105" s="31"/>
      <c r="R105" s="44"/>
      <c r="S105" s="44"/>
      <c r="T105" s="44"/>
      <c r="U105" s="44"/>
      <c r="V105" s="47"/>
      <c r="W105" s="47"/>
      <c r="X105" s="45"/>
      <c r="Y105" s="45"/>
      <c r="Z105" s="31"/>
      <c r="AA105" s="1"/>
      <c r="AB105" s="33"/>
      <c r="AC105" s="1"/>
    </row>
    <row r="106">
      <c r="A106" s="31"/>
      <c r="B106" s="31"/>
      <c r="C106" s="41"/>
      <c r="D106" s="41"/>
      <c r="E106" s="43"/>
      <c r="F106" s="42"/>
      <c r="G106" s="42"/>
      <c r="H106" s="42"/>
      <c r="I106" s="46"/>
      <c r="K106" s="46"/>
      <c r="L106" s="43"/>
      <c r="M106" s="31"/>
      <c r="N106" s="31"/>
      <c r="O106" s="31"/>
      <c r="P106" s="31"/>
      <c r="Q106" s="31"/>
      <c r="R106" s="44"/>
      <c r="S106" s="44"/>
      <c r="T106" s="44"/>
      <c r="U106" s="44"/>
      <c r="V106" s="47"/>
      <c r="W106" s="47"/>
      <c r="X106" s="45"/>
      <c r="Y106" s="45"/>
      <c r="Z106" s="31"/>
      <c r="AA106" s="1"/>
      <c r="AB106" s="33"/>
      <c r="AC106" s="1"/>
    </row>
    <row r="107">
      <c r="A107" s="31"/>
      <c r="B107" s="31"/>
      <c r="C107" s="41"/>
      <c r="D107" s="41"/>
      <c r="E107" s="43"/>
      <c r="F107" s="42"/>
      <c r="G107" s="42"/>
      <c r="H107" s="42"/>
      <c r="I107" s="46"/>
      <c r="K107" s="46"/>
      <c r="L107" s="43"/>
      <c r="M107" s="31"/>
      <c r="N107" s="31"/>
      <c r="O107" s="31"/>
      <c r="P107" s="31"/>
      <c r="Q107" s="31"/>
      <c r="R107" s="44"/>
      <c r="S107" s="44"/>
      <c r="T107" s="44"/>
      <c r="U107" s="44"/>
      <c r="V107" s="47"/>
      <c r="W107" s="47"/>
      <c r="X107" s="45"/>
      <c r="Y107" s="45"/>
      <c r="Z107" s="31"/>
      <c r="AA107" s="1"/>
      <c r="AB107" s="33"/>
      <c r="AC107" s="1"/>
    </row>
    <row r="108">
      <c r="A108" s="31"/>
      <c r="B108" s="31"/>
      <c r="C108" s="41"/>
      <c r="D108" s="41"/>
      <c r="E108" s="43"/>
      <c r="F108" s="42"/>
      <c r="G108" s="42"/>
      <c r="H108" s="42"/>
      <c r="I108" s="46"/>
      <c r="K108" s="46"/>
      <c r="L108" s="43"/>
      <c r="M108" s="31"/>
      <c r="N108" s="31"/>
      <c r="O108" s="31"/>
      <c r="P108" s="31"/>
      <c r="Q108" s="31"/>
      <c r="R108" s="44"/>
      <c r="S108" s="44"/>
      <c r="T108" s="44"/>
      <c r="U108" s="44"/>
      <c r="V108" s="47"/>
      <c r="W108" s="47"/>
      <c r="X108" s="45"/>
      <c r="Y108" s="45"/>
      <c r="Z108" s="31"/>
      <c r="AA108" s="1"/>
      <c r="AB108" s="33"/>
      <c r="AC108" s="1"/>
    </row>
    <row r="109">
      <c r="A109" s="31"/>
      <c r="B109" s="31"/>
      <c r="C109" s="41"/>
      <c r="D109" s="41"/>
      <c r="E109" s="43"/>
      <c r="F109" s="42"/>
      <c r="G109" s="42"/>
      <c r="H109" s="42"/>
      <c r="I109" s="46"/>
      <c r="K109" s="46"/>
      <c r="L109" s="43"/>
      <c r="M109" s="31"/>
      <c r="N109" s="31"/>
      <c r="O109" s="31"/>
      <c r="P109" s="31"/>
      <c r="Q109" s="31"/>
      <c r="R109" s="44"/>
      <c r="S109" s="44"/>
      <c r="T109" s="44"/>
      <c r="U109" s="44"/>
      <c r="V109" s="47"/>
      <c r="W109" s="47"/>
      <c r="X109" s="45"/>
      <c r="Y109" s="45"/>
      <c r="Z109" s="31"/>
      <c r="AA109" s="1"/>
      <c r="AB109" s="33"/>
      <c r="AC109" s="1"/>
    </row>
    <row r="110">
      <c r="A110" s="31"/>
      <c r="B110" s="31"/>
      <c r="C110" s="41"/>
      <c r="D110" s="41"/>
      <c r="E110" s="43"/>
      <c r="F110" s="42"/>
      <c r="G110" s="42"/>
      <c r="H110" s="42"/>
      <c r="I110" s="46"/>
      <c r="K110" s="46"/>
      <c r="L110" s="43"/>
      <c r="M110" s="31"/>
      <c r="N110" s="31"/>
      <c r="O110" s="31"/>
      <c r="P110" s="31"/>
      <c r="Q110" s="31"/>
      <c r="R110" s="44"/>
      <c r="S110" s="44"/>
      <c r="T110" s="44"/>
      <c r="U110" s="44"/>
      <c r="V110" s="47"/>
      <c r="W110" s="47"/>
      <c r="X110" s="45"/>
      <c r="Y110" s="45"/>
      <c r="Z110" s="31"/>
      <c r="AA110" s="1"/>
      <c r="AB110" s="33"/>
      <c r="AC110" s="1"/>
    </row>
    <row r="111">
      <c r="A111" s="31"/>
      <c r="B111" s="31"/>
      <c r="C111" s="41"/>
      <c r="D111" s="41"/>
      <c r="E111" s="43"/>
      <c r="F111" s="42"/>
      <c r="G111" s="42"/>
      <c r="H111" s="42"/>
      <c r="I111" s="46"/>
      <c r="K111" s="46"/>
      <c r="L111" s="43"/>
      <c r="M111" s="31"/>
      <c r="N111" s="31"/>
      <c r="O111" s="31"/>
      <c r="P111" s="31"/>
      <c r="Q111" s="31"/>
      <c r="R111" s="44"/>
      <c r="S111" s="44"/>
      <c r="T111" s="44"/>
      <c r="U111" s="44"/>
      <c r="V111" s="47"/>
      <c r="W111" s="47"/>
      <c r="X111" s="45"/>
      <c r="Y111" s="45"/>
      <c r="Z111" s="31"/>
      <c r="AA111" s="1"/>
      <c r="AB111" s="33"/>
      <c r="AC111" s="1"/>
    </row>
    <row r="112">
      <c r="A112" s="31"/>
      <c r="B112" s="31"/>
      <c r="C112" s="41"/>
      <c r="D112" s="41"/>
      <c r="E112" s="43"/>
      <c r="F112" s="42"/>
      <c r="G112" s="42"/>
      <c r="H112" s="42"/>
      <c r="I112" s="46"/>
      <c r="K112" s="46"/>
      <c r="L112" s="43"/>
      <c r="M112" s="31"/>
      <c r="N112" s="31"/>
      <c r="O112" s="31"/>
      <c r="P112" s="31"/>
      <c r="Q112" s="31"/>
      <c r="R112" s="44"/>
      <c r="S112" s="44"/>
      <c r="T112" s="44"/>
      <c r="U112" s="44"/>
      <c r="V112" s="47"/>
      <c r="W112" s="47"/>
      <c r="X112" s="45"/>
      <c r="Y112" s="45"/>
      <c r="Z112" s="31"/>
      <c r="AA112" s="1"/>
      <c r="AB112" s="33"/>
      <c r="AC112" s="1"/>
    </row>
    <row r="113">
      <c r="A113" s="31"/>
      <c r="B113" s="31"/>
      <c r="C113" s="41"/>
      <c r="D113" s="41"/>
      <c r="E113" s="43"/>
      <c r="F113" s="42"/>
      <c r="G113" s="42"/>
      <c r="H113" s="42"/>
      <c r="I113" s="46"/>
      <c r="K113" s="46"/>
      <c r="L113" s="43"/>
      <c r="M113" s="31"/>
      <c r="N113" s="31"/>
      <c r="O113" s="31"/>
      <c r="P113" s="31"/>
      <c r="Q113" s="31"/>
      <c r="R113" s="44"/>
      <c r="S113" s="44"/>
      <c r="T113" s="44"/>
      <c r="U113" s="44"/>
      <c r="V113" s="47"/>
      <c r="W113" s="47"/>
      <c r="X113" s="45"/>
      <c r="Y113" s="45"/>
      <c r="Z113" s="31"/>
      <c r="AA113" s="1"/>
      <c r="AB113" s="33"/>
      <c r="AC113" s="1"/>
    </row>
    <row r="114">
      <c r="A114" s="31"/>
      <c r="B114" s="31"/>
      <c r="C114" s="41"/>
      <c r="D114" s="41"/>
      <c r="E114" s="43"/>
      <c r="F114" s="42"/>
      <c r="G114" s="42"/>
      <c r="H114" s="42"/>
      <c r="I114" s="46"/>
      <c r="K114" s="46"/>
      <c r="L114" s="43"/>
      <c r="M114" s="31"/>
      <c r="N114" s="31"/>
      <c r="O114" s="31"/>
      <c r="P114" s="31"/>
      <c r="Q114" s="31"/>
      <c r="R114" s="44"/>
      <c r="S114" s="44"/>
      <c r="T114" s="44"/>
      <c r="U114" s="44"/>
      <c r="V114" s="47"/>
      <c r="W114" s="47"/>
      <c r="X114" s="45"/>
      <c r="Y114" s="45"/>
      <c r="Z114" s="31"/>
      <c r="AA114" s="1"/>
      <c r="AB114" s="33"/>
      <c r="AC114" s="1"/>
    </row>
    <row r="115">
      <c r="A115" s="31"/>
      <c r="B115" s="31"/>
      <c r="C115" s="41"/>
      <c r="D115" s="41"/>
      <c r="E115" s="43"/>
      <c r="F115" s="42"/>
      <c r="G115" s="42"/>
      <c r="H115" s="42"/>
      <c r="I115" s="46"/>
      <c r="K115" s="46"/>
      <c r="L115" s="43"/>
      <c r="M115" s="31"/>
      <c r="N115" s="31"/>
      <c r="O115" s="31"/>
      <c r="P115" s="31"/>
      <c r="Q115" s="31"/>
      <c r="R115" s="44"/>
      <c r="S115" s="44"/>
      <c r="T115" s="44"/>
      <c r="U115" s="44"/>
      <c r="V115" s="47"/>
      <c r="W115" s="47"/>
      <c r="X115" s="45"/>
      <c r="Y115" s="45"/>
      <c r="Z115" s="31"/>
      <c r="AA115" s="1"/>
      <c r="AB115" s="33"/>
      <c r="AC115" s="1"/>
    </row>
    <row r="116">
      <c r="A116" s="31"/>
      <c r="B116" s="31"/>
      <c r="C116" s="41"/>
      <c r="D116" s="41"/>
      <c r="E116" s="43"/>
      <c r="F116" s="42"/>
      <c r="G116" s="42"/>
      <c r="H116" s="42"/>
      <c r="I116" s="46"/>
      <c r="K116" s="46"/>
      <c r="L116" s="43"/>
      <c r="M116" s="31"/>
      <c r="N116" s="31"/>
      <c r="O116" s="31"/>
      <c r="P116" s="31"/>
      <c r="Q116" s="31"/>
      <c r="R116" s="44"/>
      <c r="S116" s="44"/>
      <c r="T116" s="44"/>
      <c r="U116" s="44"/>
      <c r="V116" s="47"/>
      <c r="W116" s="47"/>
      <c r="X116" s="45"/>
      <c r="Y116" s="45"/>
      <c r="Z116" s="31"/>
      <c r="AA116" s="1"/>
      <c r="AB116" s="33"/>
      <c r="AC116" s="1"/>
    </row>
    <row r="117">
      <c r="A117" s="31"/>
      <c r="B117" s="31"/>
      <c r="C117" s="41"/>
      <c r="D117" s="41"/>
      <c r="E117" s="43"/>
      <c r="F117" s="42"/>
      <c r="G117" s="42"/>
      <c r="H117" s="42"/>
      <c r="I117" s="46"/>
      <c r="K117" s="46"/>
      <c r="L117" s="43"/>
      <c r="M117" s="31"/>
      <c r="N117" s="31"/>
      <c r="O117" s="31"/>
      <c r="P117" s="31"/>
      <c r="Q117" s="31"/>
      <c r="R117" s="44"/>
      <c r="S117" s="44"/>
      <c r="T117" s="44"/>
      <c r="U117" s="44"/>
      <c r="V117" s="47"/>
      <c r="W117" s="47"/>
      <c r="X117" s="45"/>
      <c r="Y117" s="45"/>
      <c r="Z117" s="31"/>
      <c r="AA117" s="1"/>
      <c r="AB117" s="33"/>
      <c r="AC117" s="1"/>
    </row>
    <row r="118">
      <c r="A118" s="31"/>
      <c r="B118" s="31"/>
      <c r="C118" s="41"/>
      <c r="D118" s="41"/>
      <c r="E118" s="43"/>
      <c r="F118" s="42"/>
      <c r="G118" s="42"/>
      <c r="H118" s="42"/>
      <c r="I118" s="46"/>
      <c r="K118" s="46"/>
      <c r="L118" s="43"/>
      <c r="M118" s="31"/>
      <c r="N118" s="31"/>
      <c r="O118" s="31"/>
      <c r="P118" s="31"/>
      <c r="Q118" s="31"/>
      <c r="R118" s="44"/>
      <c r="S118" s="44"/>
      <c r="T118" s="44"/>
      <c r="U118" s="44"/>
      <c r="V118" s="47"/>
      <c r="W118" s="47"/>
      <c r="X118" s="45"/>
      <c r="Y118" s="45"/>
      <c r="Z118" s="31"/>
      <c r="AA118" s="1"/>
      <c r="AB118" s="33"/>
      <c r="AC118" s="1"/>
    </row>
    <row r="119">
      <c r="A119" s="31"/>
      <c r="B119" s="31"/>
      <c r="C119" s="41"/>
      <c r="D119" s="41"/>
      <c r="E119" s="43"/>
      <c r="F119" s="42"/>
      <c r="G119" s="42"/>
      <c r="H119" s="42"/>
      <c r="I119" s="46"/>
      <c r="K119" s="46"/>
      <c r="L119" s="43"/>
      <c r="M119" s="31"/>
      <c r="N119" s="31"/>
      <c r="O119" s="31"/>
      <c r="P119" s="31"/>
      <c r="Q119" s="31"/>
      <c r="R119" s="44"/>
      <c r="S119" s="44"/>
      <c r="T119" s="44"/>
      <c r="U119" s="44"/>
      <c r="V119" s="47"/>
      <c r="W119" s="47"/>
      <c r="X119" s="45"/>
      <c r="Y119" s="45"/>
      <c r="Z119" s="31"/>
      <c r="AA119" s="1"/>
      <c r="AB119" s="33"/>
      <c r="AC119" s="1"/>
    </row>
    <row r="120">
      <c r="A120" s="31"/>
      <c r="B120" s="31"/>
      <c r="C120" s="41"/>
      <c r="D120" s="41"/>
      <c r="E120" s="43"/>
      <c r="F120" s="42"/>
      <c r="G120" s="42"/>
      <c r="H120" s="42"/>
      <c r="I120" s="46"/>
      <c r="K120" s="46"/>
      <c r="L120" s="43"/>
      <c r="M120" s="31"/>
      <c r="N120" s="31"/>
      <c r="O120" s="31"/>
      <c r="P120" s="31"/>
      <c r="Q120" s="31"/>
      <c r="R120" s="44"/>
      <c r="S120" s="44"/>
      <c r="T120" s="44"/>
      <c r="U120" s="44"/>
      <c r="V120" s="47"/>
      <c r="W120" s="47"/>
      <c r="X120" s="45"/>
      <c r="Y120" s="45"/>
      <c r="Z120" s="31"/>
      <c r="AA120" s="1"/>
      <c r="AB120" s="33"/>
      <c r="AC120" s="1"/>
    </row>
    <row r="121">
      <c r="A121" s="31"/>
      <c r="B121" s="31"/>
      <c r="C121" s="41"/>
      <c r="D121" s="41"/>
      <c r="E121" s="43"/>
      <c r="F121" s="42"/>
      <c r="G121" s="42"/>
      <c r="H121" s="42"/>
      <c r="I121" s="46"/>
      <c r="K121" s="46"/>
      <c r="L121" s="43"/>
      <c r="M121" s="31"/>
      <c r="N121" s="31"/>
      <c r="O121" s="31"/>
      <c r="P121" s="31"/>
      <c r="Q121" s="31"/>
      <c r="R121" s="44"/>
      <c r="S121" s="44"/>
      <c r="T121" s="44"/>
      <c r="U121" s="44"/>
      <c r="V121" s="47"/>
      <c r="W121" s="47"/>
      <c r="X121" s="45"/>
      <c r="Y121" s="45"/>
      <c r="Z121" s="31"/>
      <c r="AA121" s="1"/>
      <c r="AB121" s="33"/>
      <c r="AC121" s="1"/>
    </row>
    <row r="122">
      <c r="A122" s="31"/>
      <c r="B122" s="31"/>
      <c r="C122" s="41"/>
      <c r="D122" s="41"/>
      <c r="E122" s="43"/>
      <c r="F122" s="42"/>
      <c r="G122" s="42"/>
      <c r="H122" s="42"/>
      <c r="I122" s="46"/>
      <c r="K122" s="46"/>
      <c r="L122" s="43"/>
      <c r="M122" s="31"/>
      <c r="N122" s="31"/>
      <c r="O122" s="31"/>
      <c r="P122" s="31"/>
      <c r="Q122" s="31"/>
      <c r="R122" s="44"/>
      <c r="S122" s="44"/>
      <c r="T122" s="44"/>
      <c r="U122" s="44"/>
      <c r="V122" s="47"/>
      <c r="W122" s="47"/>
      <c r="X122" s="45"/>
      <c r="Y122" s="45"/>
      <c r="Z122" s="31"/>
      <c r="AA122" s="1"/>
      <c r="AB122" s="33"/>
      <c r="AC122" s="1"/>
    </row>
    <row r="123">
      <c r="A123" s="31"/>
      <c r="B123" s="31"/>
      <c r="C123" s="41"/>
      <c r="D123" s="41"/>
      <c r="E123" s="43"/>
      <c r="F123" s="42"/>
      <c r="G123" s="42"/>
      <c r="H123" s="42"/>
      <c r="I123" s="46"/>
      <c r="K123" s="46"/>
      <c r="L123" s="43"/>
      <c r="M123" s="31"/>
      <c r="N123" s="31"/>
      <c r="O123" s="31"/>
      <c r="P123" s="31"/>
      <c r="Q123" s="31"/>
      <c r="R123" s="44"/>
      <c r="S123" s="44"/>
      <c r="T123" s="44"/>
      <c r="U123" s="44"/>
      <c r="V123" s="47"/>
      <c r="W123" s="47"/>
      <c r="X123" s="45"/>
      <c r="Y123" s="45"/>
      <c r="Z123" s="31"/>
      <c r="AA123" s="1"/>
      <c r="AB123" s="33"/>
      <c r="AC123" s="1"/>
    </row>
    <row r="124">
      <c r="A124" s="31"/>
      <c r="B124" s="31"/>
      <c r="C124" s="41"/>
      <c r="D124" s="41"/>
      <c r="E124" s="43"/>
      <c r="F124" s="42"/>
      <c r="G124" s="42"/>
      <c r="H124" s="42"/>
      <c r="I124" s="46"/>
      <c r="K124" s="46"/>
      <c r="L124" s="43"/>
      <c r="M124" s="31"/>
      <c r="N124" s="31"/>
      <c r="O124" s="31"/>
      <c r="P124" s="31"/>
      <c r="Q124" s="31"/>
      <c r="R124" s="44"/>
      <c r="S124" s="44"/>
      <c r="T124" s="44"/>
      <c r="U124" s="44"/>
      <c r="V124" s="47"/>
      <c r="W124" s="47"/>
      <c r="X124" s="45"/>
      <c r="Y124" s="45"/>
      <c r="Z124" s="31"/>
      <c r="AA124" s="1"/>
      <c r="AB124" s="33"/>
      <c r="AC124" s="1"/>
    </row>
    <row r="125">
      <c r="A125" s="31"/>
      <c r="B125" s="31"/>
      <c r="C125" s="41"/>
      <c r="D125" s="41"/>
      <c r="E125" s="43"/>
      <c r="F125" s="42"/>
      <c r="G125" s="42"/>
      <c r="H125" s="42"/>
      <c r="I125" s="46"/>
      <c r="K125" s="46"/>
      <c r="L125" s="43"/>
      <c r="M125" s="31"/>
      <c r="N125" s="31"/>
      <c r="O125" s="31"/>
      <c r="P125" s="31"/>
      <c r="Q125" s="31"/>
      <c r="R125" s="44"/>
      <c r="S125" s="44"/>
      <c r="T125" s="44"/>
      <c r="U125" s="44"/>
      <c r="V125" s="47"/>
      <c r="W125" s="47"/>
      <c r="X125" s="45"/>
      <c r="Y125" s="45"/>
      <c r="Z125" s="31"/>
      <c r="AA125" s="1"/>
      <c r="AB125" s="33"/>
      <c r="AC125" s="1"/>
    </row>
    <row r="126">
      <c r="A126" s="31"/>
      <c r="B126" s="31"/>
      <c r="C126" s="41"/>
      <c r="D126" s="41"/>
      <c r="E126" s="43"/>
      <c r="F126" s="42"/>
      <c r="G126" s="42"/>
      <c r="H126" s="42"/>
      <c r="I126" s="46"/>
      <c r="K126" s="46"/>
      <c r="L126" s="43"/>
      <c r="M126" s="31"/>
      <c r="N126" s="31"/>
      <c r="O126" s="31"/>
      <c r="P126" s="31"/>
      <c r="Q126" s="31"/>
      <c r="R126" s="44"/>
      <c r="S126" s="44"/>
      <c r="T126" s="44"/>
      <c r="U126" s="44"/>
      <c r="V126" s="47"/>
      <c r="W126" s="47"/>
      <c r="X126" s="45"/>
      <c r="Y126" s="45"/>
      <c r="Z126" s="31"/>
      <c r="AA126" s="1"/>
      <c r="AB126" s="33"/>
      <c r="AC126" s="1"/>
    </row>
    <row r="127">
      <c r="A127" s="31"/>
      <c r="B127" s="31"/>
      <c r="C127" s="41"/>
      <c r="D127" s="41"/>
      <c r="E127" s="43"/>
      <c r="F127" s="42"/>
      <c r="G127" s="42"/>
      <c r="H127" s="42"/>
      <c r="I127" s="46"/>
      <c r="K127" s="46"/>
      <c r="L127" s="43"/>
      <c r="M127" s="31"/>
      <c r="N127" s="31"/>
      <c r="O127" s="31"/>
      <c r="P127" s="31"/>
      <c r="Q127" s="31"/>
      <c r="R127" s="44"/>
      <c r="S127" s="44"/>
      <c r="T127" s="44"/>
      <c r="U127" s="44"/>
      <c r="V127" s="47"/>
      <c r="W127" s="47"/>
      <c r="X127" s="45"/>
      <c r="Y127" s="45"/>
      <c r="Z127" s="31"/>
      <c r="AA127" s="1"/>
      <c r="AB127" s="33"/>
      <c r="AC127" s="1"/>
    </row>
    <row r="128">
      <c r="A128" s="31"/>
      <c r="B128" s="31"/>
      <c r="C128" s="41"/>
      <c r="D128" s="41"/>
      <c r="E128" s="43"/>
      <c r="F128" s="42"/>
      <c r="G128" s="42"/>
      <c r="H128" s="42"/>
      <c r="I128" s="46"/>
      <c r="K128" s="46"/>
      <c r="L128" s="43"/>
      <c r="M128" s="31"/>
      <c r="N128" s="31"/>
      <c r="O128" s="31"/>
      <c r="P128" s="31"/>
      <c r="Q128" s="31"/>
      <c r="R128" s="44"/>
      <c r="S128" s="44"/>
      <c r="T128" s="44"/>
      <c r="U128" s="44"/>
      <c r="V128" s="47"/>
      <c r="W128" s="47"/>
      <c r="X128" s="45"/>
      <c r="Y128" s="45"/>
      <c r="Z128" s="31"/>
      <c r="AA128" s="1"/>
      <c r="AB128" s="33"/>
      <c r="AC128" s="1"/>
    </row>
    <row r="129">
      <c r="A129" s="31"/>
      <c r="B129" s="31"/>
      <c r="C129" s="41"/>
      <c r="D129" s="41"/>
      <c r="E129" s="43"/>
      <c r="F129" s="42"/>
      <c r="G129" s="42"/>
      <c r="H129" s="42"/>
      <c r="I129" s="46"/>
      <c r="K129" s="46"/>
      <c r="L129" s="43"/>
      <c r="M129" s="31"/>
      <c r="N129" s="31"/>
      <c r="O129" s="31"/>
      <c r="P129" s="31"/>
      <c r="Q129" s="31"/>
      <c r="R129" s="44"/>
      <c r="S129" s="44"/>
      <c r="T129" s="44"/>
      <c r="U129" s="44"/>
      <c r="V129" s="47"/>
      <c r="W129" s="47"/>
      <c r="X129" s="45"/>
      <c r="Y129" s="45"/>
      <c r="Z129" s="31"/>
      <c r="AA129" s="1"/>
      <c r="AB129" s="33"/>
      <c r="AC129" s="1"/>
    </row>
    <row r="130">
      <c r="A130" s="31"/>
      <c r="B130" s="31"/>
      <c r="C130" s="41"/>
      <c r="D130" s="41"/>
      <c r="E130" s="43"/>
      <c r="F130" s="42"/>
      <c r="G130" s="42"/>
      <c r="H130" s="42"/>
      <c r="I130" s="46"/>
      <c r="K130" s="46"/>
      <c r="L130" s="43"/>
      <c r="M130" s="31"/>
      <c r="N130" s="31"/>
      <c r="O130" s="31"/>
      <c r="P130" s="31"/>
      <c r="Q130" s="31"/>
      <c r="R130" s="44"/>
      <c r="S130" s="44"/>
      <c r="T130" s="44"/>
      <c r="U130" s="44"/>
      <c r="V130" s="47"/>
      <c r="W130" s="47"/>
      <c r="X130" s="45"/>
      <c r="Y130" s="45"/>
      <c r="Z130" s="31"/>
      <c r="AA130" s="1"/>
      <c r="AB130" s="33"/>
      <c r="AC130" s="1"/>
    </row>
    <row r="131">
      <c r="A131" s="31"/>
      <c r="B131" s="31"/>
      <c r="C131" s="41"/>
      <c r="D131" s="41"/>
      <c r="E131" s="43"/>
      <c r="F131" s="42"/>
      <c r="G131" s="42"/>
      <c r="H131" s="42"/>
      <c r="I131" s="46"/>
      <c r="K131" s="46"/>
      <c r="L131" s="43"/>
      <c r="M131" s="31"/>
      <c r="N131" s="31"/>
      <c r="O131" s="31"/>
      <c r="P131" s="31"/>
      <c r="Q131" s="31"/>
      <c r="R131" s="44"/>
      <c r="S131" s="44"/>
      <c r="T131" s="44"/>
      <c r="U131" s="44"/>
      <c r="V131" s="47"/>
      <c r="W131" s="47"/>
      <c r="X131" s="45"/>
      <c r="Y131" s="45"/>
      <c r="Z131" s="31"/>
      <c r="AA131" s="1"/>
      <c r="AB131" s="33"/>
      <c r="AC131" s="1"/>
    </row>
    <row r="132">
      <c r="A132" s="31"/>
      <c r="B132" s="31"/>
      <c r="C132" s="41"/>
      <c r="D132" s="41"/>
      <c r="E132" s="43"/>
      <c r="F132" s="42"/>
      <c r="G132" s="42"/>
      <c r="H132" s="42"/>
      <c r="I132" s="46"/>
      <c r="K132" s="46"/>
      <c r="L132" s="43"/>
      <c r="M132" s="31"/>
      <c r="N132" s="31"/>
      <c r="O132" s="31"/>
      <c r="P132" s="31"/>
      <c r="Q132" s="31"/>
      <c r="R132" s="44"/>
      <c r="S132" s="44"/>
      <c r="T132" s="44"/>
      <c r="U132" s="44"/>
      <c r="V132" s="47"/>
      <c r="W132" s="47"/>
      <c r="X132" s="45"/>
      <c r="Y132" s="45"/>
      <c r="Z132" s="31"/>
      <c r="AA132" s="1"/>
      <c r="AB132" s="33"/>
      <c r="AC132" s="1"/>
    </row>
    <row r="133">
      <c r="A133" s="31"/>
      <c r="B133" s="31"/>
      <c r="C133" s="41"/>
      <c r="D133" s="41"/>
      <c r="E133" s="43"/>
      <c r="F133" s="42"/>
      <c r="G133" s="42"/>
      <c r="H133" s="42"/>
      <c r="I133" s="46"/>
      <c r="K133" s="46"/>
      <c r="L133" s="43"/>
      <c r="M133" s="31"/>
      <c r="N133" s="31"/>
      <c r="O133" s="31"/>
      <c r="P133" s="31"/>
      <c r="Q133" s="31"/>
      <c r="R133" s="44"/>
      <c r="S133" s="44"/>
      <c r="T133" s="44"/>
      <c r="U133" s="44"/>
      <c r="V133" s="47"/>
      <c r="W133" s="47"/>
      <c r="X133" s="45"/>
      <c r="Y133" s="45"/>
      <c r="Z133" s="31"/>
      <c r="AA133" s="1"/>
      <c r="AB133" s="33"/>
      <c r="AC133" s="1"/>
    </row>
    <row r="134">
      <c r="A134" s="31"/>
      <c r="B134" s="31"/>
      <c r="C134" s="41"/>
      <c r="D134" s="41"/>
      <c r="E134" s="43"/>
      <c r="F134" s="42"/>
      <c r="G134" s="42"/>
      <c r="H134" s="42"/>
      <c r="I134" s="46"/>
      <c r="K134" s="46"/>
      <c r="L134" s="43"/>
      <c r="M134" s="31"/>
      <c r="N134" s="31"/>
      <c r="O134" s="31"/>
      <c r="P134" s="31"/>
      <c r="Q134" s="31"/>
      <c r="R134" s="44"/>
      <c r="S134" s="44"/>
      <c r="T134" s="44"/>
      <c r="U134" s="44"/>
      <c r="V134" s="47"/>
      <c r="W134" s="47"/>
      <c r="X134" s="45"/>
      <c r="Y134" s="45"/>
      <c r="Z134" s="31"/>
      <c r="AA134" s="1"/>
      <c r="AB134" s="33"/>
      <c r="AC134" s="1"/>
    </row>
    <row r="135">
      <c r="A135" s="31"/>
      <c r="B135" s="31"/>
      <c r="C135" s="41"/>
      <c r="D135" s="41"/>
      <c r="E135" s="43"/>
      <c r="F135" s="42"/>
      <c r="G135" s="42"/>
      <c r="H135" s="42"/>
      <c r="I135" s="46"/>
      <c r="K135" s="46"/>
      <c r="L135" s="43"/>
      <c r="M135" s="31"/>
      <c r="N135" s="31"/>
      <c r="O135" s="31"/>
      <c r="P135" s="31"/>
      <c r="Q135" s="31"/>
      <c r="R135" s="44"/>
      <c r="S135" s="44"/>
      <c r="T135" s="44"/>
      <c r="U135" s="44"/>
      <c r="V135" s="47"/>
      <c r="W135" s="47"/>
      <c r="X135" s="45"/>
      <c r="Y135" s="45"/>
      <c r="Z135" s="31"/>
      <c r="AA135" s="1"/>
      <c r="AB135" s="33"/>
      <c r="AC135" s="1"/>
    </row>
    <row r="136">
      <c r="A136" s="31"/>
      <c r="B136" s="31"/>
      <c r="C136" s="41"/>
      <c r="D136" s="41"/>
      <c r="E136" s="43"/>
      <c r="F136" s="42"/>
      <c r="G136" s="42"/>
      <c r="H136" s="42"/>
      <c r="I136" s="46"/>
      <c r="K136" s="46"/>
      <c r="L136" s="43"/>
      <c r="M136" s="31"/>
      <c r="N136" s="31"/>
      <c r="O136" s="31"/>
      <c r="P136" s="31"/>
      <c r="Q136" s="31"/>
      <c r="R136" s="44"/>
      <c r="S136" s="44"/>
      <c r="T136" s="44"/>
      <c r="U136" s="44"/>
      <c r="V136" s="47"/>
      <c r="W136" s="47"/>
      <c r="X136" s="45"/>
      <c r="Y136" s="45"/>
      <c r="Z136" s="31"/>
      <c r="AA136" s="1"/>
      <c r="AB136" s="33"/>
      <c r="AC136" s="1"/>
    </row>
    <row r="137">
      <c r="A137" s="31"/>
      <c r="B137" s="31"/>
      <c r="C137" s="41"/>
      <c r="D137" s="41"/>
      <c r="E137" s="43"/>
      <c r="F137" s="42"/>
      <c r="G137" s="42"/>
      <c r="H137" s="42"/>
      <c r="I137" s="46"/>
      <c r="K137" s="46"/>
      <c r="L137" s="43"/>
      <c r="M137" s="31"/>
      <c r="N137" s="31"/>
      <c r="O137" s="31"/>
      <c r="P137" s="31"/>
      <c r="Q137" s="31"/>
      <c r="R137" s="44"/>
      <c r="S137" s="44"/>
      <c r="T137" s="44"/>
      <c r="U137" s="44"/>
      <c r="V137" s="47"/>
      <c r="W137" s="47"/>
      <c r="X137" s="45"/>
      <c r="Y137" s="45"/>
      <c r="Z137" s="31"/>
      <c r="AA137" s="1"/>
      <c r="AB137" s="33"/>
      <c r="AC137" s="1"/>
    </row>
    <row r="138">
      <c r="A138" s="31"/>
      <c r="B138" s="31"/>
      <c r="C138" s="41"/>
      <c r="D138" s="41"/>
      <c r="E138" s="43"/>
      <c r="F138" s="42"/>
      <c r="G138" s="42"/>
      <c r="H138" s="42"/>
      <c r="I138" s="46"/>
      <c r="K138" s="46"/>
      <c r="L138" s="43"/>
      <c r="M138" s="31"/>
      <c r="N138" s="31"/>
      <c r="O138" s="31"/>
      <c r="P138" s="31"/>
      <c r="Q138" s="31"/>
      <c r="R138" s="44"/>
      <c r="S138" s="44"/>
      <c r="T138" s="44"/>
      <c r="U138" s="44"/>
      <c r="V138" s="47"/>
      <c r="W138" s="47"/>
      <c r="X138" s="45"/>
      <c r="Y138" s="45"/>
      <c r="Z138" s="31"/>
      <c r="AA138" s="1"/>
      <c r="AB138" s="33"/>
      <c r="AC138" s="1"/>
    </row>
    <row r="139">
      <c r="A139" s="31"/>
      <c r="B139" s="31"/>
      <c r="C139" s="41"/>
      <c r="D139" s="41"/>
      <c r="E139" s="43"/>
      <c r="F139" s="42"/>
      <c r="G139" s="42"/>
      <c r="H139" s="42"/>
      <c r="I139" s="46"/>
      <c r="K139" s="46"/>
      <c r="L139" s="43"/>
      <c r="M139" s="31"/>
      <c r="N139" s="31"/>
      <c r="O139" s="31"/>
      <c r="P139" s="31"/>
      <c r="Q139" s="31"/>
      <c r="R139" s="44"/>
      <c r="S139" s="44"/>
      <c r="T139" s="44"/>
      <c r="U139" s="44"/>
      <c r="V139" s="47"/>
      <c r="W139" s="47"/>
      <c r="X139" s="45"/>
      <c r="Y139" s="45"/>
      <c r="Z139" s="31"/>
      <c r="AA139" s="1"/>
      <c r="AB139" s="33"/>
      <c r="AC139" s="1"/>
    </row>
    <row r="140">
      <c r="A140" s="31"/>
      <c r="B140" s="31"/>
      <c r="C140" s="41"/>
      <c r="D140" s="41"/>
      <c r="E140" s="43"/>
      <c r="F140" s="42"/>
      <c r="G140" s="42"/>
      <c r="H140" s="42"/>
      <c r="I140" s="46"/>
      <c r="K140" s="46"/>
      <c r="L140" s="43"/>
      <c r="M140" s="31"/>
      <c r="N140" s="31"/>
      <c r="O140" s="31"/>
      <c r="P140" s="31"/>
      <c r="Q140" s="31"/>
      <c r="R140" s="44"/>
      <c r="S140" s="44"/>
      <c r="T140" s="44"/>
      <c r="U140" s="44"/>
      <c r="V140" s="47"/>
      <c r="W140" s="47"/>
      <c r="X140" s="45"/>
      <c r="Y140" s="45"/>
      <c r="Z140" s="31"/>
      <c r="AA140" s="1"/>
      <c r="AB140" s="33"/>
      <c r="AC140" s="1"/>
    </row>
    <row r="141">
      <c r="A141" s="31"/>
      <c r="B141" s="31"/>
      <c r="C141" s="41"/>
      <c r="D141" s="41"/>
      <c r="E141" s="43"/>
      <c r="F141" s="42"/>
      <c r="G141" s="42"/>
      <c r="H141" s="42"/>
      <c r="I141" s="46"/>
      <c r="K141" s="46"/>
      <c r="L141" s="43"/>
      <c r="M141" s="31"/>
      <c r="N141" s="31"/>
      <c r="O141" s="31"/>
      <c r="P141" s="31"/>
      <c r="Q141" s="31"/>
      <c r="R141" s="44"/>
      <c r="S141" s="44"/>
      <c r="T141" s="44"/>
      <c r="U141" s="44"/>
      <c r="V141" s="47"/>
      <c r="W141" s="47"/>
      <c r="X141" s="45"/>
      <c r="Y141" s="45"/>
      <c r="Z141" s="31"/>
      <c r="AA141" s="1"/>
      <c r="AB141" s="33"/>
      <c r="AC141" s="1"/>
    </row>
    <row r="142">
      <c r="A142" s="31"/>
      <c r="B142" s="31"/>
      <c r="C142" s="41"/>
      <c r="D142" s="41"/>
      <c r="E142" s="43"/>
      <c r="F142" s="42"/>
      <c r="G142" s="42"/>
      <c r="H142" s="42"/>
      <c r="I142" s="46"/>
      <c r="K142" s="46"/>
      <c r="L142" s="43"/>
      <c r="M142" s="31"/>
      <c r="N142" s="31"/>
      <c r="O142" s="31"/>
      <c r="P142" s="31"/>
      <c r="Q142" s="31"/>
      <c r="R142" s="44"/>
      <c r="S142" s="44"/>
      <c r="T142" s="44"/>
      <c r="U142" s="44"/>
      <c r="V142" s="47"/>
      <c r="W142" s="47"/>
      <c r="X142" s="45"/>
      <c r="Y142" s="45"/>
      <c r="Z142" s="31"/>
      <c r="AA142" s="1"/>
      <c r="AB142" s="33"/>
      <c r="AC142" s="1"/>
    </row>
    <row r="143">
      <c r="A143" s="31"/>
      <c r="B143" s="31"/>
      <c r="C143" s="41"/>
      <c r="D143" s="41"/>
      <c r="E143" s="43"/>
      <c r="F143" s="42"/>
      <c r="G143" s="42"/>
      <c r="H143" s="42"/>
      <c r="I143" s="46"/>
      <c r="K143" s="46"/>
      <c r="L143" s="43"/>
      <c r="M143" s="31"/>
      <c r="N143" s="31"/>
      <c r="O143" s="31"/>
      <c r="P143" s="31"/>
      <c r="Q143" s="31"/>
      <c r="R143" s="44"/>
      <c r="S143" s="44"/>
      <c r="T143" s="44"/>
      <c r="U143" s="44"/>
      <c r="V143" s="47"/>
      <c r="W143" s="47"/>
      <c r="X143" s="45"/>
      <c r="Y143" s="45"/>
      <c r="Z143" s="31"/>
      <c r="AA143" s="1"/>
      <c r="AB143" s="33"/>
      <c r="AC143" s="1"/>
    </row>
    <row r="144">
      <c r="A144" s="31"/>
      <c r="B144" s="31"/>
      <c r="C144" s="41"/>
      <c r="D144" s="41"/>
      <c r="E144" s="43"/>
      <c r="F144" s="42"/>
      <c r="G144" s="42"/>
      <c r="H144" s="42"/>
      <c r="I144" s="46"/>
      <c r="K144" s="46"/>
      <c r="L144" s="43"/>
      <c r="M144" s="31"/>
      <c r="N144" s="31"/>
      <c r="O144" s="31"/>
      <c r="P144" s="31"/>
      <c r="Q144" s="31"/>
      <c r="R144" s="44"/>
      <c r="S144" s="44"/>
      <c r="T144" s="44"/>
      <c r="U144" s="44"/>
      <c r="V144" s="47"/>
      <c r="W144" s="47"/>
      <c r="X144" s="45"/>
      <c r="Y144" s="45"/>
      <c r="Z144" s="31"/>
      <c r="AA144" s="1"/>
      <c r="AB144" s="33"/>
      <c r="AC144" s="1"/>
    </row>
    <row r="145">
      <c r="A145" s="31"/>
      <c r="B145" s="31"/>
      <c r="C145" s="41"/>
      <c r="D145" s="41"/>
      <c r="E145" s="43"/>
      <c r="F145" s="42"/>
      <c r="G145" s="42"/>
      <c r="H145" s="42"/>
      <c r="I145" s="46"/>
      <c r="K145" s="46"/>
      <c r="L145" s="43"/>
      <c r="M145" s="31"/>
      <c r="N145" s="31"/>
      <c r="O145" s="31"/>
      <c r="P145" s="31"/>
      <c r="Q145" s="31"/>
      <c r="R145" s="44"/>
      <c r="S145" s="44"/>
      <c r="T145" s="44"/>
      <c r="U145" s="44"/>
      <c r="V145" s="47"/>
      <c r="W145" s="47"/>
      <c r="X145" s="45"/>
      <c r="Y145" s="45"/>
      <c r="Z145" s="31"/>
      <c r="AA145" s="1"/>
      <c r="AB145" s="33"/>
      <c r="AC145" s="1"/>
    </row>
    <row r="146">
      <c r="A146" s="31"/>
      <c r="B146" s="31"/>
      <c r="C146" s="41"/>
      <c r="D146" s="41"/>
      <c r="E146" s="43"/>
      <c r="F146" s="42"/>
      <c r="G146" s="42"/>
      <c r="H146" s="42"/>
      <c r="I146" s="46"/>
      <c r="K146" s="46"/>
      <c r="L146" s="43"/>
      <c r="M146" s="31"/>
      <c r="N146" s="31"/>
      <c r="O146" s="31"/>
      <c r="P146" s="31"/>
      <c r="Q146" s="31"/>
      <c r="R146" s="44"/>
      <c r="S146" s="44"/>
      <c r="T146" s="44"/>
      <c r="U146" s="44"/>
      <c r="V146" s="47"/>
      <c r="W146" s="47"/>
      <c r="X146" s="45"/>
      <c r="Y146" s="45"/>
      <c r="Z146" s="31"/>
      <c r="AA146" s="1"/>
      <c r="AB146" s="33"/>
      <c r="AC146" s="1"/>
    </row>
    <row r="147">
      <c r="A147" s="31"/>
      <c r="B147" s="31"/>
      <c r="C147" s="41"/>
      <c r="D147" s="41"/>
      <c r="E147" s="43"/>
      <c r="F147" s="42"/>
      <c r="G147" s="42"/>
      <c r="H147" s="42"/>
      <c r="I147" s="46"/>
      <c r="K147" s="46"/>
      <c r="L147" s="43"/>
      <c r="M147" s="31"/>
      <c r="N147" s="31"/>
      <c r="O147" s="31"/>
      <c r="P147" s="31"/>
      <c r="Q147" s="31"/>
      <c r="R147" s="44"/>
      <c r="S147" s="44"/>
      <c r="T147" s="44"/>
      <c r="U147" s="44"/>
      <c r="V147" s="47"/>
      <c r="W147" s="47"/>
      <c r="X147" s="45"/>
      <c r="Y147" s="45"/>
      <c r="Z147" s="31"/>
      <c r="AA147" s="1"/>
      <c r="AB147" s="33"/>
      <c r="AC147" s="1"/>
    </row>
    <row r="148">
      <c r="A148" s="31"/>
      <c r="B148" s="31"/>
      <c r="C148" s="41"/>
      <c r="D148" s="41"/>
      <c r="E148" s="43"/>
      <c r="F148" s="42"/>
      <c r="G148" s="42"/>
      <c r="H148" s="42"/>
      <c r="I148" s="46"/>
      <c r="K148" s="46"/>
      <c r="L148" s="43"/>
      <c r="M148" s="31"/>
      <c r="N148" s="31"/>
      <c r="O148" s="31"/>
      <c r="P148" s="31"/>
      <c r="Q148" s="31"/>
      <c r="R148" s="44"/>
      <c r="S148" s="44"/>
      <c r="T148" s="44"/>
      <c r="U148" s="44"/>
      <c r="V148" s="47"/>
      <c r="W148" s="47"/>
      <c r="X148" s="45"/>
      <c r="Y148" s="45"/>
      <c r="Z148" s="31"/>
      <c r="AA148" s="1"/>
      <c r="AB148" s="33"/>
      <c r="AC148" s="1"/>
    </row>
    <row r="149">
      <c r="A149" s="31"/>
      <c r="B149" s="31"/>
      <c r="C149" s="41"/>
      <c r="D149" s="41"/>
      <c r="E149" s="43"/>
      <c r="F149" s="42"/>
      <c r="G149" s="42"/>
      <c r="H149" s="42"/>
      <c r="I149" s="46"/>
      <c r="K149" s="46"/>
      <c r="L149" s="43"/>
      <c r="M149" s="31"/>
      <c r="N149" s="31"/>
      <c r="O149" s="31"/>
      <c r="P149" s="31"/>
      <c r="Q149" s="31"/>
      <c r="R149" s="44"/>
      <c r="S149" s="44"/>
      <c r="T149" s="44"/>
      <c r="U149" s="44"/>
      <c r="V149" s="47"/>
      <c r="W149" s="47"/>
      <c r="X149" s="45"/>
      <c r="Y149" s="45"/>
      <c r="Z149" s="31"/>
      <c r="AA149" s="1"/>
      <c r="AB149" s="33"/>
      <c r="AC149" s="1"/>
    </row>
    <row r="150">
      <c r="A150" s="31"/>
      <c r="B150" s="31"/>
      <c r="C150" s="41"/>
      <c r="D150" s="41"/>
      <c r="E150" s="43"/>
      <c r="F150" s="42"/>
      <c r="G150" s="42"/>
      <c r="H150" s="42"/>
      <c r="I150" s="46"/>
      <c r="K150" s="46"/>
      <c r="L150" s="43"/>
      <c r="M150" s="31"/>
      <c r="N150" s="31"/>
      <c r="O150" s="31"/>
      <c r="P150" s="31"/>
      <c r="Q150" s="31"/>
      <c r="R150" s="44"/>
      <c r="S150" s="44"/>
      <c r="T150" s="44"/>
      <c r="U150" s="44"/>
      <c r="V150" s="47"/>
      <c r="W150" s="47"/>
      <c r="X150" s="45"/>
      <c r="Y150" s="45"/>
      <c r="Z150" s="31"/>
      <c r="AA150" s="1"/>
      <c r="AB150" s="33"/>
      <c r="AC150" s="1"/>
    </row>
    <row r="151">
      <c r="A151" s="31"/>
      <c r="B151" s="31"/>
      <c r="C151" s="41"/>
      <c r="D151" s="41"/>
      <c r="E151" s="43"/>
      <c r="F151" s="42"/>
      <c r="G151" s="42"/>
      <c r="H151" s="42"/>
      <c r="I151" s="46"/>
      <c r="K151" s="46"/>
      <c r="L151" s="43"/>
      <c r="M151" s="31"/>
      <c r="N151" s="31"/>
      <c r="O151" s="31"/>
      <c r="P151" s="31"/>
      <c r="Q151" s="31"/>
      <c r="R151" s="44"/>
      <c r="S151" s="44"/>
      <c r="T151" s="44"/>
      <c r="U151" s="44"/>
      <c r="V151" s="47"/>
      <c r="W151" s="47"/>
      <c r="X151" s="45"/>
      <c r="Y151" s="45"/>
      <c r="Z151" s="31"/>
      <c r="AA151" s="1"/>
      <c r="AB151" s="33"/>
      <c r="AC151" s="1"/>
    </row>
    <row r="152">
      <c r="A152" s="31"/>
      <c r="B152" s="31"/>
      <c r="C152" s="41"/>
      <c r="D152" s="41"/>
      <c r="E152" s="43"/>
      <c r="F152" s="42"/>
      <c r="G152" s="42"/>
      <c r="H152" s="42"/>
      <c r="I152" s="46"/>
      <c r="K152" s="46"/>
      <c r="L152" s="43"/>
      <c r="M152" s="31"/>
      <c r="N152" s="31"/>
      <c r="O152" s="31"/>
      <c r="P152" s="31"/>
      <c r="Q152" s="31"/>
      <c r="R152" s="44"/>
      <c r="S152" s="44"/>
      <c r="T152" s="44"/>
      <c r="U152" s="44"/>
      <c r="V152" s="47"/>
      <c r="W152" s="47"/>
      <c r="X152" s="45"/>
      <c r="Y152" s="45"/>
      <c r="Z152" s="31"/>
      <c r="AA152" s="1"/>
      <c r="AB152" s="33"/>
      <c r="AC152" s="1"/>
    </row>
    <row r="153">
      <c r="A153" s="31"/>
      <c r="B153" s="31"/>
      <c r="C153" s="41"/>
      <c r="D153" s="41"/>
      <c r="E153" s="43"/>
      <c r="F153" s="42"/>
      <c r="G153" s="42"/>
      <c r="H153" s="42"/>
      <c r="I153" s="46"/>
      <c r="K153" s="46"/>
      <c r="L153" s="43"/>
      <c r="M153" s="31"/>
      <c r="N153" s="31"/>
      <c r="O153" s="31"/>
      <c r="P153" s="31"/>
      <c r="Q153" s="31"/>
      <c r="R153" s="44"/>
      <c r="S153" s="44"/>
      <c r="T153" s="44"/>
      <c r="U153" s="44"/>
      <c r="V153" s="47"/>
      <c r="W153" s="47"/>
      <c r="X153" s="45"/>
      <c r="Y153" s="45"/>
      <c r="Z153" s="31"/>
      <c r="AA153" s="1"/>
      <c r="AB153" s="33"/>
      <c r="AC153" s="1"/>
    </row>
    <row r="154">
      <c r="A154" s="31"/>
      <c r="B154" s="31"/>
      <c r="C154" s="41"/>
      <c r="D154" s="41"/>
      <c r="E154" s="43"/>
      <c r="F154" s="42"/>
      <c r="G154" s="42"/>
      <c r="H154" s="42"/>
      <c r="I154" s="46"/>
      <c r="K154" s="46"/>
      <c r="L154" s="43"/>
      <c r="M154" s="31"/>
      <c r="N154" s="31"/>
      <c r="O154" s="31"/>
      <c r="P154" s="31"/>
      <c r="Q154" s="31"/>
      <c r="R154" s="44"/>
      <c r="S154" s="44"/>
      <c r="T154" s="44"/>
      <c r="U154" s="44"/>
      <c r="V154" s="47"/>
      <c r="W154" s="47"/>
      <c r="X154" s="45"/>
      <c r="Y154" s="45"/>
      <c r="Z154" s="31"/>
      <c r="AA154" s="1"/>
      <c r="AB154" s="33"/>
      <c r="AC154" s="1"/>
    </row>
    <row r="155">
      <c r="A155" s="31"/>
      <c r="B155" s="31"/>
      <c r="C155" s="41"/>
      <c r="D155" s="41"/>
      <c r="E155" s="43"/>
      <c r="F155" s="42"/>
      <c r="G155" s="42"/>
      <c r="H155" s="42"/>
      <c r="I155" s="46"/>
      <c r="K155" s="46"/>
      <c r="L155" s="43"/>
      <c r="M155" s="31"/>
      <c r="N155" s="31"/>
      <c r="O155" s="31"/>
      <c r="P155" s="31"/>
      <c r="Q155" s="31"/>
      <c r="R155" s="44"/>
      <c r="S155" s="44"/>
      <c r="T155" s="44"/>
      <c r="U155" s="44"/>
      <c r="V155" s="47"/>
      <c r="W155" s="47"/>
      <c r="X155" s="45"/>
      <c r="Y155" s="45"/>
      <c r="Z155" s="31"/>
      <c r="AA155" s="1"/>
      <c r="AB155" s="33"/>
      <c r="AC155" s="1"/>
    </row>
    <row r="156">
      <c r="A156" s="31"/>
      <c r="B156" s="31"/>
      <c r="C156" s="41"/>
      <c r="D156" s="41"/>
      <c r="E156" s="43"/>
      <c r="F156" s="42"/>
      <c r="G156" s="42"/>
      <c r="H156" s="42"/>
      <c r="I156" s="46"/>
      <c r="K156" s="46"/>
      <c r="L156" s="43"/>
      <c r="M156" s="31"/>
      <c r="N156" s="31"/>
      <c r="O156" s="31"/>
      <c r="P156" s="31"/>
      <c r="Q156" s="31"/>
      <c r="R156" s="44"/>
      <c r="S156" s="44"/>
      <c r="T156" s="44"/>
      <c r="U156" s="44"/>
      <c r="V156" s="47"/>
      <c r="W156" s="47"/>
      <c r="X156" s="45"/>
      <c r="Y156" s="45"/>
      <c r="Z156" s="31"/>
      <c r="AA156" s="1"/>
      <c r="AB156" s="33"/>
      <c r="AC156" s="1"/>
    </row>
    <row r="157">
      <c r="A157" s="31"/>
      <c r="B157" s="31"/>
      <c r="C157" s="41"/>
      <c r="D157" s="41"/>
      <c r="E157" s="43"/>
      <c r="F157" s="42"/>
      <c r="G157" s="42"/>
      <c r="H157" s="42"/>
      <c r="I157" s="46"/>
      <c r="K157" s="46"/>
      <c r="L157" s="43"/>
      <c r="M157" s="31"/>
      <c r="N157" s="31"/>
      <c r="O157" s="31"/>
      <c r="P157" s="31"/>
      <c r="Q157" s="31"/>
      <c r="R157" s="44"/>
      <c r="S157" s="44"/>
      <c r="T157" s="44"/>
      <c r="U157" s="44"/>
      <c r="V157" s="47"/>
      <c r="W157" s="47"/>
      <c r="X157" s="45"/>
      <c r="Y157" s="45"/>
      <c r="Z157" s="31"/>
      <c r="AA157" s="1"/>
      <c r="AB157" s="33"/>
      <c r="AC157" s="1"/>
    </row>
    <row r="158">
      <c r="A158" s="31"/>
      <c r="B158" s="31"/>
      <c r="C158" s="41"/>
      <c r="D158" s="41"/>
      <c r="E158" s="43"/>
      <c r="F158" s="42"/>
      <c r="G158" s="42"/>
      <c r="H158" s="42"/>
      <c r="I158" s="46"/>
      <c r="K158" s="46"/>
      <c r="L158" s="43"/>
      <c r="M158" s="31"/>
      <c r="N158" s="31"/>
      <c r="O158" s="31"/>
      <c r="P158" s="31"/>
      <c r="Q158" s="31"/>
      <c r="R158" s="44"/>
      <c r="S158" s="44"/>
      <c r="T158" s="44"/>
      <c r="U158" s="44"/>
      <c r="V158" s="47"/>
      <c r="W158" s="47"/>
      <c r="X158" s="45"/>
      <c r="Y158" s="45"/>
      <c r="Z158" s="31"/>
      <c r="AA158" s="1"/>
      <c r="AB158" s="33"/>
      <c r="AC158" s="1"/>
    </row>
    <row r="159">
      <c r="A159" s="31"/>
      <c r="B159" s="31"/>
      <c r="C159" s="41"/>
      <c r="D159" s="41"/>
      <c r="E159" s="43"/>
      <c r="F159" s="42"/>
      <c r="G159" s="42"/>
      <c r="H159" s="42"/>
      <c r="I159" s="46"/>
      <c r="K159" s="46"/>
      <c r="L159" s="43"/>
      <c r="M159" s="31"/>
      <c r="N159" s="31"/>
      <c r="O159" s="31"/>
      <c r="P159" s="31"/>
      <c r="Q159" s="31"/>
      <c r="R159" s="44"/>
      <c r="S159" s="44"/>
      <c r="T159" s="44"/>
      <c r="U159" s="44"/>
      <c r="V159" s="47"/>
      <c r="W159" s="47"/>
      <c r="X159" s="45"/>
      <c r="Y159" s="45"/>
      <c r="Z159" s="31"/>
      <c r="AA159" s="1"/>
      <c r="AB159" s="33"/>
      <c r="AC159" s="1"/>
    </row>
    <row r="160">
      <c r="A160" s="31"/>
      <c r="B160" s="31"/>
      <c r="C160" s="41"/>
      <c r="D160" s="41"/>
      <c r="E160" s="43"/>
      <c r="F160" s="42"/>
      <c r="G160" s="42"/>
      <c r="H160" s="42"/>
      <c r="I160" s="46"/>
      <c r="K160" s="46"/>
      <c r="L160" s="43"/>
      <c r="M160" s="31"/>
      <c r="N160" s="31"/>
      <c r="O160" s="31"/>
      <c r="P160" s="31"/>
      <c r="Q160" s="31"/>
      <c r="R160" s="44"/>
      <c r="S160" s="44"/>
      <c r="T160" s="44"/>
      <c r="U160" s="44"/>
      <c r="V160" s="47"/>
      <c r="W160" s="47"/>
      <c r="X160" s="45"/>
      <c r="Y160" s="45"/>
      <c r="Z160" s="31"/>
      <c r="AA160" s="1"/>
      <c r="AB160" s="33"/>
      <c r="AC160" s="1"/>
    </row>
    <row r="161">
      <c r="A161" s="31"/>
      <c r="B161" s="31"/>
      <c r="C161" s="41"/>
      <c r="D161" s="41"/>
      <c r="E161" s="43"/>
      <c r="F161" s="42"/>
      <c r="G161" s="42"/>
      <c r="H161" s="42"/>
      <c r="I161" s="46"/>
      <c r="K161" s="46"/>
      <c r="L161" s="43"/>
      <c r="M161" s="31"/>
      <c r="N161" s="31"/>
      <c r="O161" s="31"/>
      <c r="P161" s="31"/>
      <c r="Q161" s="31"/>
      <c r="R161" s="44"/>
      <c r="S161" s="44"/>
      <c r="T161" s="44"/>
      <c r="U161" s="44"/>
      <c r="V161" s="47"/>
      <c r="W161" s="47"/>
      <c r="X161" s="45"/>
      <c r="Y161" s="45"/>
      <c r="Z161" s="31"/>
      <c r="AA161" s="1"/>
      <c r="AB161" s="33"/>
      <c r="AC161" s="1"/>
    </row>
    <row r="162">
      <c r="A162" s="31"/>
      <c r="B162" s="31"/>
      <c r="C162" s="41"/>
      <c r="D162" s="41"/>
      <c r="E162" s="43"/>
      <c r="F162" s="42"/>
      <c r="G162" s="42"/>
      <c r="H162" s="42"/>
      <c r="I162" s="46"/>
      <c r="K162" s="46"/>
      <c r="L162" s="43"/>
      <c r="M162" s="31"/>
      <c r="N162" s="31"/>
      <c r="O162" s="31"/>
      <c r="P162" s="31"/>
      <c r="Q162" s="31"/>
      <c r="R162" s="44"/>
      <c r="S162" s="44"/>
      <c r="T162" s="44"/>
      <c r="U162" s="44"/>
      <c r="V162" s="47"/>
      <c r="W162" s="47"/>
      <c r="X162" s="45"/>
      <c r="Y162" s="45"/>
      <c r="Z162" s="31"/>
      <c r="AA162" s="1"/>
      <c r="AB162" s="33"/>
      <c r="AC162" s="1"/>
    </row>
    <row r="163">
      <c r="A163" s="31"/>
      <c r="B163" s="31"/>
      <c r="C163" s="41"/>
      <c r="D163" s="41"/>
      <c r="E163" s="43"/>
      <c r="F163" s="42"/>
      <c r="G163" s="42"/>
      <c r="H163" s="42"/>
      <c r="I163" s="46"/>
      <c r="K163" s="46"/>
      <c r="L163" s="43"/>
      <c r="M163" s="31"/>
      <c r="N163" s="31"/>
      <c r="O163" s="31"/>
      <c r="P163" s="31"/>
      <c r="Q163" s="31"/>
      <c r="R163" s="44"/>
      <c r="S163" s="44"/>
      <c r="T163" s="44"/>
      <c r="U163" s="44"/>
      <c r="V163" s="47"/>
      <c r="W163" s="47"/>
      <c r="X163" s="45"/>
      <c r="Y163" s="45"/>
      <c r="Z163" s="31"/>
      <c r="AA163" s="1"/>
      <c r="AB163" s="33"/>
      <c r="AC163" s="1"/>
    </row>
    <row r="164">
      <c r="A164" s="31"/>
      <c r="B164" s="31"/>
      <c r="C164" s="41"/>
      <c r="D164" s="41"/>
      <c r="E164" s="43"/>
      <c r="F164" s="42"/>
      <c r="G164" s="42"/>
      <c r="H164" s="42"/>
      <c r="I164" s="46"/>
      <c r="K164" s="46"/>
      <c r="L164" s="43"/>
      <c r="M164" s="31"/>
      <c r="N164" s="31"/>
      <c r="O164" s="31"/>
      <c r="P164" s="31"/>
      <c r="Q164" s="31"/>
      <c r="R164" s="44"/>
      <c r="S164" s="44"/>
      <c r="T164" s="44"/>
      <c r="U164" s="44"/>
      <c r="V164" s="47"/>
      <c r="W164" s="47"/>
      <c r="X164" s="45"/>
      <c r="Y164" s="45"/>
      <c r="Z164" s="31"/>
      <c r="AA164" s="1"/>
      <c r="AB164" s="33"/>
      <c r="AC164" s="1"/>
    </row>
    <row r="165">
      <c r="A165" s="31"/>
      <c r="B165" s="31"/>
      <c r="C165" s="41"/>
      <c r="D165" s="41"/>
      <c r="E165" s="43"/>
      <c r="F165" s="42"/>
      <c r="G165" s="42"/>
      <c r="H165" s="42"/>
      <c r="I165" s="46"/>
      <c r="K165" s="46"/>
      <c r="L165" s="43"/>
      <c r="M165" s="31"/>
      <c r="N165" s="31"/>
      <c r="O165" s="31"/>
      <c r="P165" s="31"/>
      <c r="Q165" s="31"/>
      <c r="R165" s="44"/>
      <c r="S165" s="44"/>
      <c r="T165" s="44"/>
      <c r="U165" s="44"/>
      <c r="V165" s="47"/>
      <c r="W165" s="47"/>
      <c r="X165" s="45"/>
      <c r="Y165" s="45"/>
      <c r="Z165" s="31"/>
      <c r="AA165" s="1"/>
      <c r="AB165" s="33"/>
      <c r="AC165" s="1"/>
    </row>
    <row r="166">
      <c r="A166" s="31"/>
      <c r="B166" s="31"/>
      <c r="C166" s="41"/>
      <c r="D166" s="41"/>
      <c r="E166" s="43"/>
      <c r="F166" s="42"/>
      <c r="G166" s="42"/>
      <c r="H166" s="42"/>
      <c r="I166" s="46"/>
      <c r="K166" s="46"/>
      <c r="L166" s="43"/>
      <c r="M166" s="31"/>
      <c r="N166" s="31"/>
      <c r="O166" s="31"/>
      <c r="P166" s="31"/>
      <c r="Q166" s="31"/>
      <c r="R166" s="44"/>
      <c r="S166" s="44"/>
      <c r="T166" s="44"/>
      <c r="U166" s="44"/>
      <c r="V166" s="47"/>
      <c r="W166" s="47"/>
      <c r="X166" s="45"/>
      <c r="Y166" s="45"/>
      <c r="Z166" s="31"/>
      <c r="AA166" s="1"/>
      <c r="AB166" s="33"/>
      <c r="AC166" s="1"/>
    </row>
    <row r="167">
      <c r="A167" s="31"/>
      <c r="B167" s="31"/>
      <c r="C167" s="41"/>
      <c r="D167" s="41"/>
      <c r="E167" s="43"/>
      <c r="F167" s="42"/>
      <c r="G167" s="42"/>
      <c r="H167" s="42"/>
      <c r="I167" s="46"/>
      <c r="K167" s="46"/>
      <c r="L167" s="43"/>
      <c r="M167" s="31"/>
      <c r="N167" s="31"/>
      <c r="O167" s="31"/>
      <c r="P167" s="31"/>
      <c r="Q167" s="31"/>
      <c r="R167" s="44"/>
      <c r="S167" s="44"/>
      <c r="T167" s="44"/>
      <c r="U167" s="44"/>
      <c r="V167" s="47"/>
      <c r="W167" s="47"/>
      <c r="X167" s="45"/>
      <c r="Y167" s="45"/>
      <c r="Z167" s="31"/>
      <c r="AA167" s="1"/>
      <c r="AB167" s="33"/>
      <c r="AC167" s="1"/>
    </row>
    <row r="168">
      <c r="A168" s="31"/>
      <c r="B168" s="31"/>
      <c r="C168" s="41"/>
      <c r="D168" s="41"/>
      <c r="E168" s="43"/>
      <c r="F168" s="42"/>
      <c r="G168" s="42"/>
      <c r="H168" s="42"/>
      <c r="I168" s="46"/>
      <c r="K168" s="46"/>
      <c r="L168" s="43"/>
      <c r="M168" s="31"/>
      <c r="N168" s="31"/>
      <c r="O168" s="31"/>
      <c r="P168" s="31"/>
      <c r="Q168" s="31"/>
      <c r="R168" s="44"/>
      <c r="S168" s="44"/>
      <c r="T168" s="44"/>
      <c r="U168" s="44"/>
      <c r="V168" s="47"/>
      <c r="W168" s="47"/>
      <c r="X168" s="45"/>
      <c r="Y168" s="45"/>
      <c r="Z168" s="31"/>
      <c r="AA168" s="1"/>
      <c r="AB168" s="33"/>
      <c r="AC168" s="1"/>
    </row>
    <row r="169">
      <c r="A169" s="31"/>
      <c r="B169" s="31"/>
      <c r="C169" s="41"/>
      <c r="D169" s="41"/>
      <c r="E169" s="43"/>
      <c r="F169" s="42"/>
      <c r="G169" s="42"/>
      <c r="H169" s="42"/>
      <c r="I169" s="46"/>
      <c r="K169" s="46"/>
      <c r="L169" s="43"/>
      <c r="M169" s="31"/>
      <c r="N169" s="31"/>
      <c r="O169" s="31"/>
      <c r="P169" s="31"/>
      <c r="Q169" s="31"/>
      <c r="R169" s="44"/>
      <c r="S169" s="44"/>
      <c r="T169" s="44"/>
      <c r="U169" s="44"/>
      <c r="V169" s="47"/>
      <c r="W169" s="47"/>
      <c r="X169" s="45"/>
      <c r="Y169" s="45"/>
      <c r="Z169" s="31"/>
      <c r="AA169" s="1"/>
      <c r="AB169" s="33"/>
      <c r="AC169" s="1"/>
    </row>
    <row r="170">
      <c r="A170" s="31"/>
      <c r="B170" s="31"/>
      <c r="C170" s="41"/>
      <c r="D170" s="41"/>
      <c r="E170" s="43"/>
      <c r="F170" s="42"/>
      <c r="G170" s="42"/>
      <c r="H170" s="42"/>
      <c r="I170" s="46"/>
      <c r="K170" s="46"/>
      <c r="L170" s="43"/>
      <c r="M170" s="31"/>
      <c r="N170" s="31"/>
      <c r="O170" s="31"/>
      <c r="P170" s="31"/>
      <c r="Q170" s="31"/>
      <c r="R170" s="44"/>
      <c r="S170" s="44"/>
      <c r="T170" s="44"/>
      <c r="U170" s="44"/>
      <c r="V170" s="47"/>
      <c r="W170" s="47"/>
      <c r="X170" s="45"/>
      <c r="Y170" s="45"/>
      <c r="Z170" s="31"/>
      <c r="AA170" s="1"/>
      <c r="AB170" s="33"/>
      <c r="AC170" s="1"/>
    </row>
    <row r="171">
      <c r="A171" s="31"/>
      <c r="B171" s="31"/>
      <c r="C171" s="41"/>
      <c r="D171" s="41"/>
      <c r="E171" s="43"/>
      <c r="F171" s="42"/>
      <c r="G171" s="42"/>
      <c r="H171" s="42"/>
      <c r="I171" s="46"/>
      <c r="K171" s="46"/>
      <c r="L171" s="43"/>
      <c r="M171" s="31"/>
      <c r="N171" s="31"/>
      <c r="O171" s="31"/>
      <c r="P171" s="31"/>
      <c r="Q171" s="31"/>
      <c r="R171" s="44"/>
      <c r="S171" s="44"/>
      <c r="T171" s="44"/>
      <c r="U171" s="44"/>
      <c r="V171" s="47"/>
      <c r="W171" s="47"/>
      <c r="X171" s="45"/>
      <c r="Y171" s="45"/>
      <c r="Z171" s="31"/>
      <c r="AA171" s="1"/>
      <c r="AB171" s="33"/>
      <c r="AC171" s="1"/>
    </row>
    <row r="172">
      <c r="A172" s="31"/>
      <c r="B172" s="31"/>
      <c r="C172" s="41"/>
      <c r="D172" s="41"/>
      <c r="E172" s="43"/>
      <c r="F172" s="42"/>
      <c r="G172" s="42"/>
      <c r="H172" s="42"/>
      <c r="I172" s="46"/>
      <c r="K172" s="46"/>
      <c r="L172" s="43"/>
      <c r="M172" s="31"/>
      <c r="N172" s="31"/>
      <c r="O172" s="31"/>
      <c r="P172" s="31"/>
      <c r="Q172" s="31"/>
      <c r="R172" s="44"/>
      <c r="S172" s="44"/>
      <c r="T172" s="44"/>
      <c r="U172" s="44"/>
      <c r="V172" s="47"/>
      <c r="W172" s="47"/>
      <c r="X172" s="45"/>
      <c r="Y172" s="45"/>
      <c r="Z172" s="31"/>
      <c r="AA172" s="1"/>
      <c r="AB172" s="33"/>
      <c r="AC172" s="1"/>
    </row>
    <row r="173">
      <c r="A173" s="31"/>
      <c r="B173" s="31"/>
      <c r="C173" s="41"/>
      <c r="D173" s="41"/>
      <c r="E173" s="43"/>
      <c r="F173" s="42"/>
      <c r="G173" s="42"/>
      <c r="H173" s="42"/>
      <c r="I173" s="46"/>
      <c r="K173" s="46"/>
      <c r="L173" s="43"/>
      <c r="M173" s="31"/>
      <c r="N173" s="31"/>
      <c r="O173" s="31"/>
      <c r="P173" s="31"/>
      <c r="Q173" s="31"/>
      <c r="R173" s="44"/>
      <c r="S173" s="44"/>
      <c r="T173" s="44"/>
      <c r="U173" s="44"/>
      <c r="V173" s="47"/>
      <c r="W173" s="47"/>
      <c r="X173" s="45"/>
      <c r="Y173" s="45"/>
      <c r="Z173" s="31"/>
      <c r="AA173" s="1"/>
      <c r="AB173" s="33"/>
      <c r="AC173" s="1"/>
    </row>
    <row r="174">
      <c r="A174" s="31"/>
      <c r="B174" s="31"/>
      <c r="C174" s="41"/>
      <c r="D174" s="41"/>
      <c r="E174" s="43"/>
      <c r="F174" s="42"/>
      <c r="G174" s="42"/>
      <c r="H174" s="42"/>
      <c r="I174" s="46"/>
      <c r="K174" s="46"/>
      <c r="L174" s="43"/>
      <c r="M174" s="31"/>
      <c r="N174" s="31"/>
      <c r="O174" s="31"/>
      <c r="P174" s="31"/>
      <c r="Q174" s="31"/>
      <c r="R174" s="44"/>
      <c r="S174" s="44"/>
      <c r="T174" s="44"/>
      <c r="U174" s="44"/>
      <c r="V174" s="47"/>
      <c r="W174" s="47"/>
      <c r="X174" s="45"/>
      <c r="Y174" s="45"/>
      <c r="Z174" s="31"/>
      <c r="AA174" s="1"/>
      <c r="AB174" s="33"/>
      <c r="AC174" s="1"/>
    </row>
    <row r="175">
      <c r="A175" s="31"/>
      <c r="B175" s="31"/>
      <c r="C175" s="41"/>
      <c r="D175" s="41"/>
      <c r="E175" s="43"/>
      <c r="F175" s="42"/>
      <c r="G175" s="42"/>
      <c r="H175" s="42"/>
      <c r="I175" s="46"/>
      <c r="K175" s="46"/>
      <c r="L175" s="43"/>
      <c r="M175" s="31"/>
      <c r="N175" s="31"/>
      <c r="O175" s="31"/>
      <c r="P175" s="31"/>
      <c r="Q175" s="31"/>
      <c r="R175" s="44"/>
      <c r="S175" s="44"/>
      <c r="T175" s="44"/>
      <c r="U175" s="44"/>
      <c r="V175" s="47"/>
      <c r="W175" s="47"/>
      <c r="X175" s="45"/>
      <c r="Y175" s="45"/>
      <c r="Z175" s="31"/>
      <c r="AA175" s="1"/>
      <c r="AB175" s="33"/>
      <c r="AC175" s="1"/>
    </row>
    <row r="176">
      <c r="A176" s="31"/>
      <c r="B176" s="31"/>
      <c r="C176" s="41"/>
      <c r="D176" s="41"/>
      <c r="E176" s="43"/>
      <c r="F176" s="42"/>
      <c r="G176" s="42"/>
      <c r="H176" s="42"/>
      <c r="I176" s="46"/>
      <c r="K176" s="46"/>
      <c r="L176" s="43"/>
      <c r="M176" s="31"/>
      <c r="N176" s="31"/>
      <c r="O176" s="31"/>
      <c r="P176" s="31"/>
      <c r="Q176" s="31"/>
      <c r="R176" s="44"/>
      <c r="S176" s="44"/>
      <c r="T176" s="44"/>
      <c r="U176" s="44"/>
      <c r="V176" s="47"/>
      <c r="W176" s="47"/>
      <c r="X176" s="45"/>
      <c r="Y176" s="45"/>
      <c r="Z176" s="31"/>
      <c r="AA176" s="1"/>
      <c r="AB176" s="33"/>
      <c r="AC176" s="1"/>
    </row>
    <row r="177">
      <c r="A177" s="31"/>
      <c r="B177" s="31"/>
      <c r="C177" s="41"/>
      <c r="D177" s="41"/>
      <c r="E177" s="43"/>
      <c r="F177" s="42"/>
      <c r="G177" s="42"/>
      <c r="H177" s="42"/>
      <c r="I177" s="46"/>
      <c r="K177" s="46"/>
      <c r="L177" s="43"/>
      <c r="M177" s="31"/>
      <c r="N177" s="31"/>
      <c r="O177" s="31"/>
      <c r="P177" s="31"/>
      <c r="Q177" s="31"/>
      <c r="R177" s="44"/>
      <c r="S177" s="44"/>
      <c r="T177" s="44"/>
      <c r="U177" s="44"/>
      <c r="V177" s="47"/>
      <c r="W177" s="47"/>
      <c r="X177" s="45"/>
      <c r="Y177" s="45"/>
      <c r="Z177" s="31"/>
      <c r="AA177" s="1"/>
      <c r="AB177" s="33"/>
      <c r="AC177" s="1"/>
    </row>
    <row r="178">
      <c r="A178" s="31"/>
      <c r="B178" s="31"/>
      <c r="C178" s="41"/>
      <c r="D178" s="41"/>
      <c r="E178" s="43"/>
      <c r="F178" s="42"/>
      <c r="G178" s="42"/>
      <c r="H178" s="42"/>
      <c r="I178" s="46"/>
      <c r="K178" s="46"/>
      <c r="L178" s="43"/>
      <c r="M178" s="31"/>
      <c r="N178" s="31"/>
      <c r="O178" s="31"/>
      <c r="P178" s="31"/>
      <c r="Q178" s="31"/>
      <c r="R178" s="44"/>
      <c r="S178" s="44"/>
      <c r="T178" s="44"/>
      <c r="U178" s="44"/>
      <c r="V178" s="47"/>
      <c r="W178" s="47"/>
      <c r="X178" s="45"/>
      <c r="Y178" s="45"/>
      <c r="Z178" s="31"/>
      <c r="AA178" s="1"/>
      <c r="AB178" s="33"/>
      <c r="AC178" s="1"/>
    </row>
    <row r="179">
      <c r="A179" s="31"/>
      <c r="B179" s="31"/>
      <c r="C179" s="41"/>
      <c r="D179" s="41"/>
      <c r="E179" s="43"/>
      <c r="F179" s="42"/>
      <c r="G179" s="42"/>
      <c r="H179" s="42"/>
      <c r="I179" s="46"/>
      <c r="K179" s="46"/>
      <c r="L179" s="43"/>
      <c r="M179" s="31"/>
      <c r="N179" s="31"/>
      <c r="O179" s="31"/>
      <c r="P179" s="31"/>
      <c r="Q179" s="31"/>
      <c r="R179" s="44"/>
      <c r="S179" s="44"/>
      <c r="T179" s="44"/>
      <c r="U179" s="44"/>
      <c r="V179" s="47"/>
      <c r="W179" s="47"/>
      <c r="X179" s="45"/>
      <c r="Y179" s="45"/>
      <c r="Z179" s="31"/>
      <c r="AA179" s="1"/>
      <c r="AB179" s="33"/>
      <c r="AC179" s="1"/>
    </row>
    <row r="180">
      <c r="A180" s="31"/>
      <c r="B180" s="31"/>
      <c r="C180" s="41"/>
      <c r="D180" s="41"/>
      <c r="E180" s="43"/>
      <c r="F180" s="42"/>
      <c r="G180" s="42"/>
      <c r="H180" s="42"/>
      <c r="I180" s="46"/>
      <c r="K180" s="46"/>
      <c r="L180" s="43"/>
      <c r="M180" s="31"/>
      <c r="N180" s="31"/>
      <c r="O180" s="31"/>
      <c r="P180" s="31"/>
      <c r="Q180" s="31"/>
      <c r="R180" s="44"/>
      <c r="S180" s="44"/>
      <c r="T180" s="44"/>
      <c r="U180" s="44"/>
      <c r="V180" s="47"/>
      <c r="W180" s="47"/>
      <c r="X180" s="45"/>
      <c r="Y180" s="45"/>
      <c r="Z180" s="31"/>
      <c r="AA180" s="1"/>
      <c r="AB180" s="33"/>
      <c r="AC180" s="1"/>
    </row>
    <row r="181">
      <c r="A181" s="31"/>
      <c r="B181" s="31"/>
      <c r="C181" s="41"/>
      <c r="D181" s="41"/>
      <c r="E181" s="43"/>
      <c r="F181" s="42"/>
      <c r="G181" s="42"/>
      <c r="H181" s="42"/>
      <c r="I181" s="46"/>
      <c r="K181" s="46"/>
      <c r="L181" s="43"/>
      <c r="M181" s="31"/>
      <c r="N181" s="31"/>
      <c r="O181" s="31"/>
      <c r="P181" s="31"/>
      <c r="Q181" s="31"/>
      <c r="R181" s="44"/>
      <c r="S181" s="44"/>
      <c r="T181" s="44"/>
      <c r="U181" s="44"/>
      <c r="V181" s="47"/>
      <c r="W181" s="47"/>
      <c r="X181" s="45"/>
      <c r="Y181" s="45"/>
      <c r="Z181" s="31"/>
      <c r="AA181" s="1"/>
      <c r="AB181" s="33"/>
      <c r="AC181" s="1"/>
    </row>
    <row r="182">
      <c r="A182" s="31"/>
      <c r="B182" s="31"/>
      <c r="C182" s="41"/>
      <c r="D182" s="41"/>
      <c r="E182" s="43"/>
      <c r="F182" s="42"/>
      <c r="G182" s="42"/>
      <c r="H182" s="42"/>
      <c r="I182" s="46"/>
      <c r="K182" s="46"/>
      <c r="L182" s="43"/>
      <c r="M182" s="31"/>
      <c r="N182" s="31"/>
      <c r="O182" s="31"/>
      <c r="P182" s="31"/>
      <c r="Q182" s="31"/>
      <c r="R182" s="44"/>
      <c r="S182" s="44"/>
      <c r="T182" s="44"/>
      <c r="U182" s="44"/>
      <c r="V182" s="47"/>
      <c r="W182" s="47"/>
      <c r="X182" s="45"/>
      <c r="Y182" s="45"/>
      <c r="Z182" s="31"/>
      <c r="AA182" s="1"/>
      <c r="AB182" s="33"/>
      <c r="AC182" s="1"/>
    </row>
    <row r="183">
      <c r="A183" s="31"/>
      <c r="B183" s="31"/>
      <c r="C183" s="41"/>
      <c r="D183" s="41"/>
      <c r="E183" s="43"/>
      <c r="F183" s="42"/>
      <c r="G183" s="42"/>
      <c r="H183" s="42"/>
      <c r="I183" s="46"/>
      <c r="K183" s="46"/>
      <c r="L183" s="43"/>
      <c r="M183" s="31"/>
      <c r="N183" s="31"/>
      <c r="O183" s="31"/>
      <c r="P183" s="31"/>
      <c r="Q183" s="31"/>
      <c r="R183" s="44"/>
      <c r="S183" s="44"/>
      <c r="T183" s="44"/>
      <c r="U183" s="44"/>
      <c r="V183" s="47"/>
      <c r="W183" s="47"/>
      <c r="X183" s="45"/>
      <c r="Y183" s="45"/>
      <c r="Z183" s="31"/>
      <c r="AA183" s="1"/>
      <c r="AB183" s="33"/>
      <c r="AC183" s="1"/>
    </row>
    <row r="184">
      <c r="A184" s="31"/>
      <c r="B184" s="31"/>
      <c r="C184" s="41"/>
      <c r="D184" s="41"/>
      <c r="E184" s="43"/>
      <c r="F184" s="42"/>
      <c r="G184" s="42"/>
      <c r="H184" s="42"/>
      <c r="I184" s="46"/>
      <c r="K184" s="46"/>
      <c r="L184" s="43"/>
      <c r="M184" s="31"/>
      <c r="N184" s="31"/>
      <c r="O184" s="31"/>
      <c r="P184" s="31"/>
      <c r="Q184" s="31"/>
      <c r="R184" s="44"/>
      <c r="S184" s="44"/>
      <c r="T184" s="44"/>
      <c r="U184" s="44"/>
      <c r="V184" s="47"/>
      <c r="W184" s="47"/>
      <c r="X184" s="45"/>
      <c r="Y184" s="45"/>
      <c r="Z184" s="31"/>
      <c r="AA184" s="1"/>
      <c r="AB184" s="33"/>
      <c r="AC184" s="1"/>
    </row>
    <row r="185">
      <c r="A185" s="31"/>
      <c r="B185" s="31"/>
      <c r="C185" s="41"/>
      <c r="D185" s="41"/>
      <c r="E185" s="43"/>
      <c r="F185" s="42"/>
      <c r="G185" s="42"/>
      <c r="H185" s="42"/>
      <c r="I185" s="46"/>
      <c r="K185" s="46"/>
      <c r="L185" s="43"/>
      <c r="M185" s="31"/>
      <c r="N185" s="31"/>
      <c r="O185" s="31"/>
      <c r="P185" s="31"/>
      <c r="Q185" s="31"/>
      <c r="R185" s="44"/>
      <c r="S185" s="44"/>
      <c r="T185" s="44"/>
      <c r="U185" s="44"/>
      <c r="V185" s="47"/>
      <c r="W185" s="47"/>
      <c r="X185" s="45"/>
      <c r="Y185" s="45"/>
      <c r="Z185" s="31"/>
      <c r="AA185" s="1"/>
      <c r="AB185" s="33"/>
      <c r="AC185" s="1"/>
    </row>
    <row r="186">
      <c r="A186" s="31"/>
      <c r="B186" s="31"/>
      <c r="C186" s="41"/>
      <c r="D186" s="41"/>
      <c r="E186" s="43"/>
      <c r="F186" s="42"/>
      <c r="G186" s="42"/>
      <c r="H186" s="42"/>
      <c r="I186" s="46"/>
      <c r="K186" s="46"/>
      <c r="L186" s="43"/>
      <c r="M186" s="31"/>
      <c r="N186" s="31"/>
      <c r="O186" s="31"/>
      <c r="P186" s="31"/>
      <c r="Q186" s="31"/>
      <c r="R186" s="44"/>
      <c r="S186" s="44"/>
      <c r="T186" s="44"/>
      <c r="U186" s="44"/>
      <c r="V186" s="47"/>
      <c r="W186" s="47"/>
      <c r="X186" s="45"/>
      <c r="Y186" s="45"/>
      <c r="Z186" s="31"/>
      <c r="AA186" s="1"/>
      <c r="AB186" s="33"/>
      <c r="AC186" s="1"/>
    </row>
    <row r="187">
      <c r="A187" s="31"/>
      <c r="B187" s="31"/>
      <c r="C187" s="41"/>
      <c r="D187" s="41"/>
      <c r="E187" s="43"/>
      <c r="F187" s="42"/>
      <c r="G187" s="42"/>
      <c r="H187" s="42"/>
      <c r="I187" s="46"/>
      <c r="K187" s="46"/>
      <c r="L187" s="43"/>
      <c r="M187" s="31"/>
      <c r="N187" s="31"/>
      <c r="O187" s="31"/>
      <c r="P187" s="31"/>
      <c r="Q187" s="31"/>
      <c r="R187" s="44"/>
      <c r="S187" s="44"/>
      <c r="T187" s="44"/>
      <c r="U187" s="44"/>
      <c r="V187" s="47"/>
      <c r="W187" s="47"/>
      <c r="X187" s="45"/>
      <c r="Y187" s="45"/>
      <c r="Z187" s="31"/>
      <c r="AA187" s="1"/>
      <c r="AB187" s="33"/>
      <c r="AC187" s="1"/>
    </row>
    <row r="188">
      <c r="A188" s="31"/>
      <c r="B188" s="31"/>
      <c r="C188" s="41"/>
      <c r="D188" s="41"/>
      <c r="E188" s="43"/>
      <c r="F188" s="42"/>
      <c r="G188" s="42"/>
      <c r="H188" s="42"/>
      <c r="I188" s="46"/>
      <c r="K188" s="46"/>
      <c r="L188" s="43"/>
      <c r="M188" s="31"/>
      <c r="N188" s="31"/>
      <c r="O188" s="31"/>
      <c r="P188" s="31"/>
      <c r="Q188" s="31"/>
      <c r="R188" s="44"/>
      <c r="S188" s="44"/>
      <c r="T188" s="44"/>
      <c r="U188" s="44"/>
      <c r="V188" s="47"/>
      <c r="W188" s="47"/>
      <c r="X188" s="45"/>
      <c r="Y188" s="45"/>
      <c r="Z188" s="31"/>
      <c r="AA188" s="1"/>
      <c r="AB188" s="33"/>
      <c r="AC188" s="1"/>
    </row>
    <row r="189">
      <c r="A189" s="31"/>
      <c r="B189" s="31"/>
      <c r="C189" s="41"/>
      <c r="D189" s="41"/>
      <c r="E189" s="43"/>
      <c r="F189" s="42"/>
      <c r="G189" s="42"/>
      <c r="H189" s="42"/>
      <c r="I189" s="46"/>
      <c r="K189" s="46"/>
      <c r="L189" s="43"/>
      <c r="M189" s="31"/>
      <c r="N189" s="31"/>
      <c r="O189" s="31"/>
      <c r="P189" s="31"/>
      <c r="Q189" s="31"/>
      <c r="R189" s="44"/>
      <c r="S189" s="44"/>
      <c r="T189" s="44"/>
      <c r="U189" s="44"/>
      <c r="V189" s="47"/>
      <c r="W189" s="47"/>
      <c r="X189" s="45"/>
      <c r="Y189" s="45"/>
      <c r="Z189" s="31"/>
      <c r="AA189" s="1"/>
      <c r="AB189" s="33"/>
      <c r="AC189" s="1"/>
    </row>
    <row r="190">
      <c r="A190" s="31"/>
      <c r="B190" s="31"/>
      <c r="C190" s="41"/>
      <c r="D190" s="41"/>
      <c r="E190" s="43"/>
      <c r="F190" s="42"/>
      <c r="G190" s="42"/>
      <c r="H190" s="42"/>
      <c r="I190" s="46"/>
      <c r="K190" s="46"/>
      <c r="L190" s="43"/>
      <c r="M190" s="31"/>
      <c r="N190" s="31"/>
      <c r="O190" s="31"/>
      <c r="P190" s="31"/>
      <c r="Q190" s="31"/>
      <c r="R190" s="44"/>
      <c r="S190" s="44"/>
      <c r="T190" s="44"/>
      <c r="U190" s="44"/>
      <c r="V190" s="47"/>
      <c r="W190" s="47"/>
      <c r="X190" s="45"/>
      <c r="Y190" s="45"/>
      <c r="Z190" s="31"/>
      <c r="AA190" s="1"/>
      <c r="AB190" s="33"/>
      <c r="AC190" s="1"/>
    </row>
    <row r="191">
      <c r="A191" s="31"/>
      <c r="B191" s="31"/>
      <c r="C191" s="41"/>
      <c r="D191" s="41"/>
      <c r="E191" s="43"/>
      <c r="F191" s="42"/>
      <c r="G191" s="42"/>
      <c r="H191" s="42"/>
      <c r="I191" s="46"/>
      <c r="K191" s="46"/>
      <c r="L191" s="43"/>
      <c r="M191" s="31"/>
      <c r="N191" s="31"/>
      <c r="O191" s="31"/>
      <c r="P191" s="31"/>
      <c r="Q191" s="31"/>
      <c r="R191" s="44"/>
      <c r="S191" s="44"/>
      <c r="T191" s="44"/>
      <c r="U191" s="44"/>
      <c r="V191" s="47"/>
      <c r="W191" s="47"/>
      <c r="X191" s="45"/>
      <c r="Y191" s="45"/>
      <c r="Z191" s="31"/>
      <c r="AA191" s="1"/>
      <c r="AB191" s="33"/>
      <c r="AC191" s="1"/>
    </row>
    <row r="192">
      <c r="A192" s="31"/>
      <c r="B192" s="31"/>
      <c r="C192" s="41"/>
      <c r="D192" s="41"/>
      <c r="E192" s="43"/>
      <c r="F192" s="42"/>
      <c r="G192" s="42"/>
      <c r="H192" s="42"/>
      <c r="I192" s="46"/>
      <c r="K192" s="46"/>
      <c r="L192" s="43"/>
      <c r="M192" s="31"/>
      <c r="N192" s="31"/>
      <c r="O192" s="31"/>
      <c r="P192" s="31"/>
      <c r="Q192" s="31"/>
      <c r="R192" s="44"/>
      <c r="S192" s="44"/>
      <c r="T192" s="44"/>
      <c r="U192" s="44"/>
      <c r="V192" s="47"/>
      <c r="W192" s="47"/>
      <c r="X192" s="45"/>
      <c r="Y192" s="45"/>
      <c r="Z192" s="31"/>
      <c r="AA192" s="1"/>
      <c r="AB192" s="33"/>
      <c r="AC192" s="1"/>
    </row>
    <row r="193">
      <c r="A193" s="31"/>
      <c r="B193" s="31"/>
      <c r="C193" s="41"/>
      <c r="D193" s="41"/>
      <c r="E193" s="43"/>
      <c r="F193" s="42"/>
      <c r="G193" s="42"/>
      <c r="H193" s="42"/>
      <c r="I193" s="46"/>
      <c r="K193" s="46"/>
      <c r="L193" s="43"/>
      <c r="M193" s="31"/>
      <c r="N193" s="31"/>
      <c r="O193" s="31"/>
      <c r="P193" s="31"/>
      <c r="Q193" s="31"/>
      <c r="R193" s="44"/>
      <c r="S193" s="44"/>
      <c r="T193" s="44"/>
      <c r="U193" s="44"/>
      <c r="V193" s="47"/>
      <c r="W193" s="47"/>
      <c r="X193" s="45"/>
      <c r="Y193" s="45"/>
      <c r="Z193" s="31"/>
      <c r="AA193" s="1"/>
      <c r="AB193" s="33"/>
      <c r="AC193" s="1"/>
    </row>
    <row r="194">
      <c r="A194" s="31"/>
      <c r="B194" s="31"/>
      <c r="C194" s="41"/>
      <c r="D194" s="41"/>
      <c r="E194" s="43"/>
      <c r="F194" s="42"/>
      <c r="G194" s="42"/>
      <c r="H194" s="42"/>
      <c r="I194" s="46"/>
      <c r="K194" s="46"/>
      <c r="L194" s="43"/>
      <c r="M194" s="31"/>
      <c r="N194" s="31"/>
      <c r="O194" s="31"/>
      <c r="P194" s="31"/>
      <c r="Q194" s="31"/>
      <c r="R194" s="44"/>
      <c r="S194" s="44"/>
      <c r="T194" s="44"/>
      <c r="U194" s="44"/>
      <c r="V194" s="47"/>
      <c r="W194" s="47"/>
      <c r="X194" s="45"/>
      <c r="Y194" s="45"/>
      <c r="Z194" s="31"/>
      <c r="AA194" s="1"/>
      <c r="AB194" s="33"/>
      <c r="AC194" s="1"/>
    </row>
    <row r="195">
      <c r="A195" s="31"/>
      <c r="B195" s="31"/>
      <c r="C195" s="41"/>
      <c r="D195" s="41"/>
      <c r="E195" s="43"/>
      <c r="F195" s="42"/>
      <c r="G195" s="42"/>
      <c r="H195" s="42"/>
      <c r="I195" s="46"/>
      <c r="K195" s="46"/>
      <c r="L195" s="43"/>
      <c r="M195" s="31"/>
      <c r="N195" s="31"/>
      <c r="O195" s="31"/>
      <c r="P195" s="31"/>
      <c r="Q195" s="31"/>
      <c r="R195" s="44"/>
      <c r="S195" s="44"/>
      <c r="T195" s="44"/>
      <c r="U195" s="44"/>
      <c r="V195" s="47"/>
      <c r="W195" s="47"/>
      <c r="X195" s="45"/>
      <c r="Y195" s="45"/>
      <c r="Z195" s="31"/>
      <c r="AA195" s="1"/>
      <c r="AB195" s="33"/>
      <c r="AC195" s="1"/>
    </row>
    <row r="196">
      <c r="A196" s="31"/>
      <c r="B196" s="31"/>
      <c r="C196" s="41"/>
      <c r="D196" s="41"/>
      <c r="E196" s="43"/>
      <c r="F196" s="42"/>
      <c r="G196" s="42"/>
      <c r="H196" s="42"/>
      <c r="I196" s="46"/>
      <c r="K196" s="46"/>
      <c r="L196" s="43"/>
      <c r="M196" s="31"/>
      <c r="N196" s="31"/>
      <c r="O196" s="31"/>
      <c r="P196" s="31"/>
      <c r="Q196" s="31"/>
      <c r="R196" s="44"/>
      <c r="S196" s="44"/>
      <c r="T196" s="44"/>
      <c r="U196" s="44"/>
      <c r="V196" s="47"/>
      <c r="W196" s="47"/>
      <c r="X196" s="45"/>
      <c r="Y196" s="45"/>
      <c r="Z196" s="31"/>
      <c r="AA196" s="1"/>
      <c r="AB196" s="33"/>
      <c r="AC196" s="1"/>
    </row>
    <row r="197">
      <c r="A197" s="31"/>
      <c r="B197" s="31"/>
      <c r="C197" s="41"/>
      <c r="D197" s="41"/>
      <c r="E197" s="43"/>
      <c r="F197" s="42"/>
      <c r="G197" s="42"/>
      <c r="H197" s="42"/>
      <c r="I197" s="46"/>
      <c r="K197" s="46"/>
      <c r="L197" s="43"/>
      <c r="M197" s="31"/>
      <c r="N197" s="31"/>
      <c r="O197" s="31"/>
      <c r="P197" s="31"/>
      <c r="Q197" s="31"/>
      <c r="R197" s="44"/>
      <c r="S197" s="44"/>
      <c r="T197" s="44"/>
      <c r="U197" s="44"/>
      <c r="V197" s="47"/>
      <c r="W197" s="47"/>
      <c r="X197" s="45"/>
      <c r="Y197" s="45"/>
      <c r="Z197" s="31"/>
      <c r="AA197" s="1"/>
      <c r="AB197" s="33"/>
      <c r="AC197" s="1"/>
    </row>
    <row r="198">
      <c r="A198" s="31"/>
      <c r="B198" s="31"/>
      <c r="C198" s="41"/>
      <c r="D198" s="41"/>
      <c r="E198" s="43"/>
      <c r="F198" s="42"/>
      <c r="G198" s="42"/>
      <c r="H198" s="42"/>
      <c r="I198" s="46"/>
      <c r="K198" s="46"/>
      <c r="L198" s="43"/>
      <c r="M198" s="31"/>
      <c r="N198" s="31"/>
      <c r="O198" s="31"/>
      <c r="P198" s="31"/>
      <c r="Q198" s="31"/>
      <c r="R198" s="44"/>
      <c r="S198" s="44"/>
      <c r="T198" s="44"/>
      <c r="U198" s="44"/>
      <c r="V198" s="47"/>
      <c r="W198" s="47"/>
      <c r="X198" s="45"/>
      <c r="Y198" s="45"/>
      <c r="Z198" s="31"/>
      <c r="AA198" s="1"/>
      <c r="AB198" s="33"/>
      <c r="AC198" s="1"/>
    </row>
    <row r="199">
      <c r="A199" s="31"/>
      <c r="B199" s="31"/>
      <c r="C199" s="41"/>
      <c r="D199" s="41"/>
      <c r="E199" s="43"/>
      <c r="F199" s="42"/>
      <c r="G199" s="42"/>
      <c r="H199" s="42"/>
      <c r="I199" s="46"/>
      <c r="K199" s="46"/>
      <c r="L199" s="43"/>
      <c r="M199" s="31"/>
      <c r="N199" s="31"/>
      <c r="O199" s="31"/>
      <c r="P199" s="31"/>
      <c r="Q199" s="31"/>
      <c r="R199" s="44"/>
      <c r="S199" s="44"/>
      <c r="T199" s="44"/>
      <c r="U199" s="44"/>
      <c r="V199" s="47"/>
      <c r="W199" s="47"/>
      <c r="X199" s="45"/>
      <c r="Y199" s="45"/>
      <c r="Z199" s="31"/>
      <c r="AA199" s="1"/>
      <c r="AB199" s="33"/>
      <c r="AC199" s="1"/>
    </row>
    <row r="200">
      <c r="A200" s="31"/>
      <c r="B200" s="31"/>
      <c r="C200" s="41"/>
      <c r="D200" s="41"/>
      <c r="E200" s="43"/>
      <c r="F200" s="42"/>
      <c r="G200" s="42"/>
      <c r="H200" s="42"/>
      <c r="I200" s="46"/>
      <c r="K200" s="46"/>
      <c r="L200" s="43"/>
      <c r="M200" s="31"/>
      <c r="N200" s="31"/>
      <c r="O200" s="31"/>
      <c r="P200" s="31"/>
      <c r="Q200" s="31"/>
      <c r="R200" s="44"/>
      <c r="S200" s="44"/>
      <c r="T200" s="44"/>
      <c r="U200" s="44"/>
      <c r="V200" s="47"/>
      <c r="W200" s="47"/>
      <c r="X200" s="45"/>
      <c r="Y200" s="45"/>
      <c r="Z200" s="31"/>
      <c r="AA200" s="1"/>
      <c r="AB200" s="33"/>
      <c r="AC200" s="1"/>
    </row>
    <row r="201">
      <c r="A201" s="31"/>
      <c r="B201" s="31"/>
      <c r="C201" s="41"/>
      <c r="D201" s="41"/>
      <c r="E201" s="43"/>
      <c r="F201" s="42"/>
      <c r="G201" s="42"/>
      <c r="H201" s="42"/>
      <c r="I201" s="46"/>
      <c r="K201" s="46"/>
      <c r="L201" s="43"/>
      <c r="M201" s="31"/>
      <c r="N201" s="31"/>
      <c r="O201" s="31"/>
      <c r="P201" s="31"/>
      <c r="Q201" s="31"/>
      <c r="R201" s="44"/>
      <c r="S201" s="44"/>
      <c r="T201" s="44"/>
      <c r="U201" s="44"/>
      <c r="V201" s="47"/>
      <c r="W201" s="47"/>
      <c r="X201" s="45"/>
      <c r="Y201" s="45"/>
      <c r="Z201" s="31"/>
      <c r="AA201" s="1"/>
      <c r="AB201" s="33"/>
      <c r="AC201" s="1"/>
    </row>
    <row r="202">
      <c r="A202" s="31"/>
      <c r="B202" s="31"/>
      <c r="C202" s="41"/>
      <c r="D202" s="41"/>
      <c r="E202" s="43"/>
      <c r="F202" s="42"/>
      <c r="G202" s="42"/>
      <c r="H202" s="42"/>
      <c r="I202" s="46"/>
      <c r="K202" s="46"/>
      <c r="L202" s="43"/>
      <c r="M202" s="31"/>
      <c r="N202" s="31"/>
      <c r="O202" s="31"/>
      <c r="P202" s="31"/>
      <c r="Q202" s="31"/>
      <c r="R202" s="44"/>
      <c r="S202" s="44"/>
      <c r="T202" s="44"/>
      <c r="U202" s="44"/>
      <c r="V202" s="47"/>
      <c r="W202" s="47"/>
      <c r="X202" s="45"/>
      <c r="Y202" s="45"/>
      <c r="Z202" s="31"/>
      <c r="AA202" s="1"/>
      <c r="AB202" s="33"/>
      <c r="AC202" s="1"/>
    </row>
    <row r="203">
      <c r="A203" s="31"/>
      <c r="B203" s="31"/>
      <c r="C203" s="41"/>
      <c r="D203" s="41"/>
      <c r="E203" s="43"/>
      <c r="F203" s="42"/>
      <c r="G203" s="42"/>
      <c r="H203" s="42"/>
      <c r="I203" s="46"/>
      <c r="K203" s="46"/>
      <c r="L203" s="43"/>
      <c r="M203" s="31"/>
      <c r="N203" s="31"/>
      <c r="O203" s="31"/>
      <c r="P203" s="31"/>
      <c r="Q203" s="31"/>
      <c r="R203" s="44"/>
      <c r="S203" s="44"/>
      <c r="T203" s="44"/>
      <c r="U203" s="44"/>
      <c r="V203" s="47"/>
      <c r="W203" s="47"/>
      <c r="X203" s="45"/>
      <c r="Y203" s="45"/>
      <c r="Z203" s="31"/>
      <c r="AA203" s="1"/>
      <c r="AB203" s="33"/>
      <c r="AC203" s="1"/>
    </row>
    <row r="204">
      <c r="A204" s="31"/>
      <c r="B204" s="31"/>
      <c r="C204" s="41"/>
      <c r="D204" s="41"/>
      <c r="E204" s="43"/>
      <c r="F204" s="42"/>
      <c r="G204" s="42"/>
      <c r="H204" s="42"/>
      <c r="I204" s="46"/>
      <c r="K204" s="46"/>
      <c r="L204" s="43"/>
      <c r="M204" s="31"/>
      <c r="N204" s="31"/>
      <c r="O204" s="31"/>
      <c r="P204" s="31"/>
      <c r="Q204" s="31"/>
      <c r="R204" s="44"/>
      <c r="S204" s="44"/>
      <c r="T204" s="44"/>
      <c r="U204" s="44"/>
      <c r="V204" s="47"/>
      <c r="W204" s="47"/>
      <c r="X204" s="45"/>
      <c r="Y204" s="45"/>
      <c r="Z204" s="31"/>
      <c r="AA204" s="1"/>
      <c r="AB204" s="33"/>
      <c r="AC204" s="1"/>
    </row>
    <row r="205">
      <c r="A205" s="31"/>
      <c r="B205" s="31"/>
      <c r="C205" s="41"/>
      <c r="D205" s="41"/>
      <c r="E205" s="43"/>
      <c r="F205" s="42"/>
      <c r="G205" s="42"/>
      <c r="H205" s="42"/>
      <c r="I205" s="46"/>
      <c r="K205" s="46"/>
      <c r="L205" s="43"/>
      <c r="M205" s="31"/>
      <c r="N205" s="31"/>
      <c r="O205" s="31"/>
      <c r="P205" s="31"/>
      <c r="Q205" s="31"/>
      <c r="R205" s="44"/>
      <c r="S205" s="44"/>
      <c r="T205" s="44"/>
      <c r="U205" s="44"/>
      <c r="V205" s="47"/>
      <c r="W205" s="47"/>
      <c r="X205" s="45"/>
      <c r="Y205" s="45"/>
      <c r="Z205" s="31"/>
      <c r="AA205" s="1"/>
      <c r="AB205" s="33"/>
      <c r="AC205" s="1"/>
    </row>
    <row r="206">
      <c r="A206" s="31"/>
      <c r="B206" s="31"/>
      <c r="C206" s="41"/>
      <c r="D206" s="41"/>
      <c r="E206" s="43"/>
      <c r="F206" s="42"/>
      <c r="G206" s="42"/>
      <c r="H206" s="42"/>
      <c r="I206" s="46"/>
      <c r="K206" s="46"/>
      <c r="L206" s="43"/>
      <c r="M206" s="31"/>
      <c r="N206" s="31"/>
      <c r="O206" s="31"/>
      <c r="P206" s="31"/>
      <c r="Q206" s="31"/>
      <c r="R206" s="44"/>
      <c r="S206" s="44"/>
      <c r="T206" s="44"/>
      <c r="U206" s="44"/>
      <c r="V206" s="47"/>
      <c r="W206" s="47"/>
      <c r="X206" s="45"/>
      <c r="Y206" s="45"/>
      <c r="Z206" s="31"/>
      <c r="AA206" s="1"/>
      <c r="AB206" s="33"/>
      <c r="AC206" s="1"/>
    </row>
    <row r="207">
      <c r="A207" s="31"/>
      <c r="B207" s="31"/>
      <c r="C207" s="41"/>
      <c r="D207" s="41"/>
      <c r="E207" s="43"/>
      <c r="F207" s="42"/>
      <c r="G207" s="42"/>
      <c r="H207" s="42"/>
      <c r="I207" s="46"/>
      <c r="K207" s="46"/>
      <c r="L207" s="43"/>
      <c r="M207" s="31"/>
      <c r="N207" s="31"/>
      <c r="O207" s="31"/>
      <c r="P207" s="31"/>
      <c r="Q207" s="31"/>
      <c r="R207" s="44"/>
      <c r="S207" s="44"/>
      <c r="T207" s="44"/>
      <c r="U207" s="44"/>
      <c r="V207" s="47"/>
      <c r="W207" s="47"/>
      <c r="X207" s="45"/>
      <c r="Y207" s="45"/>
      <c r="Z207" s="31"/>
      <c r="AA207" s="1"/>
      <c r="AB207" s="33"/>
      <c r="AC207" s="1"/>
    </row>
    <row r="208">
      <c r="A208" s="31"/>
      <c r="B208" s="31"/>
      <c r="C208" s="41"/>
      <c r="D208" s="41"/>
      <c r="E208" s="43"/>
      <c r="F208" s="42"/>
      <c r="G208" s="42"/>
      <c r="H208" s="42"/>
      <c r="I208" s="46"/>
      <c r="K208" s="46"/>
      <c r="L208" s="43"/>
      <c r="M208" s="31"/>
      <c r="N208" s="31"/>
      <c r="O208" s="31"/>
      <c r="P208" s="31"/>
      <c r="Q208" s="31"/>
      <c r="R208" s="44"/>
      <c r="S208" s="44"/>
      <c r="T208" s="44"/>
      <c r="U208" s="44"/>
      <c r="V208" s="47"/>
      <c r="W208" s="47"/>
      <c r="X208" s="45"/>
      <c r="Y208" s="45"/>
      <c r="Z208" s="31"/>
      <c r="AA208" s="1"/>
      <c r="AB208" s="33"/>
      <c r="AC208" s="1"/>
    </row>
  </sheetData>
  <mergeCells>
    <mergeCell ref="AB53:AB56"/>
    <mergeCell ref="AB49:AB52"/>
    <mergeCell ref="AB45:AB48"/>
    <mergeCell ref="AB41:AB44"/>
    <mergeCell ref="AB37:AB40"/>
    <mergeCell ref="AB33:AB36"/>
    <mergeCell ref="AB29:AB32"/>
    <mergeCell ref="AB25:AB28"/>
    <mergeCell ref="AB21:AB24"/>
    <mergeCell ref="AB17:AB20"/>
    <mergeCell ref="AB13:AB16"/>
    <mergeCell ref="AB6:AB12"/>
    <mergeCell ref="AC6:AC12"/>
  </mergeCells>
  <dataValidations count="3">
    <dataValidation allowBlank="true" errorStyle="stop" showErrorMessage="true" sqref="S6:S208 Y6:Y208 U6:U208 R6:R208 T6:T208 V6:V208 W6:W208" type="list">
      <formula1>"✔️"</formula1>
    </dataValidation>
    <dataValidation allowBlank="true" errorStyle="stop" showErrorMessage="true" sqref="X6:X208" type="list">
      <formula1>"3选1,2选1,1选1"</formula1>
    </dataValidation>
    <dataValidation allowBlank="true" errorStyle="stop" showDropDown="true" showErrorMessage="true" sqref="H2:H12 H14:H208 AH2" type="list">
      <formula1>"成长,非成长"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af1d1"/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4" min="4" style="0" width="14"/>
    <col collapsed="false" customWidth="true" hidden="false" max="7" min="7" style="0" width="11"/>
    <col collapsed="false" customWidth="true" hidden="false" max="9" min="9" style="0" width="13"/>
    <col collapsed="false" customWidth="true" hidden="false" max="10" min="10" style="0" width="8"/>
    <col collapsed="false" customWidth="true" hidden="false" max="11" min="11" style="0" width="8"/>
    <col collapsed="false" customWidth="true" hidden="false" max="13" min="13" style="0" width="8"/>
    <col collapsed="false" customWidth="true" hidden="false" max="14" min="14" style="0" width="8"/>
    <col collapsed="false" customWidth="true" hidden="false" max="15" min="15" style="0" width="8"/>
    <col collapsed="false" customWidth="true" hidden="false" max="16" min="16" style="0" width="8"/>
    <col collapsed="false" customWidth="true" hidden="false" max="19" min="19" style="0" width="11"/>
    <col collapsed="false" customWidth="true" hidden="false" max="21" min="21" style="0" width="11"/>
  </cols>
  <sheetData>
    <row r="1">
      <c r="A1" s="7" t="str">
        <v>楼层</v>
      </c>
      <c r="B1" s="7" t="str">
        <v>初始敌人数量</v>
      </c>
      <c r="C1" s="7" t="str">
        <v>总计敌人数量</v>
      </c>
      <c r="D1" s="73" t="str">
        <v>初始敌人总血量</v>
      </c>
      <c r="E1" s="73" t="str">
        <v>全部敌人总血量</v>
      </c>
      <c r="F1" s="7" t="str">
        <v>期望战斗区域</v>
      </c>
      <c r="G1" s="71" t="str">
        <v>期望子弹消耗</v>
      </c>
      <c r="H1" s="7" t="str">
        <v>期望掉落信用点</v>
      </c>
      <c r="I1" s="7" t="str">
        <v>期望奖励信用点</v>
      </c>
      <c r="J1" s="7" t="str">
        <v>期望入账</v>
      </c>
      <c r="K1" s="7" t="str">
        <v>累计入账</v>
      </c>
      <c r="L1" s="7" t="str">
        <v>子弹打印机数量</v>
      </c>
      <c r="M1" s="7" t="str">
        <v>子弹费用</v>
      </c>
      <c r="N1" s="7" t="str">
        <v>TTK</v>
      </c>
      <c r="O1" s="7" t="str">
        <v>单层盈余</v>
      </c>
      <c r="P1" s="7" t="str">
        <v>累计盈余</v>
      </c>
      <c r="Q1" s="7" t="str">
        <v>期望武器打印机</v>
      </c>
      <c r="R1" s="7" t="str">
        <v>累计武器打印机</v>
      </c>
      <c r="S1" s="7" t="str">
        <v>武器升级成本</v>
      </c>
      <c r="T1" s="7" t="str">
        <v>期望武器等级</v>
      </c>
      <c r="U1" s="72" t="str">
        <v>武器盈余</v>
      </c>
      <c r="V1" s="7" t="str">
        <v>累计恢复生命</v>
      </c>
      <c r="W1" s="7" t="str">
        <v>累计恢复护甲</v>
      </c>
      <c r="X1" s="7" t="str">
        <v>BOSS</v>
      </c>
    </row>
    <row r="2">
      <c r="A2" s="2">
        <v>1</v>
      </c>
      <c r="B2" s="2">
        <v>10</v>
      </c>
      <c r="C2" s="2">
        <f>B2*2</f>
      </c>
      <c r="D2" s="63">
        <f>B2*100*IF(A2&lt;=9, 2-(1/64)*(9-A2)^2, IF(A2&lt;=18, 4-(2/81)*(18-A2)^2, IF(A2&lt;=25, 6-(2/49)*(25-A2)^2, IF(A2&lt;=32, 8-(2/49)*(32-A2)^2, IF(A2&lt;=40, 10-(1/32)*(40-A2)^2, "超出范围")))))</f>
      </c>
      <c r="E2" s="63">
        <f>D2*2</f>
      </c>
      <c r="F2" s="2">
        <v>2</v>
      </c>
      <c r="G2" s="61">
        <f>IFERROR(IF(X2="Boss", E2, AVERAGE(D2:E2)) / 100 * 0.5 * LOOKUP(A2, {1, 10, 19, 26, 33}, {2.2, 1.6, 1.2, 1, 0.8}), "")</f>
      </c>
      <c r="H2" s="2">
        <f>AVERAGE(B2:C2)*0.1*20*F2</f>
      </c>
      <c r="I2" s="64">
        <f>F2*2*0.15*130</f>
      </c>
      <c r="J2">
        <f>SUM(H2:I2)</f>
      </c>
      <c r="K2" s="12">
        <f>SUM($J$2:J2)</f>
      </c>
      <c r="L2" s="64">
        <f>ROUNDUP(SUM(G2:G10)/9/30)</f>
      </c>
      <c r="M2" s="65">
        <f>G2/30*50</f>
      </c>
      <c r="N2" s="65">
        <f>IFERROR(CHOOSE(ROUNDUP(T2/2, 0), IF(X2="Boss", E2, AVERAGE(D2:E2))/130, IF(X2="Boss", E2, AVERAGE(D2:E2))/180, IF(X2="Boss", E2, AVERAGE(D2:E2))/240, IF(X2="Boss", E2, AVERAGE(D2:E2))/300, IF(X2="Boss", E2, AVERAGE(D2:E2))/370), "")</f>
      </c>
      <c r="O2" s="61">
        <f>J2-M2</f>
      </c>
      <c r="P2">
        <f>SUM($O$2:O2)</f>
      </c>
      <c r="Q2">
        <f>F2*2*0.15</f>
      </c>
      <c r="R2">
        <f>INT(SUM($Q$2:Q2))</f>
      </c>
      <c r="S2" s="2">
        <v>0</v>
      </c>
      <c r="T2" s="64">
        <f>IF(R2&gt;0, 2, 1)</f>
      </c>
      <c r="U2" s="62">
        <f>P2-S2</f>
      </c>
      <c r="V2">
        <f>0.1*F2*50*A2</f>
      </c>
      <c r="W2">
        <f>0.1*F2*50*A2</f>
      </c>
    </row>
    <row r="3">
      <c r="A3" s="2">
        <v>2</v>
      </c>
      <c r="B3">
        <v>10</v>
      </c>
      <c r="C3">
        <f>B3*2</f>
      </c>
      <c r="D3" s="63">
        <f>B3*100*IF(A3&lt;=9, 2-(1/64)*(9-A3)^2, IF(A3&lt;=18, 4-(2/81)*(18-A3)^2, IF(A3&lt;=25, 6-(2/49)*(25-A3)^2, IF(A3&lt;=32, 8-(2/49)*(32-A3)^2, IF(A3&lt;=40, 10-(1/32)*(40-A3)^2, "超出范围")))))</f>
      </c>
      <c r="E3" s="63">
        <f>D3*2</f>
      </c>
      <c r="F3">
        <v>2</v>
      </c>
      <c r="G3" s="61">
        <f>IFERROR(IF(X3="Boss", E3, AVERAGE(D3:E3)) / 100 * 0.5 * LOOKUP(A3, {1, 10, 19, 26, 33}, {2.2, 1.6, 1.2, 1, 0.8}), "")</f>
      </c>
      <c r="H3">
        <f>AVERAGE(B3:C3)*0.1*20*F3</f>
      </c>
      <c r="I3" s="64">
        <f>F3*2*0.15*130</f>
      </c>
      <c r="J3">
        <f>SUM(H3:I3)</f>
      </c>
      <c r="K3">
        <f>SUM($J$2:J3)</f>
      </c>
      <c r="L3" s="64">
        <f>L2</f>
      </c>
      <c r="M3" s="61">
        <f>G3/30*50</f>
      </c>
      <c r="N3" s="61">
        <f>IFERROR(CHOOSE(ROUNDUP(T3/2, 0), IF(X3="Boss", E3, AVERAGE(D3:E3))/130, IF(X3="Boss", E3, AVERAGE(D3:E3))/180, IF(X3="Boss", E3, AVERAGE(D3:E3))/240, IF(X3="Boss", E3, AVERAGE(D3:E3))/300, IF(X3="Boss", E3, AVERAGE(D3:E3))/370), "")</f>
      </c>
      <c r="O3" s="61">
        <f>J3-M3</f>
      </c>
      <c r="P3">
        <f>SUM($O$2:O3)</f>
      </c>
      <c r="Q3">
        <f>F3*2*0.15</f>
      </c>
      <c r="R3">
        <f>INT(SUM($Q$2:Q3))</f>
      </c>
      <c r="S3">
        <f>IF(AND(T3 &gt; T2, T2 &gt;= 2),     S2 + VLOOKUP(INT(T2/2), '武器经济计算'!$A:$B, 2, FALSE),     S2)</f>
      </c>
      <c r="T3" s="64">
        <f>IF(R3 &gt; R2,     IF(T2 &lt; 2,        2,        IF((P3 - S2) &gt;= VLOOKUP(INT(T2/2), '武器经济计算'!$A:$B, 2, FALSE),           T2 + 1,           T2       )    ),     T2)</f>
      </c>
      <c r="U3" s="62">
        <f>P3-S3</f>
      </c>
      <c r="V3">
        <f>0.1*F3*50*A3</f>
      </c>
      <c r="W3">
        <f>0.1*F3*50*A3</f>
      </c>
    </row>
    <row r="4">
      <c r="A4" s="2">
        <v>3</v>
      </c>
      <c r="B4">
        <v>10</v>
      </c>
      <c r="C4">
        <f>B4*2</f>
      </c>
      <c r="D4" s="63">
        <f>B4*100*IF(A4&lt;=9, 2-(1/64)*(9-A4)^2, IF(A4&lt;=18, 4-(2/81)*(18-A4)^2, IF(A4&lt;=25, 6-(2/49)*(25-A4)^2, IF(A4&lt;=32, 8-(2/49)*(32-A4)^2, IF(A4&lt;=40, 10-(1/32)*(40-A4)^2, "超出范围")))))</f>
      </c>
      <c r="E4" s="63">
        <f>D4*2</f>
      </c>
      <c r="F4">
        <v>2</v>
      </c>
      <c r="G4" s="61">
        <f>IFERROR(IF(X4="Boss", E4, AVERAGE(D4:E4)) / 100 * 0.5 * LOOKUP(A4, {1, 10, 19, 26, 33}, {2.2, 1.6, 1.2, 1, 0.8}), "")</f>
      </c>
      <c r="H4">
        <f>AVERAGE(B4:C4)*0.1*20*F4</f>
      </c>
      <c r="I4" s="64">
        <f>F4*2*0.15*130</f>
      </c>
      <c r="J4">
        <f>SUM(H4:I4)</f>
      </c>
      <c r="K4">
        <f>SUM($J$2:J4)</f>
      </c>
      <c r="L4" s="64">
        <f>L3</f>
      </c>
      <c r="M4" s="61">
        <f>G4/30*50</f>
      </c>
      <c r="N4" s="61">
        <f>IFERROR(CHOOSE(ROUNDUP(T4/2, 0), IF(X4="Boss", E4, AVERAGE(D4:E4))/130, IF(X4="Boss", E4, AVERAGE(D4:E4))/180, IF(X4="Boss", E4, AVERAGE(D4:E4))/240, IF(X4="Boss", E4, AVERAGE(D4:E4))/300, IF(X4="Boss", E4, AVERAGE(D4:E4))/370), "")</f>
      </c>
      <c r="O4" s="61">
        <f>J4-M4</f>
      </c>
      <c r="P4">
        <f>SUM($O$2:O4)</f>
      </c>
      <c r="Q4">
        <f>F4*2*0.15</f>
      </c>
      <c r="R4">
        <f>INT(SUM($Q$2:Q4))</f>
      </c>
      <c r="S4">
        <f>IF(AND(T4 &gt; T3, T3 &gt;= 2),     S3 + VLOOKUP(INT(T3/2), '武器经济计算'!$A:$B, 2, FALSE),     S3)</f>
      </c>
      <c r="T4" s="64">
        <f>IF(R4 &gt; R3,     IF(T3 &lt; 2,        2,        IF((P4 - S3) &gt;= VLOOKUP(INT(T3/2), '武器经济计算'!$A:$B, 2, FALSE),           T3 + 1,           T3       )    ),     T3)</f>
      </c>
      <c r="U4" s="62">
        <f>P4-S4</f>
      </c>
      <c r="V4">
        <f>0.1*F4*50*A4</f>
      </c>
      <c r="W4">
        <f>0.1*F4*50*A4</f>
      </c>
    </row>
    <row r="5">
      <c r="A5" s="2">
        <v>4</v>
      </c>
      <c r="B5">
        <v>10</v>
      </c>
      <c r="C5">
        <f>B5*2</f>
      </c>
      <c r="D5" s="63">
        <f>B5*100*IF(A5&lt;=9, 2-(1/64)*(9-A5)^2, IF(A5&lt;=18, 4-(2/81)*(18-A5)^2, IF(A5&lt;=25, 6-(2/49)*(25-A5)^2, IF(A5&lt;=32, 8-(2/49)*(32-A5)^2, IF(A5&lt;=40, 10-(1/32)*(40-A5)^2, "超出范围")))))</f>
      </c>
      <c r="E5" s="63">
        <f>D5*2</f>
      </c>
      <c r="F5">
        <v>2</v>
      </c>
      <c r="G5" s="61">
        <f>IFERROR(IF(X5="Boss", E5, AVERAGE(D5:E5)) / 100 * 0.5 * LOOKUP(A5, {1, 10, 19, 26, 33}, {2.2, 1.6, 1.2, 1, 0.8}), "")</f>
      </c>
      <c r="H5">
        <f>AVERAGE(B5:C5)*0.1*20*F5</f>
      </c>
      <c r="I5" s="64">
        <f>F5*2*0.15*130</f>
      </c>
      <c r="J5">
        <f>SUM(H5:I5)</f>
      </c>
      <c r="K5">
        <f>SUM($J$2:J5)</f>
      </c>
      <c r="L5" s="64">
        <f>L4</f>
      </c>
      <c r="M5" s="61">
        <f>G5/30*50</f>
      </c>
      <c r="N5" s="61">
        <f>IFERROR(CHOOSE(ROUNDUP(T5/2, 0), IF(X5="Boss", E5, AVERAGE(D5:E5))/130, IF(X5="Boss", E5, AVERAGE(D5:E5))/180, IF(X5="Boss", E5, AVERAGE(D5:E5))/240, IF(X5="Boss", E5, AVERAGE(D5:E5))/300, IF(X5="Boss", E5, AVERAGE(D5:E5))/370), "")</f>
      </c>
      <c r="O5" s="61">
        <f>J5-M5</f>
      </c>
      <c r="P5">
        <f>SUM($O$2:O5)</f>
      </c>
      <c r="Q5">
        <f>F5*2*0.15</f>
      </c>
      <c r="R5">
        <f>INT(SUM($Q$2:Q5))</f>
      </c>
      <c r="S5">
        <f>IF(AND(T5 &gt; T4, T4 &gt;= 2),     S4 + VLOOKUP(INT(T4/2), '武器经济计算'!$A:$B, 2, FALSE),     S4)</f>
      </c>
      <c r="T5" s="64">
        <f>IF(R5 &gt; R4,     IF(T4 &lt; 2,        2,        IF((P5 - S4) &gt;= VLOOKUP(INT(T4/2), '武器经济计算'!$A:$B, 2, FALSE),           T4 + 1,           T4       )    ),     T4)</f>
      </c>
      <c r="U5" s="62">
        <f>P5-S5</f>
      </c>
      <c r="V5">
        <f>0.1*F5*50*A5</f>
      </c>
      <c r="W5">
        <f>0.1*F5*50*A5</f>
      </c>
    </row>
    <row r="6">
      <c r="A6" s="2">
        <v>5</v>
      </c>
      <c r="B6">
        <v>10</v>
      </c>
      <c r="C6">
        <f>B6*2</f>
      </c>
      <c r="D6" s="63">
        <f>B6*100*IF(A6&lt;=9, 2-(1/64)*(9-A6)^2, IF(A6&lt;=18, 4-(2/81)*(18-A6)^2, IF(A6&lt;=25, 6-(2/49)*(25-A6)^2, IF(A6&lt;=32, 8-(2/49)*(32-A6)^2, IF(A6&lt;=40, 10-(1/32)*(40-A6)^2, "超出范围")))))</f>
      </c>
      <c r="E6" s="63">
        <f>D6*2</f>
      </c>
      <c r="F6">
        <v>2</v>
      </c>
      <c r="G6" s="61">
        <f>IFERROR(IF(X6="Boss", E6, AVERAGE(D6:E6)) / 100 * 0.5 * LOOKUP(A6, {1, 10, 19, 26, 33}, {2.2, 1.6, 1.2, 1, 0.8}), "")</f>
      </c>
      <c r="H6">
        <f>AVERAGE(B6:C6)*0.1*20*F6</f>
      </c>
      <c r="I6" s="64">
        <f>F6*2*0.15*130</f>
      </c>
      <c r="J6">
        <f>SUM(H6:I6)</f>
      </c>
      <c r="K6">
        <f>SUM($J$2:J6)</f>
      </c>
      <c r="L6" s="64">
        <f>L5</f>
      </c>
      <c r="M6" s="61">
        <f>G6/30*50</f>
      </c>
      <c r="N6" s="61">
        <f>IFERROR(CHOOSE(ROUNDUP(T6/2, 0), IF(X6="Boss", E6, AVERAGE(D6:E6))/130, IF(X6="Boss", E6, AVERAGE(D6:E6))/180, IF(X6="Boss", E6, AVERAGE(D6:E6))/240, IF(X6="Boss", E6, AVERAGE(D6:E6))/300, IF(X6="Boss", E6, AVERAGE(D6:E6))/370), "")</f>
      </c>
      <c r="O6" s="61">
        <f>J6-M6</f>
      </c>
      <c r="P6">
        <f>SUM($O$2:O6)</f>
      </c>
      <c r="Q6">
        <f>F6*2*0.15</f>
      </c>
      <c r="R6">
        <f>INT(SUM($Q$2:Q6))</f>
      </c>
      <c r="S6">
        <f>IF(AND(T6 &gt; T5, T5 &gt;= 2),     S5 + VLOOKUP(INT(T5/2), '武器经济计算'!$A:$B, 2, FALSE),     S5)</f>
      </c>
      <c r="T6" s="64">
        <f>IF(R6 &gt; R5,     IF(T5 &lt; 2,        2,        IF((P6 - S5) &gt;= VLOOKUP(INT(T5/2), '武器经济计算'!$A:$B, 2, FALSE),           T5 + 1,           T5       )    ),     T5)</f>
      </c>
      <c r="U6" s="62">
        <f>P6-S6</f>
      </c>
      <c r="V6">
        <f>0.1*F6*50*A6</f>
      </c>
      <c r="W6">
        <f>0.1*F6*50*A6</f>
      </c>
    </row>
    <row r="7">
      <c r="A7" s="2">
        <v>6</v>
      </c>
      <c r="B7">
        <v>10</v>
      </c>
      <c r="C7">
        <f>B7*2</f>
      </c>
      <c r="D7" s="63">
        <f>B7*100*IF(A7&lt;=9, 2-(1/64)*(9-A7)^2, IF(A7&lt;=18, 4-(2/81)*(18-A7)^2, IF(A7&lt;=25, 6-(2/49)*(25-A7)^2, IF(A7&lt;=32, 8-(2/49)*(32-A7)^2, IF(A7&lt;=40, 10-(1/32)*(40-A7)^2, "超出范围")))))</f>
      </c>
      <c r="E7" s="63">
        <f>D7*2</f>
      </c>
      <c r="F7">
        <v>2</v>
      </c>
      <c r="G7" s="61">
        <f>IFERROR(IF(X7="Boss", E7, AVERAGE(D7:E7)) / 100 * 0.5 * LOOKUP(A7, {1, 10, 19, 26, 33}, {2.2, 1.6, 1.2, 1, 0.8}), "")</f>
      </c>
      <c r="H7">
        <f>AVERAGE(B7:C7)*0.1*20*F7</f>
      </c>
      <c r="I7" s="64">
        <f>F7*2*0.15*130</f>
      </c>
      <c r="J7">
        <f>SUM(H7:I7)</f>
      </c>
      <c r="K7">
        <f>SUM($J$2:J7)</f>
      </c>
      <c r="L7" s="64">
        <f>L6</f>
      </c>
      <c r="M7" s="61">
        <f>G7/30*50</f>
      </c>
      <c r="N7" s="61">
        <f>IFERROR(CHOOSE(ROUNDUP(T7/2, 0), IF(X7="Boss", E7, AVERAGE(D7:E7))/130, IF(X7="Boss", E7, AVERAGE(D7:E7))/180, IF(X7="Boss", E7, AVERAGE(D7:E7))/240, IF(X7="Boss", E7, AVERAGE(D7:E7))/300, IF(X7="Boss", E7, AVERAGE(D7:E7))/370), "")</f>
      </c>
      <c r="O7" s="61">
        <f>J7-M7</f>
      </c>
      <c r="P7">
        <f>SUM($O$2:O7)</f>
      </c>
      <c r="Q7">
        <f>F7*2*0.15</f>
      </c>
      <c r="R7">
        <f>INT(SUM($Q$2:Q7))</f>
      </c>
      <c r="S7">
        <f>IF(AND(T7 &gt; T6, T6 &gt;= 2),     S6 + VLOOKUP(INT(T6/2), '武器经济计算'!$A:$B, 2, FALSE),     S6)</f>
      </c>
      <c r="T7" s="64">
        <f>IF(R7 &gt; R6,     IF(T6 &lt; 2,        2,        IF((P7 - S6) &gt;= VLOOKUP(INT(T6/2), '武器经济计算'!$A:$B, 2, FALSE),           T6 + 1,           T6       )    ),     T6)</f>
      </c>
      <c r="U7" s="62">
        <f>P7-S7</f>
      </c>
      <c r="V7">
        <f>0.1*F7*50*A7</f>
      </c>
      <c r="W7">
        <f>0.1*F7*50*A7</f>
      </c>
    </row>
    <row r="8">
      <c r="A8" s="2">
        <v>7</v>
      </c>
      <c r="B8">
        <v>10</v>
      </c>
      <c r="C8">
        <f>B8*2</f>
      </c>
      <c r="D8" s="63">
        <f>B8*100*IF(A8&lt;=9, 2-(1/64)*(9-A8)^2, IF(A8&lt;=18, 4-(2/81)*(18-A8)^2, IF(A8&lt;=25, 6-(2/49)*(25-A8)^2, IF(A8&lt;=32, 8-(2/49)*(32-A8)^2, IF(A8&lt;=40, 10-(1/32)*(40-A8)^2, "超出范围")))))</f>
      </c>
      <c r="E8" s="63">
        <f>D8*2</f>
      </c>
      <c r="F8">
        <v>2</v>
      </c>
      <c r="G8" s="61">
        <f>IFERROR(IF(X8="Boss", E8, AVERAGE(D8:E8)) / 100 * 0.5 * LOOKUP(A8, {1, 10, 19, 26, 33}, {2.2, 1.6, 1.2, 1, 0.8}), "")</f>
      </c>
      <c r="H8">
        <f>AVERAGE(B8:C8)*0.1*20*F8</f>
      </c>
      <c r="I8" s="64">
        <f>F8*2*0.15*130</f>
      </c>
      <c r="J8">
        <f>SUM(H8:I8)</f>
      </c>
      <c r="K8">
        <f>SUM($J$2:J8)</f>
      </c>
      <c r="L8" s="64">
        <f>L7</f>
      </c>
      <c r="M8" s="61">
        <f>G8/30*50</f>
      </c>
      <c r="N8" s="61">
        <f>IFERROR(CHOOSE(ROUNDUP(T8/2, 0), IF(X8="Boss", E8, AVERAGE(D8:E8))/130, IF(X8="Boss", E8, AVERAGE(D8:E8))/180, IF(X8="Boss", E8, AVERAGE(D8:E8))/240, IF(X8="Boss", E8, AVERAGE(D8:E8))/300, IF(X8="Boss", E8, AVERAGE(D8:E8))/370), "")</f>
      </c>
      <c r="O8" s="61">
        <f>J8-M8</f>
      </c>
      <c r="P8">
        <f>SUM($O$2:O8)</f>
      </c>
      <c r="Q8">
        <f>F8*2*0.15</f>
      </c>
      <c r="R8">
        <f>INT(SUM($Q$2:Q8))</f>
      </c>
      <c r="S8">
        <f>IF(AND(T8 &gt; T7, T7 &gt;= 2),     S7 + VLOOKUP(INT(T7/2), '武器经济计算'!$A:$B, 2, FALSE),     S7)</f>
      </c>
      <c r="T8" s="64">
        <f>IF(R8 &gt; R7,     IF(T7 &lt; 2,        2,        IF((P8 - S7) &gt;= VLOOKUP(INT(T7/2), '武器经济计算'!$A:$B, 2, FALSE),           T7 + 1,           T7       )    ),     T7)</f>
      </c>
      <c r="U8" s="62">
        <f>P8-S8</f>
      </c>
      <c r="V8">
        <f>0.1*F8*50*A8</f>
      </c>
      <c r="W8">
        <f>0.1*F8*50*A8</f>
      </c>
    </row>
    <row r="9">
      <c r="A9" s="2">
        <v>8</v>
      </c>
      <c r="B9">
        <v>10</v>
      </c>
      <c r="C9">
        <f>B9*2</f>
      </c>
      <c r="D9" s="63">
        <f>B9*100*IF(A9&lt;=9, 2-(1/64)*(9-A9)^2, IF(A9&lt;=18, 4-(2/81)*(18-A9)^2, IF(A9&lt;=25, 6-(2/49)*(25-A9)^2, IF(A9&lt;=32, 8-(2/49)*(32-A9)^2, IF(A9&lt;=40, 10-(1/32)*(40-A9)^2, "超出范围")))))</f>
      </c>
      <c r="E9" s="63">
        <f>D9*2</f>
      </c>
      <c r="F9">
        <v>2</v>
      </c>
      <c r="G9" s="61">
        <f>IFERROR(IF(X9="Boss", E9, AVERAGE(D9:E9)) / 100 * 0.5 * LOOKUP(A9, {1, 10, 19, 26, 33}, {2.2, 1.6, 1.2, 1, 0.8}), "")</f>
      </c>
      <c r="H9">
        <f>AVERAGE(B9:C9)*0.1*20*F9</f>
      </c>
      <c r="I9" s="64">
        <f>F9*2*0.15*130</f>
      </c>
      <c r="J9">
        <f>SUM(H9:I9)</f>
      </c>
      <c r="K9">
        <f>SUM($J$2:J9)</f>
      </c>
      <c r="L9" s="64">
        <f>L8</f>
      </c>
      <c r="M9" s="61">
        <f>G9/30*50</f>
      </c>
      <c r="N9" s="61">
        <f>IFERROR(CHOOSE(ROUNDUP(T9/2, 0), IF(X9="Boss", E9, AVERAGE(D9:E9))/130, IF(X9="Boss", E9, AVERAGE(D9:E9))/180, IF(X9="Boss", E9, AVERAGE(D9:E9))/240, IF(X9="Boss", E9, AVERAGE(D9:E9))/300, IF(X9="Boss", E9, AVERAGE(D9:E9))/370), "")</f>
      </c>
      <c r="O9" s="61">
        <f>J9-M9</f>
      </c>
      <c r="P9">
        <f>SUM($O$2:O9)</f>
      </c>
      <c r="Q9">
        <f>F9*2*0.15</f>
      </c>
      <c r="R9">
        <f>INT(SUM($Q$2:Q9))</f>
      </c>
      <c r="S9">
        <f>IF(AND(T9 &gt; T8, T8 &gt;= 2),     S8 + VLOOKUP(INT(T8/2), '武器经济计算'!$A:$B, 2, FALSE),     S8)</f>
      </c>
      <c r="T9" s="64">
        <f>IF(R9 &gt; R8,     IF(T8 &lt; 2,        2,        IF((P9 - S8) &gt;= VLOOKUP(INT(T8/2), '武器经济计算'!$A:$B, 2, FALSE),           T8 + 1,           T8       )    ),     T8)</f>
      </c>
      <c r="U9" s="62">
        <f>P9-S9</f>
      </c>
      <c r="V9">
        <f>0.1*F9*50*A9</f>
      </c>
      <c r="W9">
        <f>0.1*F9*50*A9</f>
      </c>
    </row>
    <row r="10">
      <c r="A10" s="67">
        <v>9</v>
      </c>
      <c r="B10" s="67">
        <v>10</v>
      </c>
      <c r="C10" s="67">
        <f>B10*2</f>
      </c>
      <c r="D10" s="69">
        <f>B10*100*IF(A10&lt;=9, 2-(1/64)*(9-A10)^2, IF(A10&lt;=18, 4-(2/81)*(18-A10)^2, IF(A10&lt;=25, 6-(2/49)*(25-A10)^2, IF(A10&lt;=32, 8-(2/49)*(32-A10)^2, IF(A10&lt;=40, 10-(1/32)*(40-A10)^2, "超出范围")))))</f>
      </c>
      <c r="E10" s="69">
        <f>D10*2</f>
      </c>
      <c r="F10" s="67">
        <v>2</v>
      </c>
      <c r="G10" s="66">
        <f>IFERROR(IF(X10="Boss", E10, AVERAGE(D10:E10)) / 100 * 0.5 * LOOKUP(A10, {1, 10, 19, 26, 33}, {2.2, 1.6, 1.2, 1, 0.8}), "")</f>
      </c>
      <c r="H10" s="67">
        <f>AVERAGE(B10:C10)*0.1*20*F10</f>
      </c>
      <c r="I10" s="70">
        <f>F10*2*0.15*130</f>
      </c>
      <c r="J10" s="67">
        <f>SUM(H10:I10)</f>
      </c>
      <c r="K10" s="67">
        <f>SUM($J$2:J10)</f>
      </c>
      <c r="L10" s="70">
        <f>L9</f>
      </c>
      <c r="M10" s="66">
        <f>G10/30*50</f>
      </c>
      <c r="N10" s="66">
        <f>IFERROR(CHOOSE(ROUNDUP(T10/2, 0), IF(X10="Boss", E10, AVERAGE(D10:E10))/130, IF(X10="Boss", E10, AVERAGE(D10:E10))/180, IF(X10="Boss", E10, AVERAGE(D10:E10))/240, IF(X10="Boss", E10, AVERAGE(D10:E10))/300, IF(X10="Boss", E10, AVERAGE(D10:E10))/370), "")</f>
      </c>
      <c r="O10" s="66">
        <f>J10-M10</f>
      </c>
      <c r="P10" s="67">
        <f>SUM($O$2:O10)</f>
      </c>
      <c r="Q10" s="67">
        <f>F10*2*0.15</f>
      </c>
      <c r="R10" s="67">
        <f>INT(SUM($Q$2:Q10))</f>
      </c>
      <c r="S10" s="67">
        <f>IF(AND(T10 &gt; T9, T9 &gt;= 2),     S9 + VLOOKUP(INT(T9/2), '武器经济计算'!$A:$B, 2, FALSE),     S9)</f>
      </c>
      <c r="T10" s="70">
        <f>IF(R10 &gt; R9,     IF(T9 &lt; 2,        2,        IF((P10 - S9) &gt;= VLOOKUP(INT(T9/2), '武器经济计算'!$A:$B, 2, FALSE),           T9 + 1,           T9       )    ),     T9)</f>
      </c>
      <c r="U10" s="68">
        <f>P10-S10</f>
      </c>
      <c r="V10" s="67">
        <f>0.1*F10*50*A10</f>
      </c>
      <c r="W10" s="67">
        <f>0.1*F10*50*A10</f>
      </c>
      <c r="X10" s="67" t="str">
        <v>BOSS</v>
      </c>
    </row>
    <row r="11">
      <c r="A11" s="2">
        <v>10</v>
      </c>
      <c r="B11">
        <v>10</v>
      </c>
      <c r="C11">
        <f>B11*2</f>
      </c>
      <c r="D11" s="63">
        <f>B11*100*IF(A11&lt;=9, 2-(1/64)*(9-A11)^2, IF(A11&lt;=18, 4-(2/81)*(18-A11)^2, IF(A11&lt;=25, 6-(2/49)*(25-A11)^2, IF(A11&lt;=32, 8-(2/49)*(32-A11)^2, IF(A11&lt;=40, 10-(1/32)*(40-A11)^2, "超出范围")))))</f>
      </c>
      <c r="E11" s="63">
        <f>D11*2</f>
      </c>
      <c r="F11">
        <v>2</v>
      </c>
      <c r="G11" s="61">
        <f>IFERROR(IF(X11="Boss", E11, AVERAGE(D11:E11)) / 100 * 0.5 * LOOKUP(A11, {1, 10, 19, 26, 33}, {2.2, 1.6, 1.2, 1, 0.8}), "")</f>
      </c>
      <c r="H11">
        <f>AVERAGE(B11:C11)*0.1*20*F11</f>
      </c>
      <c r="I11" s="64">
        <f>F11*2*0.15*130</f>
      </c>
      <c r="J11">
        <f>SUM(H11:I11)</f>
      </c>
      <c r="K11">
        <f>SUM($J$2:J11)</f>
      </c>
      <c r="L11" s="64">
        <f>ROUNDUP(SUM(G11:G19)/9/30)</f>
      </c>
      <c r="M11" s="61">
        <f>G11/30*50</f>
      </c>
      <c r="N11" s="61">
        <f>IFERROR(CHOOSE(ROUNDUP(T11/2, 0), IF(X11="Boss", E11, AVERAGE(D11:E11))/130, IF(X11="Boss", E11, AVERAGE(D11:E11))/180, IF(X11="Boss", E11, AVERAGE(D11:E11))/240, IF(X11="Boss", E11, AVERAGE(D11:E11))/300, IF(X11="Boss", E11, AVERAGE(D11:E11))/370), "")</f>
      </c>
      <c r="O11" s="61">
        <f>J11-M11</f>
      </c>
      <c r="P11">
        <f>SUM($O$2:O11)</f>
      </c>
      <c r="Q11">
        <f>F11*2*0.15</f>
      </c>
      <c r="R11">
        <f>INT(SUM($Q$2:Q11))</f>
      </c>
      <c r="S11">
        <f>IF(AND(T11 &gt; T10, T10 &gt;= 2),     S10 + VLOOKUP(INT(T10/2), '武器经济计算'!$A:$B, 2, FALSE),     S10)</f>
      </c>
      <c r="T11" s="64">
        <f>IF(R11 &gt; R10,     IF(T10 &lt; 2,        2,        IF((P11 - S10) &gt;= VLOOKUP(INT(T10/2), '武器经济计算'!$A:$B, 2, FALSE),           T10 + 1,           T10       )    ),     T10)</f>
      </c>
      <c r="U11" s="62">
        <f>P11-S11</f>
      </c>
      <c r="V11">
        <f>0.1*F11*50*A11</f>
      </c>
      <c r="W11">
        <f>0.1*F11*50*A11</f>
      </c>
    </row>
    <row r="12">
      <c r="A12" s="2">
        <v>11</v>
      </c>
      <c r="B12">
        <v>10</v>
      </c>
      <c r="C12">
        <f>B12*2</f>
      </c>
      <c r="D12" s="63">
        <f>B12*100*IF(A12&lt;=9, 2-(1/64)*(9-A12)^2, IF(A12&lt;=18, 4-(2/81)*(18-A12)^2, IF(A12&lt;=25, 6-(2/49)*(25-A12)^2, IF(A12&lt;=32, 8-(2/49)*(32-A12)^2, IF(A12&lt;=40, 10-(1/32)*(40-A12)^2, "超出范围")))))</f>
      </c>
      <c r="E12" s="63">
        <f>D12*2</f>
      </c>
      <c r="F12">
        <v>2</v>
      </c>
      <c r="G12" s="61">
        <f>IFERROR(IF(X12="Boss", E12, AVERAGE(D12:E12)) / 100 * 0.5 * LOOKUP(A12, {1, 10, 19, 26, 33}, {2.2, 1.6, 1.2, 1, 0.8}), "")</f>
      </c>
      <c r="H12">
        <f>AVERAGE(B12:C12)*0.1*20*F12</f>
      </c>
      <c r="I12" s="64">
        <f>F12*2*0.15*130</f>
      </c>
      <c r="J12">
        <f>SUM(H12:I12)</f>
      </c>
      <c r="K12">
        <f>SUM($J$2:J12)</f>
      </c>
      <c r="L12" s="64">
        <f>L11</f>
      </c>
      <c r="M12" s="61">
        <f>G12/30*50</f>
      </c>
      <c r="N12" s="61">
        <f>IFERROR(CHOOSE(ROUNDUP(T12/2, 0), IF(X12="Boss", E12, AVERAGE(D12:E12))/130, IF(X12="Boss", E12, AVERAGE(D12:E12))/180, IF(X12="Boss", E12, AVERAGE(D12:E12))/240, IF(X12="Boss", E12, AVERAGE(D12:E12))/300, IF(X12="Boss", E12, AVERAGE(D12:E12))/370), "")</f>
      </c>
      <c r="O12" s="61">
        <f>J12-M12</f>
      </c>
      <c r="P12">
        <f>SUM($O$2:O12)</f>
      </c>
      <c r="Q12">
        <f>F12*2*0.15</f>
      </c>
      <c r="R12">
        <f>INT(SUM($Q$2:Q12))</f>
      </c>
      <c r="S12">
        <f>IF(AND(T12 &gt; T11, T11 &gt;= 2),     S11 + VLOOKUP(INT(T11/2), '武器经济计算'!$A:$B, 2, FALSE),     S11)</f>
      </c>
      <c r="T12" s="64">
        <f>IF(R12 &gt; R11,     IF(T11 &lt; 2,        2,        IF((P12 - S11) &gt;= VLOOKUP(INT(T11/2), '武器经济计算'!$A:$B, 2, FALSE),           T11 + 1,           T11       )    ),     T11)</f>
      </c>
      <c r="U12" s="62">
        <f>P12-S12</f>
      </c>
      <c r="V12">
        <f>0.1*F12*50*A12</f>
      </c>
      <c r="W12">
        <f>0.1*F12*50*A12</f>
      </c>
    </row>
    <row r="13">
      <c r="A13" s="2">
        <v>12</v>
      </c>
      <c r="B13">
        <v>10</v>
      </c>
      <c r="C13">
        <f>B13*2</f>
      </c>
      <c r="D13" s="63">
        <f>B13*100*IF(A13&lt;=9, 2-(1/64)*(9-A13)^2, IF(A13&lt;=18, 4-(2/81)*(18-A13)^2, IF(A13&lt;=25, 6-(2/49)*(25-A13)^2, IF(A13&lt;=32, 8-(2/49)*(32-A13)^2, IF(A13&lt;=40, 10-(1/32)*(40-A13)^2, "超出范围")))))</f>
      </c>
      <c r="E13" s="63">
        <f>D13*2</f>
      </c>
      <c r="F13">
        <v>2</v>
      </c>
      <c r="G13" s="61">
        <f>IFERROR(IF(X13="Boss", E13, AVERAGE(D13:E13)) / 100 * 0.5 * LOOKUP(A13, {1, 10, 19, 26, 33}, {2.2, 1.6, 1.2, 1, 0.8}), "")</f>
      </c>
      <c r="H13">
        <f>AVERAGE(B13:C13)*0.1*20*F13</f>
      </c>
      <c r="I13" s="64">
        <f>F13*2*0.15*130</f>
      </c>
      <c r="J13">
        <f>SUM(H13:I13)</f>
      </c>
      <c r="K13">
        <f>SUM($J$2:J13)</f>
      </c>
      <c r="L13" s="64">
        <f>L12</f>
      </c>
      <c r="M13" s="61">
        <f>G13/30*50</f>
      </c>
      <c r="N13" s="61">
        <f>IFERROR(CHOOSE(ROUNDUP(T13/2, 0), IF(X13="Boss", E13, AVERAGE(D13:E13))/130, IF(X13="Boss", E13, AVERAGE(D13:E13))/180, IF(X13="Boss", E13, AVERAGE(D13:E13))/240, IF(X13="Boss", E13, AVERAGE(D13:E13))/300, IF(X13="Boss", E13, AVERAGE(D13:E13))/370), "")</f>
      </c>
      <c r="O13" s="61">
        <f>J13-M13</f>
      </c>
      <c r="P13">
        <f>SUM($O$2:O13)</f>
      </c>
      <c r="Q13">
        <f>F13*2*0.15</f>
      </c>
      <c r="R13">
        <f>INT(SUM($Q$2:Q13))</f>
      </c>
      <c r="S13">
        <f>IF(AND(T13 &gt; T12, T12 &gt;= 2),     S12 + VLOOKUP(INT(T12/2), '武器经济计算'!$A:$B, 2, FALSE),     S12)</f>
      </c>
      <c r="T13" s="64">
        <f>IF(R13 &gt; R12,     IF(T12 &lt; 2,        2,        IF((P13 - S12) &gt;= VLOOKUP(INT(T12/2), '武器经济计算'!$A:$B, 2, FALSE),           T12 + 1,           T12       )    ),     T12)</f>
      </c>
      <c r="U13" s="62">
        <f>P13-S13</f>
      </c>
      <c r="V13">
        <f>0.1*F13*50*A13</f>
      </c>
      <c r="W13">
        <f>0.1*F13*50*A13</f>
      </c>
    </row>
    <row r="14">
      <c r="A14" s="2">
        <v>13</v>
      </c>
      <c r="B14">
        <v>10</v>
      </c>
      <c r="C14">
        <f>B14*2</f>
      </c>
      <c r="D14" s="63">
        <f>B14*100*IF(A14&lt;=9, 2-(1/64)*(9-A14)^2, IF(A14&lt;=18, 4-(2/81)*(18-A14)^2, IF(A14&lt;=25, 6-(2/49)*(25-A14)^2, IF(A14&lt;=32, 8-(2/49)*(32-A14)^2, IF(A14&lt;=40, 10-(1/32)*(40-A14)^2, "超出范围")))))</f>
      </c>
      <c r="E14" s="63">
        <f>D14*2</f>
      </c>
      <c r="F14">
        <v>2</v>
      </c>
      <c r="G14" s="61">
        <f>IFERROR(IF(X14="Boss", E14, AVERAGE(D14:E14)) / 100 * 0.5 * LOOKUP(A14, {1, 10, 19, 26, 33}, {2.2, 1.6, 1.2, 1, 0.8}), "")</f>
      </c>
      <c r="H14">
        <f>AVERAGE(B14:C14)*0.1*20*F14</f>
      </c>
      <c r="I14" s="64">
        <f>F14*2*0.15*130</f>
      </c>
      <c r="J14">
        <f>SUM(H14:I14)</f>
      </c>
      <c r="K14">
        <f>SUM($J$2:J14)</f>
      </c>
      <c r="L14" s="64">
        <f>L13</f>
      </c>
      <c r="M14" s="61">
        <f>G14/30*50</f>
      </c>
      <c r="N14" s="61">
        <f>IFERROR(CHOOSE(ROUNDUP(T14/2, 0), IF(X14="Boss", E14, AVERAGE(D14:E14))/130, IF(X14="Boss", E14, AVERAGE(D14:E14))/180, IF(X14="Boss", E14, AVERAGE(D14:E14))/240, IF(X14="Boss", E14, AVERAGE(D14:E14))/300, IF(X14="Boss", E14, AVERAGE(D14:E14))/370), "")</f>
      </c>
      <c r="O14" s="61">
        <f>J14-M14</f>
      </c>
      <c r="P14">
        <f>SUM($O$2:O14)</f>
      </c>
      <c r="Q14">
        <f>F14*2*0.15</f>
      </c>
      <c r="R14">
        <f>INT(SUM($Q$2:Q14))</f>
      </c>
      <c r="S14">
        <f>IF(AND(T14 &gt; T13, T13 &gt;= 2),     S13 + VLOOKUP(INT(T13/2), '武器经济计算'!$A:$B, 2, FALSE),     S13)</f>
      </c>
      <c r="T14" s="64">
        <f>IF(R14 &gt; R13,     IF(T13 &lt; 2,        2,        IF((P14 - S13) &gt;= VLOOKUP(INT(T13/2), '武器经济计算'!$A:$B, 2, FALSE),           T13 + 1,           T13       )    ),     T13)</f>
      </c>
      <c r="U14" s="62">
        <f>P14-S14</f>
      </c>
      <c r="V14">
        <f>0.1*F14*50*A14</f>
      </c>
      <c r="W14">
        <f>0.1*F14*50*A14</f>
      </c>
    </row>
    <row r="15">
      <c r="A15" s="2">
        <v>14</v>
      </c>
      <c r="B15">
        <v>10</v>
      </c>
      <c r="C15">
        <f>B15*2</f>
      </c>
      <c r="D15" s="63">
        <f>B15*100*IF(A15&lt;=9, 2-(1/64)*(9-A15)^2, IF(A15&lt;=18, 4-(2/81)*(18-A15)^2, IF(A15&lt;=25, 6-(2/49)*(25-A15)^2, IF(A15&lt;=32, 8-(2/49)*(32-A15)^2, IF(A15&lt;=40, 10-(1/32)*(40-A15)^2, "超出范围")))))</f>
      </c>
      <c r="E15" s="63">
        <f>D15*2</f>
      </c>
      <c r="F15">
        <v>2</v>
      </c>
      <c r="G15" s="61">
        <f>IFERROR(IF(X15="Boss", E15, AVERAGE(D15:E15)) / 100 * 0.5 * LOOKUP(A15, {1, 10, 19, 26, 33}, {2.2, 1.6, 1.2, 1, 0.8}), "")</f>
      </c>
      <c r="H15">
        <f>AVERAGE(B15:C15)*0.1*20*F15</f>
      </c>
      <c r="I15" s="64">
        <f>F15*2*0.15*130</f>
      </c>
      <c r="J15">
        <f>SUM(H15:I15)</f>
      </c>
      <c r="K15">
        <f>SUM($J$2:J15)</f>
      </c>
      <c r="L15" s="64">
        <f>L14</f>
      </c>
      <c r="M15" s="61">
        <f>G15/30*50</f>
      </c>
      <c r="N15" s="61">
        <f>IFERROR(CHOOSE(ROUNDUP(T15/2, 0), IF(X15="Boss", E15, AVERAGE(D15:E15))/130, IF(X15="Boss", E15, AVERAGE(D15:E15))/180, IF(X15="Boss", E15, AVERAGE(D15:E15))/240, IF(X15="Boss", E15, AVERAGE(D15:E15))/300, IF(X15="Boss", E15, AVERAGE(D15:E15))/370), "")</f>
      </c>
      <c r="O15" s="61">
        <f>J15-M15</f>
      </c>
      <c r="P15">
        <f>SUM($O$2:O15)</f>
      </c>
      <c r="Q15">
        <f>F15*2*0.15</f>
      </c>
      <c r="R15">
        <f>INT(SUM($Q$2:Q15))</f>
      </c>
      <c r="S15">
        <f>IF(AND(T15 &gt; T14, T14 &gt;= 2),     S14 + VLOOKUP(INT(T14/2), '武器经济计算'!$A:$B, 2, FALSE),     S14)</f>
      </c>
      <c r="T15" s="64">
        <f>IF(R15 &gt; R14,     IF(T14 &lt; 2,        2,        IF((P15 - S14) &gt;= VLOOKUP(INT(T14/2), '武器经济计算'!$A:$B, 2, FALSE),           T14 + 1,           T14       )    ),     T14)</f>
      </c>
      <c r="U15" s="62">
        <f>P15-S15</f>
      </c>
      <c r="V15">
        <f>0.1*F15*50*A15</f>
      </c>
      <c r="W15">
        <f>0.1*F15*50*A15</f>
      </c>
    </row>
    <row r="16">
      <c r="A16" s="2">
        <v>15</v>
      </c>
      <c r="B16">
        <v>10</v>
      </c>
      <c r="C16">
        <f>B16*2</f>
      </c>
      <c r="D16" s="63">
        <f>B16*100*IF(A16&lt;=9, 2-(1/64)*(9-A16)^2, IF(A16&lt;=18, 4-(2/81)*(18-A16)^2, IF(A16&lt;=25, 6-(2/49)*(25-A16)^2, IF(A16&lt;=32, 8-(2/49)*(32-A16)^2, IF(A16&lt;=40, 10-(1/32)*(40-A16)^2, "超出范围")))))</f>
      </c>
      <c r="E16" s="63">
        <f>D16*2</f>
      </c>
      <c r="F16">
        <v>2</v>
      </c>
      <c r="G16" s="61">
        <f>IFERROR(IF(X16="Boss", E16, AVERAGE(D16:E16)) / 100 * 0.5 * LOOKUP(A16, {1, 10, 19, 26, 33}, {2.2, 1.6, 1.2, 1, 0.8}), "")</f>
      </c>
      <c r="H16">
        <f>AVERAGE(B16:C16)*0.1*20*F16</f>
      </c>
      <c r="I16" s="64">
        <f>F16*2*0.15*130</f>
      </c>
      <c r="J16">
        <f>SUM(H16:I16)</f>
      </c>
      <c r="K16">
        <f>SUM($J$2:J16)</f>
      </c>
      <c r="L16" s="64">
        <f>L15</f>
      </c>
      <c r="M16" s="61">
        <f>G16/30*50</f>
      </c>
      <c r="N16" s="61">
        <f>IFERROR(CHOOSE(ROUNDUP(T16/2, 0), IF(X16="Boss", E16, AVERAGE(D16:E16))/130, IF(X16="Boss", E16, AVERAGE(D16:E16))/180, IF(X16="Boss", E16, AVERAGE(D16:E16))/240, IF(X16="Boss", E16, AVERAGE(D16:E16))/300, IF(X16="Boss", E16, AVERAGE(D16:E16))/370), "")</f>
      </c>
      <c r="O16" s="61">
        <f>J16-M16</f>
      </c>
      <c r="P16">
        <f>SUM($O$2:O16)</f>
      </c>
      <c r="Q16">
        <f>F16*2*0.15</f>
      </c>
      <c r="R16">
        <f>INT(SUM($Q$2:Q16))</f>
      </c>
      <c r="S16">
        <f>IF(AND(T16 &gt; T15, T15 &gt;= 2),     S15 + VLOOKUP(INT(T15/2), '武器经济计算'!$A:$B, 2, FALSE),     S15)</f>
      </c>
      <c r="T16" s="64">
        <f>IF(R16 &gt; R15,     IF(T15 &lt; 2,        2,        IF((P16 - S15) &gt;= VLOOKUP(INT(T15/2), '武器经济计算'!$A:$B, 2, FALSE),           T15 + 1,           T15       )    ),     T15)</f>
      </c>
      <c r="U16" s="62">
        <f>P16-S16</f>
      </c>
      <c r="V16">
        <f>0.1*F16*50*A16</f>
      </c>
      <c r="W16">
        <f>0.1*F16*50*A16</f>
      </c>
    </row>
    <row r="17">
      <c r="A17" s="2">
        <v>16</v>
      </c>
      <c r="B17">
        <v>10</v>
      </c>
      <c r="C17">
        <f>B17*2</f>
      </c>
      <c r="D17" s="63">
        <f>B17*100*IF(A17&lt;=9, 2-(1/64)*(9-A17)^2, IF(A17&lt;=18, 4-(2/81)*(18-A17)^2, IF(A17&lt;=25, 6-(2/49)*(25-A17)^2, IF(A17&lt;=32, 8-(2/49)*(32-A17)^2, IF(A17&lt;=40, 10-(1/32)*(40-A17)^2, "超出范围")))))</f>
      </c>
      <c r="E17" s="63">
        <f>D17*2</f>
      </c>
      <c r="F17">
        <v>2</v>
      </c>
      <c r="G17" s="61">
        <f>IFERROR(IF(X17="Boss", E17, AVERAGE(D17:E17)) / 100 * 0.5 * LOOKUP(A17, {1, 10, 19, 26, 33}, {2.2, 1.6, 1.2, 1, 0.8}), "")</f>
      </c>
      <c r="H17">
        <f>AVERAGE(B17:C17)*0.1*20*F17</f>
      </c>
      <c r="I17" s="64">
        <f>F17*2*0.15*130</f>
      </c>
      <c r="J17">
        <f>SUM(H17:I17)</f>
      </c>
      <c r="K17">
        <f>SUM($J$2:J17)</f>
      </c>
      <c r="L17" s="64">
        <f>L16</f>
      </c>
      <c r="M17" s="61">
        <f>G17/30*50</f>
      </c>
      <c r="N17" s="61">
        <f>IFERROR(CHOOSE(ROUNDUP(T17/2, 0), IF(X17="Boss", E17, AVERAGE(D17:E17))/130, IF(X17="Boss", E17, AVERAGE(D17:E17))/180, IF(X17="Boss", E17, AVERAGE(D17:E17))/240, IF(X17="Boss", E17, AVERAGE(D17:E17))/300, IF(X17="Boss", E17, AVERAGE(D17:E17))/370), "")</f>
      </c>
      <c r="O17" s="61">
        <f>J17-M17</f>
      </c>
      <c r="P17">
        <f>SUM($O$2:O17)</f>
      </c>
      <c r="Q17">
        <f>F17*2*0.15</f>
      </c>
      <c r="R17">
        <f>INT(SUM($Q$2:Q17))</f>
      </c>
      <c r="S17">
        <f>IF(AND(T17 &gt; T16, T16 &gt;= 2),     S16 + VLOOKUP(INT(T16/2), '武器经济计算'!$A:$B, 2, FALSE),     S16)</f>
      </c>
      <c r="T17" s="64">
        <f>IF(R17 &gt; R16,     IF(T16 &lt; 2,        2,        IF((P17 - S16) &gt;= VLOOKUP(INT(T16/2), '武器经济计算'!$A:$B, 2, FALSE),           T16 + 1,           T16       )    ),     T16)</f>
      </c>
      <c r="U17" s="62">
        <f>P17-S17</f>
      </c>
      <c r="V17">
        <f>0.1*F17*50*A17</f>
      </c>
      <c r="W17">
        <f>0.1*F17*50*A17</f>
      </c>
    </row>
    <row r="18">
      <c r="A18" s="2">
        <v>17</v>
      </c>
      <c r="B18">
        <v>10</v>
      </c>
      <c r="C18">
        <f>B18*2</f>
      </c>
      <c r="D18" s="63">
        <f>B18*100*IF(A18&lt;=9, 2-(1/64)*(9-A18)^2, IF(A18&lt;=18, 4-(2/81)*(18-A18)^2, IF(A18&lt;=25, 6-(2/49)*(25-A18)^2, IF(A18&lt;=32, 8-(2/49)*(32-A18)^2, IF(A18&lt;=40, 10-(1/32)*(40-A18)^2, "超出范围")))))</f>
      </c>
      <c r="E18" s="63">
        <f>D18*2</f>
      </c>
      <c r="F18">
        <v>2</v>
      </c>
      <c r="G18" s="61">
        <f>IFERROR(IF(X18="Boss", E18, AVERAGE(D18:E18)) / 100 * 0.5 * LOOKUP(A18, {1, 10, 19, 26, 33}, {2.2, 1.6, 1.2, 1, 0.8}), "")</f>
      </c>
      <c r="H18">
        <f>AVERAGE(B18:C18)*0.1*20*F18</f>
      </c>
      <c r="I18" s="64">
        <f>F18*2*0.15*130</f>
      </c>
      <c r="J18">
        <f>SUM(H18:I18)</f>
      </c>
      <c r="K18">
        <f>SUM($J$2:J18)</f>
      </c>
      <c r="L18" s="64">
        <f>L17</f>
      </c>
      <c r="M18" s="61">
        <f>G18/30*50</f>
      </c>
      <c r="N18" s="61">
        <f>IFERROR(CHOOSE(ROUNDUP(T18/2, 0), IF(X18="Boss", E18, AVERAGE(D18:E18))/130, IF(X18="Boss", E18, AVERAGE(D18:E18))/180, IF(X18="Boss", E18, AVERAGE(D18:E18))/240, IF(X18="Boss", E18, AVERAGE(D18:E18))/300, IF(X18="Boss", E18, AVERAGE(D18:E18))/370), "")</f>
      </c>
      <c r="O18" s="61">
        <f>J18-M18</f>
      </c>
      <c r="P18">
        <f>SUM($O$2:O18)</f>
      </c>
      <c r="Q18">
        <f>F18*2*0.15</f>
      </c>
      <c r="R18">
        <f>INT(SUM($Q$2:Q18))</f>
      </c>
      <c r="S18">
        <f>IF(AND(T18 &gt; T17, T17 &gt;= 2),     S17 + VLOOKUP(INT(T17/2), '武器经济计算'!$A:$B, 2, FALSE),     S17)</f>
      </c>
      <c r="T18" s="64">
        <f>IF(R18 &gt; R17,     IF(T17 &lt; 2,        2,        IF((P18 - S17) &gt;= VLOOKUP(INT(T17/2), '武器经济计算'!$A:$B, 2, FALSE),           T17 + 1,           T17       )    ),     T17)</f>
      </c>
      <c r="U18" s="62">
        <f>P18-S18</f>
      </c>
      <c r="V18">
        <f>0.1*F18*50*A18</f>
      </c>
      <c r="W18">
        <f>0.1*F18*50*A18</f>
      </c>
    </row>
    <row r="19">
      <c r="A19" s="67">
        <v>18</v>
      </c>
      <c r="B19" s="67">
        <v>10</v>
      </c>
      <c r="C19" s="67">
        <f>B19*2</f>
      </c>
      <c r="D19" s="69">
        <f>B19*100*IF(A19&lt;=9, 2-(1/64)*(9-A19)^2, IF(A19&lt;=18, 4-(2/81)*(18-A19)^2, IF(A19&lt;=25, 6-(2/49)*(25-A19)^2, IF(A19&lt;=32, 8-(2/49)*(32-A19)^2, IF(A19&lt;=40, 10-(1/32)*(40-A19)^2, "超出范围")))))</f>
      </c>
      <c r="E19" s="69">
        <f>D19*2</f>
      </c>
      <c r="F19" s="67">
        <v>2</v>
      </c>
      <c r="G19" s="66">
        <f>IFERROR(IF(X19="Boss", E19, AVERAGE(D19:E19)) / 100 * 0.5 * LOOKUP(A19, {1, 10, 19, 26, 33}, {2.2, 1.6, 1.2, 1, 0.8}), "")</f>
      </c>
      <c r="H19" s="67">
        <f>AVERAGE(B19:C19)*0.1*20*F19</f>
      </c>
      <c r="I19" s="70">
        <f>F19*2*0.15*130</f>
      </c>
      <c r="J19" s="67">
        <f>SUM(H19:I19)</f>
      </c>
      <c r="K19" s="67">
        <f>SUM($J$2:J19)</f>
      </c>
      <c r="L19" s="70">
        <f>L18</f>
      </c>
      <c r="M19" s="66">
        <f>G19/30*50</f>
      </c>
      <c r="N19" s="66">
        <f>IFERROR(CHOOSE(ROUNDUP(T19/2, 0), IF(X19="Boss", E19, AVERAGE(D19:E19))/130, IF(X19="Boss", E19, AVERAGE(D19:E19))/180, IF(X19="Boss", E19, AVERAGE(D19:E19))/240, IF(X19="Boss", E19, AVERAGE(D19:E19))/300, IF(X19="Boss", E19, AVERAGE(D19:E19))/370), "")</f>
      </c>
      <c r="O19" s="66">
        <f>J19-M19</f>
      </c>
      <c r="P19" s="67">
        <f>SUM($O$2:O19)</f>
      </c>
      <c r="Q19" s="67">
        <f>F19*2*0.15</f>
      </c>
      <c r="R19" s="67">
        <f>INT(SUM($Q$2:Q19))</f>
      </c>
      <c r="S19" s="67">
        <f>IF(AND(T19 &gt; T18, T18 &gt;= 2),     S18 + VLOOKUP(INT(T18/2), '武器经济计算'!$A:$B, 2, FALSE),     S18)</f>
      </c>
      <c r="T19" s="70">
        <f>IF(R19 &gt; R18,     IF(T18 &lt; 2,        2,        IF((P19 - S18) &gt;= VLOOKUP(INT(T18/2), '武器经济计算'!$A:$B, 2, FALSE),           T18 + 1,           T18       )    ),     T18)</f>
      </c>
      <c r="U19" s="68">
        <f>P19-S19</f>
      </c>
      <c r="V19" s="67">
        <f>0.1*F19*50*A19</f>
      </c>
      <c r="W19" s="67">
        <f>0.1*F19*50*A19</f>
      </c>
      <c r="X19" s="67" t="str">
        <v>BOSS</v>
      </c>
    </row>
    <row r="20">
      <c r="A20" s="2">
        <v>19</v>
      </c>
      <c r="B20">
        <v>10</v>
      </c>
      <c r="C20">
        <f>B20*2</f>
      </c>
      <c r="D20" s="63">
        <f>B20*100*IF(A20&lt;=9, 2-(1/64)*(9-A20)^2, IF(A20&lt;=18, 4-(2/81)*(18-A20)^2, IF(A20&lt;=25, 6-(2/49)*(25-A20)^2, IF(A20&lt;=32, 8-(2/49)*(32-A20)^2, IF(A20&lt;=40, 10-(1/32)*(40-A20)^2, "超出范围")))))</f>
      </c>
      <c r="E20" s="63">
        <f>D20*2</f>
      </c>
      <c r="F20">
        <v>2</v>
      </c>
      <c r="G20" s="61">
        <f>IFERROR(IF(X20="Boss", E20, AVERAGE(D20:E20)) / 100 * 0.5 * LOOKUP(A20, {1, 10, 19, 26, 33}, {2.2, 1.6, 1.2, 1, 0.8}), "")</f>
      </c>
      <c r="H20">
        <f>AVERAGE(B20:C20)*0.1*20*F20</f>
      </c>
      <c r="I20" s="64">
        <f>F20*2*0.15*130</f>
      </c>
      <c r="J20">
        <f>SUM(H20:I20)</f>
      </c>
      <c r="K20">
        <f>SUM($J$2:J20)</f>
      </c>
      <c r="L20" s="64">
        <f>ROUNDUP(SUM(G20:G26)/7/30)</f>
      </c>
      <c r="M20" s="61">
        <f>G20/30*50</f>
      </c>
      <c r="N20" s="65">
        <f>IFERROR(CHOOSE(ROUNDUP(T20/2, 0), IF(X20="Boss", E20, AVERAGE(D20:E20))/130, IF(X20="Boss", E20, AVERAGE(D20:E20))/180, IF(X20="Boss", E20, AVERAGE(D20:E20))/240, IF(X20="Boss", E20, AVERAGE(D20:E20))/300, IF(X20="Boss", E20, AVERAGE(D20:E20))/370), "")</f>
      </c>
      <c r="O20" s="61">
        <f>J20-M20</f>
      </c>
      <c r="P20">
        <f>SUM($O$2:O20)</f>
      </c>
      <c r="Q20">
        <f>F20*2*0.15</f>
      </c>
      <c r="R20">
        <f>INT(SUM($Q$2:Q20))</f>
      </c>
      <c r="S20">
        <f>IF(AND(T20 &gt; T19, T19 &gt;= 2),     S19 + VLOOKUP(INT(T19/2), '武器经济计算'!$A:$B, 2, FALSE),     S19)</f>
      </c>
      <c r="T20" s="64">
        <f>IF(R20 &gt; R19,     IF(T19 &lt; 2,        2,        IF((P20 - S19) &gt;= VLOOKUP(INT(T19/2), '武器经济计算'!$A:$B, 2, FALSE),           T19 + 1,           T19       )    ),     T19)</f>
      </c>
      <c r="U20" s="62">
        <f>P20-S20</f>
      </c>
      <c r="V20">
        <f>0.1*F20*50*A20</f>
      </c>
      <c r="W20">
        <f>0.1*F20*50*A20</f>
      </c>
    </row>
    <row r="21">
      <c r="A21" s="2">
        <v>20</v>
      </c>
      <c r="B21">
        <v>10</v>
      </c>
      <c r="C21">
        <f>B21*2</f>
      </c>
      <c r="D21" s="63">
        <f>B21*100*IF(A21&lt;=9, 2-(1/64)*(9-A21)^2, IF(A21&lt;=18, 4-(2/81)*(18-A21)^2, IF(A21&lt;=25, 6-(2/49)*(25-A21)^2, IF(A21&lt;=32, 8-(2/49)*(32-A21)^2, IF(A21&lt;=40, 10-(1/32)*(40-A21)^2, "超出范围")))))</f>
      </c>
      <c r="E21" s="63">
        <f>D21*2</f>
      </c>
      <c r="F21">
        <v>2</v>
      </c>
      <c r="G21" s="61">
        <f>IFERROR(IF(X21="Boss", E21, AVERAGE(D21:E21)) / 100 * 0.5 * LOOKUP(A21, {1, 10, 19, 26, 33}, {2.2, 1.6, 1.2, 1, 0.8}), "")</f>
      </c>
      <c r="H21">
        <f>AVERAGE(B21:C21)*0.1*20*F21</f>
      </c>
      <c r="I21" s="64">
        <f>F21*2*0.15*130</f>
      </c>
      <c r="J21">
        <f>SUM(H21:I21)</f>
      </c>
      <c r="K21">
        <f>SUM($J$2:J21)</f>
      </c>
      <c r="L21" s="74">
        <f>L20</f>
      </c>
      <c r="M21" s="61">
        <f>G21/30*50</f>
      </c>
      <c r="N21" s="65">
        <f>IFERROR(CHOOSE(ROUNDUP(T21/2, 0), IF(X21="Boss", E21, AVERAGE(D21:E21))/130, IF(X21="Boss", E21, AVERAGE(D21:E21))/180, IF(X21="Boss", E21, AVERAGE(D21:E21))/240, IF(X21="Boss", E21, AVERAGE(D21:E21))/300, IF(X21="Boss", E21, AVERAGE(D21:E21))/370), "")</f>
      </c>
      <c r="O21" s="61">
        <f>J21-M21</f>
      </c>
      <c r="P21">
        <f>SUM($O$2:O21)</f>
      </c>
      <c r="Q21">
        <f>F21*2*0.15</f>
      </c>
      <c r="R21">
        <f>INT(SUM($Q$2:Q21))</f>
      </c>
      <c r="S21">
        <f>IF(AND(T21 &gt; T20, T20 &gt;= 2),     S20 + VLOOKUP(INT(T20/2), '武器经济计算'!$A:$B, 2, FALSE),     S20)</f>
      </c>
      <c r="T21" s="64">
        <f>IF(R21 &gt; R20,     IF(T20 &lt; 2,        2,        IF((P21 - S20) &gt;= VLOOKUP(INT(T20/2), '武器经济计算'!$A:$B, 2, FALSE),           T20 + 1,           T20       )    ),     T20)</f>
      </c>
      <c r="U21" s="62">
        <f>P21-S21</f>
      </c>
      <c r="V21">
        <f>0.1*F21*50*A21</f>
      </c>
      <c r="W21">
        <f>0.1*F21*50*A21</f>
      </c>
    </row>
    <row r="22">
      <c r="A22" s="2">
        <v>21</v>
      </c>
      <c r="B22">
        <v>10</v>
      </c>
      <c r="C22">
        <f>B22*2</f>
      </c>
      <c r="D22" s="63">
        <f>B22*100*IF(A22&lt;=9, 2-(1/64)*(9-A22)^2, IF(A22&lt;=18, 4-(2/81)*(18-A22)^2, IF(A22&lt;=25, 6-(2/49)*(25-A22)^2, IF(A22&lt;=32, 8-(2/49)*(32-A22)^2, IF(A22&lt;=40, 10-(1/32)*(40-A22)^2, "超出范围")))))</f>
      </c>
      <c r="E22" s="63">
        <f>D22*2</f>
      </c>
      <c r="F22">
        <v>2</v>
      </c>
      <c r="G22" s="61">
        <f>IFERROR(IF(X22="Boss", E22, AVERAGE(D22:E22)) / 100 * 0.5 * LOOKUP(A22, {1, 10, 19, 26, 33}, {2.2, 1.6, 1.2, 1, 0.8}), "")</f>
      </c>
      <c r="H22">
        <f>AVERAGE(B22:C22)*0.1*20*F22</f>
      </c>
      <c r="I22" s="64">
        <f>F22*2*0.15*130</f>
      </c>
      <c r="J22">
        <f>SUM(H22:I22)</f>
      </c>
      <c r="K22">
        <f>SUM($J$2:J22)</f>
      </c>
      <c r="L22" s="64">
        <f>L21</f>
      </c>
      <c r="M22" s="61">
        <f>G22/30*50</f>
      </c>
      <c r="N22" s="65">
        <f>IFERROR(CHOOSE(ROUNDUP(T22/2, 0), IF(X22="Boss", E22, AVERAGE(D22:E22))/130, IF(X22="Boss", E22, AVERAGE(D22:E22))/180, IF(X22="Boss", E22, AVERAGE(D22:E22))/240, IF(X22="Boss", E22, AVERAGE(D22:E22))/300, IF(X22="Boss", E22, AVERAGE(D22:E22))/370), "")</f>
      </c>
      <c r="O22" s="61">
        <f>J22-M22</f>
      </c>
      <c r="P22">
        <f>SUM($O$2:O22)</f>
      </c>
      <c r="Q22">
        <f>F22*2*0.15</f>
      </c>
      <c r="R22">
        <f>INT(SUM($Q$2:Q22))</f>
      </c>
      <c r="S22">
        <f>IF(AND(T22 &gt; T21, T21 &gt;= 2),     S21 + VLOOKUP(INT(T21/2), '武器经济计算'!$A:$B, 2, FALSE),     S21)</f>
      </c>
      <c r="T22" s="64">
        <f>IF(R22 &gt; R21,     IF(T21 &lt; 2,        2,        IF((P22 - S21) &gt;= VLOOKUP(INT(T21/2), '武器经济计算'!$A:$B, 2, FALSE),           T21 + 1,           T21       )    ),     T21)</f>
      </c>
      <c r="U22" s="62">
        <f>P22-S22</f>
      </c>
      <c r="V22">
        <f>0.1*F22*50*A22</f>
      </c>
      <c r="W22">
        <f>0.1*F22*50*A22</f>
      </c>
    </row>
    <row r="23">
      <c r="A23" s="2">
        <v>22</v>
      </c>
      <c r="B23">
        <v>10</v>
      </c>
      <c r="C23">
        <f>B23*2</f>
      </c>
      <c r="D23" s="63">
        <f>B23*100*IF(A23&lt;=9, 2-(1/64)*(9-A23)^2, IF(A23&lt;=18, 4-(2/81)*(18-A23)^2, IF(A23&lt;=25, 6-(2/49)*(25-A23)^2, IF(A23&lt;=32, 8-(2/49)*(32-A23)^2, IF(A23&lt;=40, 10-(1/32)*(40-A23)^2, "超出范围")))))</f>
      </c>
      <c r="E23" s="63">
        <f>D23*2</f>
      </c>
      <c r="F23">
        <v>2</v>
      </c>
      <c r="G23" s="61">
        <f>IFERROR(IF(X23="Boss", E23, AVERAGE(D23:E23)) / 100 * 0.5 * LOOKUP(A23, {1, 10, 19, 26, 33}, {2.2, 1.6, 1.2, 1, 0.8}), "")</f>
      </c>
      <c r="H23">
        <f>AVERAGE(B23:C23)*0.1*20*F23</f>
      </c>
      <c r="I23" s="64">
        <f>F23*2*0.15*130</f>
      </c>
      <c r="J23">
        <f>SUM(H23:I23)</f>
      </c>
      <c r="K23">
        <f>SUM($J$2:J23)</f>
      </c>
      <c r="L23" s="64">
        <f>L22</f>
      </c>
      <c r="M23" s="61">
        <f>G23/30*50</f>
      </c>
      <c r="N23" s="65">
        <f>IFERROR(CHOOSE(ROUNDUP(T23/2, 0), IF(X23="Boss", E23, AVERAGE(D23:E23))/130, IF(X23="Boss", E23, AVERAGE(D23:E23))/180, IF(X23="Boss", E23, AVERAGE(D23:E23))/240, IF(X23="Boss", E23, AVERAGE(D23:E23))/300, IF(X23="Boss", E23, AVERAGE(D23:E23))/370), "")</f>
      </c>
      <c r="O23" s="61">
        <f>J23-M23</f>
      </c>
      <c r="P23">
        <f>SUM($O$2:O23)</f>
      </c>
      <c r="Q23">
        <f>F23*2*0.15</f>
      </c>
      <c r="R23">
        <f>INT(SUM($Q$2:Q23))</f>
      </c>
      <c r="S23">
        <f>IF(AND(T23 &gt; T22, T22 &gt;= 2),     S22 + VLOOKUP(INT(T22/2), '武器经济计算'!$A:$B, 2, FALSE),     S22)</f>
      </c>
      <c r="T23" s="64">
        <f>IF(R23 &gt; R22,     IF(T22 &lt; 2,        2,        IF((P23 - S22) &gt;= VLOOKUP(INT(T22/2), '武器经济计算'!$A:$B, 2, FALSE),           T22 + 1,           T22       )    ),     T22)</f>
      </c>
      <c r="U23" s="62">
        <f>P23-S23</f>
      </c>
      <c r="V23">
        <f>0.1*F23*50*A23</f>
      </c>
      <c r="W23">
        <f>0.1*F23*50*A23</f>
      </c>
    </row>
    <row r="24">
      <c r="A24" s="2">
        <v>23</v>
      </c>
      <c r="B24">
        <v>10</v>
      </c>
      <c r="C24">
        <f>B24*2</f>
      </c>
      <c r="D24" s="63">
        <f>B24*100*IF(A24&lt;=9, 2-(1/64)*(9-A24)^2, IF(A24&lt;=18, 4-(2/81)*(18-A24)^2, IF(A24&lt;=25, 6-(2/49)*(25-A24)^2, IF(A24&lt;=32, 8-(2/49)*(32-A24)^2, IF(A24&lt;=40, 10-(1/32)*(40-A24)^2, "超出范围")))))</f>
      </c>
      <c r="E24" s="63">
        <f>D24*2</f>
      </c>
      <c r="F24">
        <v>2</v>
      </c>
      <c r="G24" s="61">
        <f>IFERROR(IF(X24="Boss", E24, AVERAGE(D24:E24)) / 100 * 0.5 * LOOKUP(A24, {1, 10, 19, 26, 33}, {2.2, 1.6, 1.2, 1, 0.8}), "")</f>
      </c>
      <c r="H24">
        <f>AVERAGE(B24:C24)*0.1*20*F24</f>
      </c>
      <c r="I24" s="64">
        <f>F24*2*0.15*130</f>
      </c>
      <c r="J24">
        <f>SUM(H24:I24)</f>
      </c>
      <c r="K24">
        <f>SUM($J$2:J24)</f>
      </c>
      <c r="L24" s="64">
        <f>L23</f>
      </c>
      <c r="M24" s="61">
        <f>G24/30*50</f>
      </c>
      <c r="N24" s="65">
        <f>IFERROR(CHOOSE(ROUNDUP(T24/2, 0), IF(X24="Boss", E24, AVERAGE(D24:E24))/130, IF(X24="Boss", E24, AVERAGE(D24:E24))/180, IF(X24="Boss", E24, AVERAGE(D24:E24))/240, IF(X24="Boss", E24, AVERAGE(D24:E24))/300, IF(X24="Boss", E24, AVERAGE(D24:E24))/370), "")</f>
      </c>
      <c r="O24" s="61">
        <f>J24-M24</f>
      </c>
      <c r="P24">
        <f>SUM($O$2:O24)</f>
      </c>
      <c r="Q24">
        <f>F24*2*0.15</f>
      </c>
      <c r="R24">
        <f>INT(SUM($Q$2:Q24))</f>
      </c>
      <c r="S24">
        <f>IF(AND(T24 &gt; T23, T23 &gt;= 2),     S23 + VLOOKUP(INT(T23/2), '武器经济计算'!$A:$B, 2, FALSE),     S23)</f>
      </c>
      <c r="T24" s="64">
        <f>IF(R24 &gt; R23,     IF(T23 &lt; 2,        2,        IF((P24 - S23) &gt;= VLOOKUP(INT(T23/2), '武器经济计算'!$A:$B, 2, FALSE),           T23 + 1,           T23       )    ),     T23)</f>
      </c>
      <c r="U24" s="62">
        <f>P24-S24</f>
      </c>
      <c r="V24">
        <f>0.1*F24*50*A24</f>
      </c>
      <c r="W24">
        <f>0.1*F24*50*A24</f>
      </c>
    </row>
    <row r="25">
      <c r="A25" s="2">
        <v>24</v>
      </c>
      <c r="B25">
        <v>10</v>
      </c>
      <c r="C25">
        <f>B25*2</f>
      </c>
      <c r="D25" s="63">
        <f>B25*100*IF(A25&lt;=9, 2-(1/64)*(9-A25)^2, IF(A25&lt;=18, 4-(2/81)*(18-A25)^2, IF(A25&lt;=25, 6-(2/49)*(25-A25)^2, IF(A25&lt;=32, 8-(2/49)*(32-A25)^2, IF(A25&lt;=40, 10-(1/32)*(40-A25)^2, "超出范围")))))</f>
      </c>
      <c r="E25" s="63">
        <f>D25*2</f>
      </c>
      <c r="F25">
        <v>2</v>
      </c>
      <c r="G25" s="61">
        <f>IFERROR(IF(X25="Boss", E25, AVERAGE(D25:E25)) / 100 * 0.5 * LOOKUP(A25, {1, 10, 19, 26, 33}, {2.2, 1.6, 1.2, 1, 0.8}), "")</f>
      </c>
      <c r="H25">
        <f>AVERAGE(B25:C25)*0.1*20*F25</f>
      </c>
      <c r="I25" s="64">
        <f>F25*2*0.15*130</f>
      </c>
      <c r="J25">
        <f>SUM(H25:I25)</f>
      </c>
      <c r="K25">
        <f>SUM($J$2:J25)</f>
      </c>
      <c r="L25" s="64">
        <f>L24</f>
      </c>
      <c r="M25" s="61">
        <f>G25/30*50</f>
      </c>
      <c r="N25" s="65">
        <f>IFERROR(CHOOSE(ROUNDUP(T25/2, 0), IF(X25="Boss", E25, AVERAGE(D25:E25))/130, IF(X25="Boss", E25, AVERAGE(D25:E25))/180, IF(X25="Boss", E25, AVERAGE(D25:E25))/240, IF(X25="Boss", E25, AVERAGE(D25:E25))/300, IF(X25="Boss", E25, AVERAGE(D25:E25))/370), "")</f>
      </c>
      <c r="O25" s="61">
        <f>J25-M25</f>
      </c>
      <c r="P25">
        <f>SUM($O$2:O25)</f>
      </c>
      <c r="Q25">
        <f>F25*2*0.15</f>
      </c>
      <c r="R25">
        <f>INT(SUM($Q$2:Q25))</f>
      </c>
      <c r="S25">
        <f>IF(AND(T25 &gt; T24, T24 &gt;= 2),     S24 + VLOOKUP(INT(T24/2), '武器经济计算'!$A:$B, 2, FALSE),     S24)</f>
      </c>
      <c r="T25" s="64">
        <f>IF(R25 &gt; R24,     IF(T24 &lt; 2,        2,        IF((P25 - S24) &gt;= VLOOKUP(INT(T24/2), '武器经济计算'!$A:$B, 2, FALSE),           T24 + 1,           T24       )    ),     T24)</f>
      </c>
      <c r="U25" s="62">
        <f>P25-S25</f>
      </c>
      <c r="V25">
        <f>0.1*F25*50*A25</f>
      </c>
      <c r="W25">
        <f>0.1*F25*50*A25</f>
      </c>
    </row>
    <row r="26">
      <c r="A26" s="67">
        <v>25</v>
      </c>
      <c r="B26" s="67">
        <v>10</v>
      </c>
      <c r="C26" s="67">
        <f>B26*2</f>
      </c>
      <c r="D26" s="69">
        <f>B26*100*IF(A26&lt;=9, 2-(1/64)*(9-A26)^2, IF(A26&lt;=18, 4-(2/81)*(18-A26)^2, IF(A26&lt;=25, 6-(2/49)*(25-A26)^2, IF(A26&lt;=32, 8-(2/49)*(32-A26)^2, IF(A26&lt;=40, 10-(1/32)*(40-A26)^2, "超出范围")))))</f>
      </c>
      <c r="E26" s="69">
        <f>D26*2</f>
      </c>
      <c r="F26" s="67">
        <v>2</v>
      </c>
      <c r="G26" s="66">
        <f>IFERROR(IF(X26="Boss", E26, AVERAGE(D26:E26)) / 100 * 0.5 * LOOKUP(A26, {1, 10, 19, 26, 33}, {2.2, 1.6, 1.2, 1, 0.8}), "")</f>
      </c>
      <c r="H26" s="67">
        <f>AVERAGE(B26:C26)*0.1*20*F26</f>
      </c>
      <c r="I26" s="70">
        <f>F26*2*0.15*130</f>
      </c>
      <c r="J26" s="67">
        <f>SUM(H26:I26)</f>
      </c>
      <c r="K26" s="67">
        <f>SUM($J$2:J26)</f>
      </c>
      <c r="L26" s="70">
        <f>L25</f>
      </c>
      <c r="M26" s="66">
        <f>G26/30*50</f>
      </c>
      <c r="N26" s="66">
        <f>IFERROR(CHOOSE(ROUNDUP(T26/2, 0), IF(X26="Boss", E26, AVERAGE(D26:E26))/130, IF(X26="Boss", E26, AVERAGE(D26:E26))/180, IF(X26="Boss", E26, AVERAGE(D26:E26))/240, IF(X26="Boss", E26, AVERAGE(D26:E26))/300, IF(X26="Boss", E26, AVERAGE(D26:E26))/370), "")</f>
      </c>
      <c r="O26" s="66">
        <f>J26-M26</f>
      </c>
      <c r="P26" s="67">
        <f>SUM($O$2:O26)</f>
      </c>
      <c r="Q26" s="67">
        <f>F26*2*0.15</f>
      </c>
      <c r="R26" s="67">
        <f>INT(SUM($Q$2:Q26))</f>
      </c>
      <c r="S26" s="67">
        <f>IF(AND(T26 &gt; T25, T25 &gt;= 2),     S25 + VLOOKUP(INT(T25/2), '武器经济计算'!$A:$B, 2, FALSE),     S25)</f>
      </c>
      <c r="T26" s="70">
        <f>IF(R26 &gt; R25,     IF(T25 &lt; 2,        2,        IF((P26 - S25) &gt;= VLOOKUP(INT(T25/2), '武器经济计算'!$A:$B, 2, FALSE),           T25 + 1,           T25       )    ),     T25)</f>
      </c>
      <c r="U26" s="68">
        <f>P26-S26</f>
      </c>
      <c r="V26" s="67">
        <f>0.1*F26*50*A26</f>
      </c>
      <c r="W26" s="67">
        <f>0.1*F26*50*A26</f>
      </c>
      <c r="X26" s="67" t="str">
        <v>BOSS</v>
      </c>
    </row>
    <row r="27">
      <c r="A27" s="2">
        <v>26</v>
      </c>
      <c r="B27">
        <v>10</v>
      </c>
      <c r="C27">
        <f>B27*2</f>
      </c>
      <c r="D27" s="63">
        <f>B27*100*IF(A27&lt;=9, 2-(1/64)*(9-A27)^2, IF(A27&lt;=18, 4-(2/81)*(18-A27)^2, IF(A27&lt;=25, 6-(2/49)*(25-A27)^2, IF(A27&lt;=32, 8-(2/49)*(32-A27)^2, IF(A27&lt;=40, 10-(1/32)*(40-A27)^2, "超出范围")))))</f>
      </c>
      <c r="E27" s="63">
        <f>D27*2</f>
      </c>
      <c r="F27">
        <v>2</v>
      </c>
      <c r="G27" s="61">
        <f>IFERROR(IF(X27="Boss", E27, AVERAGE(D27:E27)) / 100 * 0.5 * LOOKUP(A27, {1, 10, 19, 26, 33}, {2.2, 1.6, 1.2, 1, 0.8}), "")</f>
      </c>
      <c r="H27">
        <f>AVERAGE(B27:C27)*0.1*20*F27</f>
      </c>
      <c r="I27" s="64">
        <f>F27*2*0.15*130</f>
      </c>
      <c r="J27">
        <f>SUM(H27:I27)</f>
      </c>
      <c r="K27">
        <f>SUM($J$2:J27)</f>
      </c>
      <c r="L27" s="64">
        <f>ROUNDUP(SUM(G27:G33)/7/30)</f>
      </c>
      <c r="M27" s="61">
        <f>G27/30*50</f>
      </c>
      <c r="N27" s="65">
        <f>IFERROR(CHOOSE(ROUNDUP(T27/2, 0), IF(X27="Boss", E27, AVERAGE(D27:E27))/130, IF(X27="Boss", E27, AVERAGE(D27:E27))/180, IF(X27="Boss", E27, AVERAGE(D27:E27))/240, IF(X27="Boss", E27, AVERAGE(D27:E27))/300, IF(X27="Boss", E27, AVERAGE(D27:E27))/370), "")</f>
      </c>
      <c r="O27" s="61">
        <f>J27-M27</f>
      </c>
      <c r="P27">
        <f>SUM($O$2:O27)</f>
      </c>
      <c r="Q27">
        <f>F27*2*0.15</f>
      </c>
      <c r="R27">
        <f>INT(SUM($Q$2:Q27))</f>
      </c>
      <c r="S27">
        <f>IF(AND(T27 &gt; T26, T26 &gt;= 2),     S26 + VLOOKUP(INT(T26/2), '武器经济计算'!$A:$B, 2, FALSE),     S26)</f>
      </c>
      <c r="T27" s="64">
        <f>IF(R27 &gt; R26,     IF(T26 &lt; 2,        2,        IF((P27 - S26) &gt;= VLOOKUP(INT(T26/2), '武器经济计算'!$A:$B, 2, FALSE),           T26 + 1,           T26       )    ),     T26)</f>
      </c>
      <c r="U27" s="62">
        <f>P27-S27</f>
      </c>
      <c r="V27">
        <f>0.1*F27*50*A27</f>
      </c>
      <c r="W27">
        <f>0.1*F27*50*A27</f>
      </c>
    </row>
    <row r="28">
      <c r="A28" s="2">
        <v>27</v>
      </c>
      <c r="B28">
        <v>10</v>
      </c>
      <c r="C28">
        <f>B28*2</f>
      </c>
      <c r="D28" s="63">
        <f>B28*100*IF(A28&lt;=9, 2-(1/64)*(9-A28)^2, IF(A28&lt;=18, 4-(2/81)*(18-A28)^2, IF(A28&lt;=25, 6-(2/49)*(25-A28)^2, IF(A28&lt;=32, 8-(2/49)*(32-A28)^2, IF(A28&lt;=40, 10-(1/32)*(40-A28)^2, "超出范围")))))</f>
      </c>
      <c r="E28" s="63">
        <f>D28*2</f>
      </c>
      <c r="F28">
        <v>2</v>
      </c>
      <c r="G28" s="61">
        <f>IFERROR(IF(X28="Boss", E28, AVERAGE(D28:E28)) / 100 * 0.5 * LOOKUP(A28, {1, 10, 19, 26, 33}, {2.2, 1.6, 1.2, 1, 0.8}), "")</f>
      </c>
      <c r="H28">
        <f>AVERAGE(B28:C28)*0.1*20*F28</f>
      </c>
      <c r="I28" s="64">
        <f>F28*2*0.15*130</f>
      </c>
      <c r="J28">
        <f>SUM(H28:I28)</f>
      </c>
      <c r="K28">
        <f>SUM($J$2:J28)</f>
      </c>
      <c r="L28" s="64">
        <f>L27</f>
      </c>
      <c r="M28" s="61">
        <f>G28/30*50</f>
      </c>
      <c r="N28" s="65">
        <f>IFERROR(CHOOSE(ROUNDUP(T28/2, 0), IF(X28="Boss", E28, AVERAGE(D28:E28))/130, IF(X28="Boss", E28, AVERAGE(D28:E28))/180, IF(X28="Boss", E28, AVERAGE(D28:E28))/240, IF(X28="Boss", E28, AVERAGE(D28:E28))/300, IF(X28="Boss", E28, AVERAGE(D28:E28))/370), "")</f>
      </c>
      <c r="O28" s="61">
        <f>J28-M28</f>
      </c>
      <c r="P28">
        <f>SUM($O$2:O28)</f>
      </c>
      <c r="Q28">
        <f>F28*2*0.15</f>
      </c>
      <c r="R28">
        <f>INT(SUM($Q$2:Q28))</f>
      </c>
      <c r="S28">
        <f>IF(AND(T28 &gt; T27, T27 &gt;= 2),     S27 + VLOOKUP(INT(T27/2), '武器经济计算'!$A:$B, 2, FALSE),     S27)</f>
      </c>
      <c r="T28" s="64">
        <f>IF(R28 &gt; R27,     IF(T27 &lt; 2,        2,        IF((P28 - S27) &gt;= VLOOKUP(INT(T27/2), '武器经济计算'!$A:$B, 2, FALSE),           T27 + 1,           T27       )    ),     T27)</f>
      </c>
      <c r="U28" s="62">
        <f>P28-S28</f>
      </c>
      <c r="V28">
        <f>0.1*F28*50*A28</f>
      </c>
      <c r="W28">
        <f>0.1*F28*50*A28</f>
      </c>
    </row>
    <row r="29">
      <c r="A29" s="2">
        <v>28</v>
      </c>
      <c r="B29">
        <v>10</v>
      </c>
      <c r="C29">
        <f>B29*2</f>
      </c>
      <c r="D29" s="63">
        <f>B29*100*IF(A29&lt;=9, 2-(1/64)*(9-A29)^2, IF(A29&lt;=18, 4-(2/81)*(18-A29)^2, IF(A29&lt;=25, 6-(2/49)*(25-A29)^2, IF(A29&lt;=32, 8-(2/49)*(32-A29)^2, IF(A29&lt;=40, 10-(1/32)*(40-A29)^2, "超出范围")))))</f>
      </c>
      <c r="E29" s="63">
        <f>D29*2</f>
      </c>
      <c r="F29">
        <v>2</v>
      </c>
      <c r="G29" s="61">
        <f>IFERROR(IF(X29="Boss", E29, AVERAGE(D29:E29)) / 100 * 0.5 * LOOKUP(A29, {1, 10, 19, 26, 33}, {2.2, 1.6, 1.2, 1, 0.8}), "")</f>
      </c>
      <c r="H29">
        <f>AVERAGE(B29:C29)*0.1*20*F29</f>
      </c>
      <c r="I29" s="64">
        <f>F29*2*0.15*130</f>
      </c>
      <c r="J29">
        <f>SUM(H29:I29)</f>
      </c>
      <c r="K29">
        <f>SUM($J$2:J29)</f>
      </c>
      <c r="L29" s="64">
        <f>L28</f>
      </c>
      <c r="M29" s="61">
        <f>G29/30*50</f>
      </c>
      <c r="N29" s="65">
        <f>IFERROR(CHOOSE(ROUNDUP(T29/2, 0), IF(X29="Boss", E29, AVERAGE(D29:E29))/130, IF(X29="Boss", E29, AVERAGE(D29:E29))/180, IF(X29="Boss", E29, AVERAGE(D29:E29))/240, IF(X29="Boss", E29, AVERAGE(D29:E29))/300, IF(X29="Boss", E29, AVERAGE(D29:E29))/370), "")</f>
      </c>
      <c r="O29" s="61">
        <f>J29-M29</f>
      </c>
      <c r="P29">
        <f>SUM($O$2:O29)</f>
      </c>
      <c r="Q29">
        <f>F29*2*0.15</f>
      </c>
      <c r="R29">
        <f>INT(SUM($Q$2:Q29))</f>
      </c>
      <c r="S29">
        <f>IF(AND(T29 &gt; T28, T28 &gt;= 2),     S28 + VLOOKUP(INT(T28/2), '武器经济计算'!$A:$B, 2, FALSE),     S28)</f>
      </c>
      <c r="T29" s="64">
        <f>IF(R29 &gt; R28,     IF(T28 &lt; 2,        2,        IF((P29 - S28) &gt;= VLOOKUP(INT(T28/2), '武器经济计算'!$A:$B, 2, FALSE),           T28 + 1,           T28       )    ),     T28)</f>
      </c>
      <c r="U29" s="62">
        <f>P29-S29</f>
      </c>
      <c r="V29">
        <f>0.1*F29*50*A29</f>
      </c>
      <c r="W29">
        <f>0.1*F29*50*A29</f>
      </c>
    </row>
    <row r="30">
      <c r="A30" s="2">
        <v>29</v>
      </c>
      <c r="B30">
        <v>10</v>
      </c>
      <c r="C30">
        <f>B30*2</f>
      </c>
      <c r="D30" s="63">
        <f>B30*100*IF(A30&lt;=9, 2-(1/64)*(9-A30)^2, IF(A30&lt;=18, 4-(2/81)*(18-A30)^2, IF(A30&lt;=25, 6-(2/49)*(25-A30)^2, IF(A30&lt;=32, 8-(2/49)*(32-A30)^2, IF(A30&lt;=40, 10-(1/32)*(40-A30)^2, "超出范围")))))</f>
      </c>
      <c r="E30" s="63">
        <f>D30*2</f>
      </c>
      <c r="F30">
        <v>2</v>
      </c>
      <c r="G30" s="61">
        <f>IFERROR(IF(X30="Boss", E30, AVERAGE(D30:E30)) / 100 * 0.5 * LOOKUP(A30, {1, 10, 19, 26, 33}, {2.2, 1.6, 1.2, 1, 0.8}), "")</f>
      </c>
      <c r="H30">
        <f>AVERAGE(B30:C30)*0.1*20*F30</f>
      </c>
      <c r="I30" s="64">
        <f>F30*2*0.15*130</f>
      </c>
      <c r="J30">
        <f>SUM(H30:I30)</f>
      </c>
      <c r="K30">
        <f>SUM($J$2:J30)</f>
      </c>
      <c r="L30" s="64">
        <f>L29</f>
      </c>
      <c r="M30" s="61">
        <f>G30/30*50</f>
      </c>
      <c r="N30" s="65">
        <f>IFERROR(CHOOSE(ROUNDUP(T30/2, 0), IF(X30="Boss", E30, AVERAGE(D30:E30))/130, IF(X30="Boss", E30, AVERAGE(D30:E30))/180, IF(X30="Boss", E30, AVERAGE(D30:E30))/240, IF(X30="Boss", E30, AVERAGE(D30:E30))/300, IF(X30="Boss", E30, AVERAGE(D30:E30))/370), "")</f>
      </c>
      <c r="O30" s="61">
        <f>J30-M30</f>
      </c>
      <c r="P30">
        <f>SUM($O$2:O30)</f>
      </c>
      <c r="Q30">
        <f>F30*2*0.15</f>
      </c>
      <c r="R30">
        <f>INT(SUM($Q$2:Q30))</f>
      </c>
      <c r="S30">
        <f>IF(AND(T30 &gt; T29, T29 &gt;= 2),     S29 + VLOOKUP(INT(T29/2), '武器经济计算'!$A:$B, 2, FALSE),     S29)</f>
      </c>
      <c r="T30" s="64">
        <f>IF(R30 &gt; R29,     IF(T29 &lt; 2,        2,        IF((P30 - S29) &gt;= VLOOKUP(INT(T29/2), '武器经济计算'!$A:$B, 2, FALSE),           T29 + 1,           T29       )    ),     T29)</f>
      </c>
      <c r="U30" s="62">
        <f>P30-S30</f>
      </c>
      <c r="V30">
        <f>0.1*F30*50*A30</f>
      </c>
      <c r="W30">
        <f>0.1*F30*50*A30</f>
      </c>
    </row>
    <row r="31">
      <c r="A31" s="2">
        <v>30</v>
      </c>
      <c r="B31">
        <v>10</v>
      </c>
      <c r="C31">
        <f>B31*2</f>
      </c>
      <c r="D31" s="63">
        <f>B31*100*IF(A31&lt;=9, 2-(1/64)*(9-A31)^2, IF(A31&lt;=18, 4-(2/81)*(18-A31)^2, IF(A31&lt;=25, 6-(2/49)*(25-A31)^2, IF(A31&lt;=32, 8-(2/49)*(32-A31)^2, IF(A31&lt;=40, 10-(1/32)*(40-A31)^2, "超出范围")))))</f>
      </c>
      <c r="E31" s="63">
        <f>D31*2</f>
      </c>
      <c r="F31">
        <v>2</v>
      </c>
      <c r="G31" s="61">
        <f>IFERROR(IF(X31="Boss", E31, AVERAGE(D31:E31)) / 100 * 0.5 * LOOKUP(A31, {1, 10, 19, 26, 33}, {2.2, 1.6, 1.2, 1, 0.8}), "")</f>
      </c>
      <c r="H31">
        <f>AVERAGE(B31:C31)*0.1*20*F31</f>
      </c>
      <c r="I31" s="64">
        <f>F31*2*0.15*130</f>
      </c>
      <c r="J31">
        <f>SUM(H31:I31)</f>
      </c>
      <c r="K31">
        <f>SUM($J$2:J31)</f>
      </c>
      <c r="L31" s="64">
        <f>L30</f>
      </c>
      <c r="M31" s="61">
        <f>G31/30*50</f>
      </c>
      <c r="N31" s="65">
        <f>IFERROR(CHOOSE(ROUNDUP(T31/2, 0), IF(X31="Boss", E31, AVERAGE(D31:E31))/130, IF(X31="Boss", E31, AVERAGE(D31:E31))/180, IF(X31="Boss", E31, AVERAGE(D31:E31))/240, IF(X31="Boss", E31, AVERAGE(D31:E31))/300, IF(X31="Boss", E31, AVERAGE(D31:E31))/370), "")</f>
      </c>
      <c r="O31" s="61">
        <f>J31-M31</f>
      </c>
      <c r="P31">
        <f>SUM($O$2:O31)</f>
      </c>
      <c r="Q31">
        <f>F31*2*0.15</f>
      </c>
      <c r="R31">
        <f>INT(SUM($Q$2:Q31))</f>
      </c>
      <c r="S31">
        <f>IF(AND(T31 &gt; T30, T30 &gt;= 2),     S30 + VLOOKUP(INT(T30/2), '武器经济计算'!$A:$B, 2, FALSE),     S30)</f>
      </c>
      <c r="T31" s="64">
        <f>IF(R31 &gt; R30,     IF(T30 &lt; 2,        2,        IF((P31 - S30) &gt;= VLOOKUP(INT(T30/2), '武器经济计算'!$A:$B, 2, FALSE),           T30 + 1,           T30       )    ),     T30)</f>
      </c>
      <c r="U31" s="62">
        <f>P31-S31</f>
      </c>
      <c r="V31">
        <f>0.1*F31*50*A31</f>
      </c>
      <c r="W31">
        <f>0.1*F31*50*A31</f>
      </c>
    </row>
    <row r="32">
      <c r="A32" s="2">
        <v>31</v>
      </c>
      <c r="B32">
        <v>10</v>
      </c>
      <c r="C32">
        <f>B32*2</f>
      </c>
      <c r="D32" s="63">
        <f>B32*100*IF(A32&lt;=9, 2-(1/64)*(9-A32)^2, IF(A32&lt;=18, 4-(2/81)*(18-A32)^2, IF(A32&lt;=25, 6-(2/49)*(25-A32)^2, IF(A32&lt;=32, 8-(2/49)*(32-A32)^2, IF(A32&lt;=40, 10-(1/32)*(40-A32)^2, "超出范围")))))</f>
      </c>
      <c r="E32" s="63">
        <f>D32*2</f>
      </c>
      <c r="F32">
        <v>2</v>
      </c>
      <c r="G32" s="61">
        <f>IFERROR(IF(X32="Boss", E32, AVERAGE(D32:E32)) / 100 * 0.5 * LOOKUP(A32, {1, 10, 19, 26, 33}, {2.2, 1.6, 1.2, 1, 0.8}), "")</f>
      </c>
      <c r="H32">
        <f>AVERAGE(B32:C32)*0.1*20*F32</f>
      </c>
      <c r="I32" s="64">
        <f>F32*2*0.15*130</f>
      </c>
      <c r="J32">
        <f>SUM(H32:I32)</f>
      </c>
      <c r="K32">
        <f>SUM($J$2:J32)</f>
      </c>
      <c r="L32" s="64">
        <f>L31</f>
      </c>
      <c r="M32" s="61">
        <f>G32/30*50</f>
      </c>
      <c r="N32" s="65">
        <f>IFERROR(CHOOSE(ROUNDUP(T32/2, 0), IF(X32="Boss", E32, AVERAGE(D32:E32))/130, IF(X32="Boss", E32, AVERAGE(D32:E32))/180, IF(X32="Boss", E32, AVERAGE(D32:E32))/240, IF(X32="Boss", E32, AVERAGE(D32:E32))/300, IF(X32="Boss", E32, AVERAGE(D32:E32))/370), "")</f>
      </c>
      <c r="O32" s="61">
        <f>J32-M32</f>
      </c>
      <c r="P32">
        <f>SUM($O$2:O32)</f>
      </c>
      <c r="Q32">
        <f>F32*2*0.15</f>
      </c>
      <c r="R32">
        <f>INT(SUM($Q$2:Q32))</f>
      </c>
      <c r="S32">
        <f>IF(AND(T32 &gt; T31, T31 &gt;= 2),     S31 + VLOOKUP(INT(T31/2), '武器经济计算'!$A:$B, 2, FALSE),     S31)</f>
      </c>
      <c r="T32" s="64">
        <f>IF(R32 &gt; R31,     IF(T31 &lt; 2,        2,        IF((P32 - S31) &gt;= VLOOKUP(INT(T31/2), '武器经济计算'!$A:$B, 2, FALSE),           T31 + 1,           T31       )    ),     T31)</f>
      </c>
      <c r="U32" s="62">
        <f>P32-S32</f>
      </c>
      <c r="V32">
        <f>0.1*F32*50*A32</f>
      </c>
      <c r="W32">
        <f>0.1*F32*50*A32</f>
      </c>
    </row>
    <row r="33">
      <c r="A33" s="67">
        <v>32</v>
      </c>
      <c r="B33" s="67">
        <v>10</v>
      </c>
      <c r="C33" s="67">
        <f>B33*2</f>
      </c>
      <c r="D33" s="69">
        <f>B33*100*IF(A33&lt;=9, 2-(1/64)*(9-A33)^2, IF(A33&lt;=18, 4-(2/81)*(18-A33)^2, IF(A33&lt;=25, 6-(2/49)*(25-A33)^2, IF(A33&lt;=32, 8-(2/49)*(32-A33)^2, IF(A33&lt;=40, 10-(1/32)*(40-A33)^2, "超出范围")))))</f>
      </c>
      <c r="E33" s="69">
        <f>D33*2</f>
      </c>
      <c r="F33" s="67">
        <v>2</v>
      </c>
      <c r="G33" s="66">
        <f>IFERROR(IF(X33="Boss", E33, AVERAGE(D33:E33)) / 100 * 0.5 * LOOKUP(A33, {1, 10, 19, 26, 33}, {2.2, 1.6, 1.2, 1, 0.8}), "")</f>
      </c>
      <c r="H33" s="67">
        <f>AVERAGE(B33:C33)*0.1*20*F33</f>
      </c>
      <c r="I33" s="70">
        <f>F33*2*0.15*130</f>
      </c>
      <c r="J33" s="67">
        <f>SUM(H33:I33)</f>
      </c>
      <c r="K33" s="67">
        <f>SUM($J$2:J33)</f>
      </c>
      <c r="L33" s="70">
        <f>L32</f>
      </c>
      <c r="M33" s="66">
        <f>G33/30*50</f>
      </c>
      <c r="N33" s="66">
        <f>IFERROR(CHOOSE(ROUNDUP(T33/2, 0), IF(X33="Boss", E33, AVERAGE(D33:E33))/130, IF(X33="Boss", E33, AVERAGE(D33:E33))/180, IF(X33="Boss", E33, AVERAGE(D33:E33))/240, IF(X33="Boss", E33, AVERAGE(D33:E33))/300, IF(X33="Boss", E33, AVERAGE(D33:E33))/370), "")</f>
      </c>
      <c r="O33" s="66">
        <f>J33-M33</f>
      </c>
      <c r="P33" s="67">
        <f>SUM($O$2:O33)</f>
      </c>
      <c r="Q33" s="67">
        <f>F33*2*0.15</f>
      </c>
      <c r="R33" s="67">
        <f>INT(SUM($Q$2:Q33))</f>
      </c>
      <c r="S33" s="67">
        <f>IF(AND(T33 &gt; T32, T32 &gt;= 2),     S32 + VLOOKUP(INT(T32/2), '武器经济计算'!$A:$B, 2, FALSE),     S32)</f>
      </c>
      <c r="T33" s="70">
        <f>IF(R33 &gt; R32,     IF(T32 &lt; 2,        2,        IF((P33 - S32) &gt;= VLOOKUP(INT(T32/2), '武器经济计算'!$A:$B, 2, FALSE),           T32 + 1,           T32       )    ),     T32)</f>
      </c>
      <c r="U33" s="68">
        <f>P33-S33</f>
      </c>
      <c r="V33" s="67">
        <f>0.1*F33*50*A33</f>
      </c>
      <c r="W33" s="67">
        <f>0.1*F33*50*A33</f>
      </c>
      <c r="X33" s="67" t="str">
        <v>BOSS</v>
      </c>
    </row>
    <row r="34">
      <c r="A34" s="2">
        <v>33</v>
      </c>
      <c r="B34">
        <v>10</v>
      </c>
      <c r="C34">
        <f>B34*2</f>
      </c>
      <c r="D34" s="63">
        <f>B34*100*IF(A34&lt;=9, 2-(1/64)*(9-A34)^2, IF(A34&lt;=18, 4-(2/81)*(18-A34)^2, IF(A34&lt;=25, 6-(2/49)*(25-A34)^2, IF(A34&lt;=32, 8-(2/49)*(32-A34)^2, IF(A34&lt;=40, 10-(1/32)*(40-A34)^2, "超出范围")))))</f>
      </c>
      <c r="E34" s="63">
        <f>D34*2</f>
      </c>
      <c r="F34">
        <v>2</v>
      </c>
      <c r="G34" s="61">
        <f>IFERROR(IF(X34="Boss", E34, AVERAGE(D34:E34)) / 100 * 0.5 * LOOKUP(A34, {1, 10, 19, 26, 33}, {2.2, 1.6, 1.2, 1, 0.8}), "")</f>
      </c>
      <c r="H34">
        <f>AVERAGE(B34:C34)*0.1*20*F34</f>
      </c>
      <c r="I34" s="64">
        <f>F34*2*0.15*130</f>
      </c>
      <c r="J34">
        <f>SUM(H34:I34)</f>
      </c>
      <c r="K34">
        <f>SUM($J$2:J34)</f>
      </c>
      <c r="L34" s="64">
        <f>ROUNDUP(SUM(G34:G41)/8/30)</f>
      </c>
      <c r="M34" s="61">
        <f>G34/30*50</f>
      </c>
      <c r="N34" s="65">
        <f>IFERROR(CHOOSE(ROUNDUP(T34/2, 0), IF(X34="Boss", E34, AVERAGE(D34:E34))/130, IF(X34="Boss", E34, AVERAGE(D34:E34))/180, IF(X34="Boss", E34, AVERAGE(D34:E34))/240, IF(X34="Boss", E34, AVERAGE(D34:E34))/300, IF(X34="Boss", E34, AVERAGE(D34:E34))/370), "")</f>
      </c>
      <c r="O34" s="61">
        <f>J34-M34</f>
      </c>
      <c r="P34">
        <f>SUM($O$2:O34)</f>
      </c>
      <c r="Q34">
        <f>F34*2*0.15</f>
      </c>
      <c r="R34">
        <f>INT(SUM($Q$2:Q34))</f>
      </c>
      <c r="S34">
        <f>IF(AND(T34 &gt; T33, T33 &gt;= 2),     S33 + VLOOKUP(INT(T33/2), '武器经济计算'!$A:$B, 2, FALSE),     S33)</f>
      </c>
      <c r="T34" s="64">
        <f>IF(R34 &gt; R33,     IF(T33 &lt; 2,        2,        IF((P34 - S33) &gt;= VLOOKUP(INT(T33/2), '武器经济计算'!$A:$B, 2, FALSE),           T33 + 1,           T33       )    ),     T33)</f>
      </c>
      <c r="U34" s="62">
        <f>P34-S34</f>
      </c>
      <c r="V34">
        <f>0.1*F34*50*A34</f>
      </c>
      <c r="W34">
        <f>0.1*F34*50*A34</f>
      </c>
    </row>
    <row r="35">
      <c r="A35" s="2">
        <v>34</v>
      </c>
      <c r="B35">
        <v>10</v>
      </c>
      <c r="C35">
        <f>B35*2</f>
      </c>
      <c r="D35" s="63">
        <f>B35*100*IF(A35&lt;=9, 2-(1/64)*(9-A35)^2, IF(A35&lt;=18, 4-(2/81)*(18-A35)^2, IF(A35&lt;=25, 6-(2/49)*(25-A35)^2, IF(A35&lt;=32, 8-(2/49)*(32-A35)^2, IF(A35&lt;=40, 10-(1/32)*(40-A35)^2, "超出范围")))))</f>
      </c>
      <c r="E35" s="63">
        <f>D35*2</f>
      </c>
      <c r="F35">
        <v>2</v>
      </c>
      <c r="G35" s="61">
        <f>IFERROR(IF(X35="Boss", E35, AVERAGE(D35:E35)) / 100 * 0.5 * LOOKUP(A35, {1, 10, 19, 26, 33}, {2.2, 1.6, 1.2, 1, 0.8}), "")</f>
      </c>
      <c r="H35">
        <f>AVERAGE(B35:C35)*0.1*20*F35</f>
      </c>
      <c r="I35" s="64">
        <f>F35*2*0.15*130</f>
      </c>
      <c r="J35">
        <f>SUM(H35:I35)</f>
      </c>
      <c r="K35">
        <f>SUM($J$2:J35)</f>
      </c>
      <c r="L35" s="64">
        <f>L34</f>
      </c>
      <c r="M35" s="61">
        <f>G35/30*50</f>
      </c>
      <c r="N35" s="65">
        <f>IFERROR(CHOOSE(ROUNDUP(T35/2, 0), IF(X35="Boss", E35, AVERAGE(D35:E35))/130, IF(X35="Boss", E35, AVERAGE(D35:E35))/180, IF(X35="Boss", E35, AVERAGE(D35:E35))/240, IF(X35="Boss", E35, AVERAGE(D35:E35))/300, IF(X35="Boss", E35, AVERAGE(D35:E35))/370), "")</f>
      </c>
      <c r="O35" s="61">
        <f>J35-M35</f>
      </c>
      <c r="P35">
        <f>SUM($O$2:O35)</f>
      </c>
      <c r="Q35">
        <f>F35*2*0.15</f>
      </c>
      <c r="R35">
        <f>INT(SUM($Q$2:Q35))</f>
      </c>
      <c r="S35">
        <f>IF(AND(T35 &gt; T34, T34 &gt;= 2),     S34 + VLOOKUP(INT(T34/2), '武器经济计算'!$A:$B, 2, FALSE),     S34)</f>
      </c>
      <c r="T35" s="64">
        <f>IF(R35 &gt; R34,     IF(T34 &lt; 2,        2,        IF((P35 - S34) &gt;= VLOOKUP(INT(T34/2), '武器经济计算'!$A:$B, 2, FALSE),           T34 + 1,           T34       )    ),     T34)</f>
      </c>
      <c r="U35" s="62">
        <f>P35-S35</f>
      </c>
      <c r="V35">
        <f>0.1*F35*50*A35</f>
      </c>
      <c r="W35">
        <f>0.1*F35*50*A35</f>
      </c>
    </row>
    <row r="36">
      <c r="A36" s="2">
        <v>35</v>
      </c>
      <c r="B36">
        <v>10</v>
      </c>
      <c r="C36">
        <f>B36*2</f>
      </c>
      <c r="D36" s="63">
        <f>B36*100*IF(A36&lt;=9, 2-(1/64)*(9-A36)^2, IF(A36&lt;=18, 4-(2/81)*(18-A36)^2, IF(A36&lt;=25, 6-(2/49)*(25-A36)^2, IF(A36&lt;=32, 8-(2/49)*(32-A36)^2, IF(A36&lt;=40, 10-(1/32)*(40-A36)^2, "超出范围")))))</f>
      </c>
      <c r="E36" s="63">
        <f>D36*2</f>
      </c>
      <c r="F36">
        <v>2</v>
      </c>
      <c r="G36" s="61">
        <f>IFERROR(IF(X36="Boss", E36, AVERAGE(D36:E36)) / 100 * 0.5 * LOOKUP(A36, {1, 10, 19, 26, 33}, {2.2, 1.6, 1.2, 1, 0.8}), "")</f>
      </c>
      <c r="H36">
        <f>AVERAGE(B36:C36)*0.1*20*F36</f>
      </c>
      <c r="I36" s="64">
        <f>F36*2*0.15*130</f>
      </c>
      <c r="J36">
        <f>SUM(H36:I36)</f>
      </c>
      <c r="K36">
        <f>SUM($J$2:J36)</f>
      </c>
      <c r="L36" s="64">
        <f>L35</f>
      </c>
      <c r="M36" s="61">
        <f>G36/30*50</f>
      </c>
      <c r="N36" s="65">
        <f>IFERROR(CHOOSE(ROUNDUP(T36/2, 0), IF(X36="Boss", E36, AVERAGE(D36:E36))/130, IF(X36="Boss", E36, AVERAGE(D36:E36))/180, IF(X36="Boss", E36, AVERAGE(D36:E36))/240, IF(X36="Boss", E36, AVERAGE(D36:E36))/300, IF(X36="Boss", E36, AVERAGE(D36:E36))/370), "")</f>
      </c>
      <c r="O36" s="61">
        <f>J36-M36</f>
      </c>
      <c r="P36">
        <f>SUM($O$2:O36)</f>
      </c>
      <c r="Q36">
        <f>F36*2*0.15</f>
      </c>
      <c r="R36">
        <f>INT(SUM($Q$2:Q36))</f>
      </c>
      <c r="S36">
        <f>IF(AND(T36 &gt; T35, T35 &gt;= 2),     S35 + VLOOKUP(INT(T35/2), '武器经济计算'!$A:$B, 2, FALSE),     S35)</f>
      </c>
      <c r="T36" s="64">
        <f>IF(R36 &gt; R35,     IF(T35 &lt; 2,        2,        IF((P36 - S35) &gt;= VLOOKUP(INT(T35/2), '武器经济计算'!$A:$B, 2, FALSE),           T35 + 1,           T35       )    ),     T35)</f>
      </c>
      <c r="U36" s="62">
        <f>P36-S36</f>
      </c>
      <c r="V36">
        <f>0.1*F36*50*A36</f>
      </c>
      <c r="W36">
        <f>0.1*F36*50*A36</f>
      </c>
    </row>
    <row r="37">
      <c r="A37" s="2">
        <v>36</v>
      </c>
      <c r="B37">
        <v>10</v>
      </c>
      <c r="C37">
        <f>B37*2</f>
      </c>
      <c r="D37" s="63">
        <f>B37*100*IF(A37&lt;=9, 2-(1/64)*(9-A37)^2, IF(A37&lt;=18, 4-(2/81)*(18-A37)^2, IF(A37&lt;=25, 6-(2/49)*(25-A37)^2, IF(A37&lt;=32, 8-(2/49)*(32-A37)^2, IF(A37&lt;=40, 10-(1/32)*(40-A37)^2, "超出范围")))))</f>
      </c>
      <c r="E37" s="63">
        <f>D37*2</f>
      </c>
      <c r="F37">
        <v>2</v>
      </c>
      <c r="G37" s="61">
        <f>IFERROR(IF(X37="Boss", E37, AVERAGE(D37:E37)) / 100 * 0.5 * LOOKUP(A37, {1, 10, 19, 26, 33}, {2.2, 1.6, 1.2, 1, 0.8}), "")</f>
      </c>
      <c r="H37">
        <f>AVERAGE(B37:C37)*0.1*20*F37</f>
      </c>
      <c r="I37" s="64">
        <f>F37*2*0.15*130</f>
      </c>
      <c r="J37">
        <f>SUM(H37:I37)</f>
      </c>
      <c r="K37">
        <f>SUM($J$2:J37)</f>
      </c>
      <c r="L37" s="64">
        <f>L36</f>
      </c>
      <c r="M37" s="61">
        <f>G37/30*50</f>
      </c>
      <c r="N37" s="65">
        <f>IFERROR(CHOOSE(ROUNDUP(T37/2, 0), IF(X37="Boss", E37, AVERAGE(D37:E37))/130, IF(X37="Boss", E37, AVERAGE(D37:E37))/180, IF(X37="Boss", E37, AVERAGE(D37:E37))/240, IF(X37="Boss", E37, AVERAGE(D37:E37))/300, IF(X37="Boss", E37, AVERAGE(D37:E37))/370), "")</f>
      </c>
      <c r="O37" s="61">
        <f>J37-M37</f>
      </c>
      <c r="P37">
        <f>SUM($O$2:O37)</f>
      </c>
      <c r="Q37">
        <f>F37*2*0.15</f>
      </c>
      <c r="R37">
        <f>INT(SUM($Q$2:Q37))</f>
      </c>
      <c r="S37">
        <f>IF(AND(T37 &gt; T36, T36 &gt;= 2),     S36 + VLOOKUP(INT(T36/2), '武器经济计算'!$A:$B, 2, FALSE),     S36)</f>
      </c>
      <c r="T37" s="64">
        <f>IF(R37 &gt; R36,     IF(T36 &lt; 2,        2,        IF((P37 - S36) &gt;= VLOOKUP(INT(T36/2), '武器经济计算'!$A:$B, 2, FALSE),           T36 + 1,           T36       )    ),     T36)</f>
      </c>
      <c r="U37" s="62">
        <f>P37-S37</f>
      </c>
      <c r="V37">
        <f>0.1*F37*50*A37</f>
      </c>
      <c r="W37">
        <f>0.1*F37*50*A37</f>
      </c>
    </row>
    <row r="38">
      <c r="A38" s="2">
        <v>37</v>
      </c>
      <c r="B38">
        <v>10</v>
      </c>
      <c r="C38">
        <f>B38*2</f>
      </c>
      <c r="D38" s="63">
        <f>B38*100*IF(A38&lt;=9, 2-(1/64)*(9-A38)^2, IF(A38&lt;=18, 4-(2/81)*(18-A38)^2, IF(A38&lt;=25, 6-(2/49)*(25-A38)^2, IF(A38&lt;=32, 8-(2/49)*(32-A38)^2, IF(A38&lt;=40, 10-(1/32)*(40-A38)^2, "超出范围")))))</f>
      </c>
      <c r="E38" s="63">
        <f>D38*2</f>
      </c>
      <c r="F38">
        <v>2</v>
      </c>
      <c r="G38" s="61">
        <f>IFERROR(IF(X38="Boss", E38, AVERAGE(D38:E38)) / 100 * 0.5 * LOOKUP(A38, {1, 10, 19, 26, 33}, {2.2, 1.6, 1.2, 1, 0.8}), "")</f>
      </c>
      <c r="H38">
        <f>AVERAGE(B38:C38)*0.1*20*F38</f>
      </c>
      <c r="I38" s="64">
        <f>F38*2*0.15*130</f>
      </c>
      <c r="J38">
        <f>SUM(H38:I38)</f>
      </c>
      <c r="K38">
        <f>SUM($J$2:J38)</f>
      </c>
      <c r="L38" s="64">
        <f>L37</f>
      </c>
      <c r="M38" s="61">
        <f>G38/30*50</f>
      </c>
      <c r="N38" s="65">
        <f>IFERROR(CHOOSE(ROUNDUP(T38/2, 0), IF(X38="Boss", E38, AVERAGE(D38:E38))/130, IF(X38="Boss", E38, AVERAGE(D38:E38))/180, IF(X38="Boss", E38, AVERAGE(D38:E38))/240, IF(X38="Boss", E38, AVERAGE(D38:E38))/300, IF(X38="Boss", E38, AVERAGE(D38:E38))/370), "")</f>
      </c>
      <c r="O38" s="61">
        <f>J38-M38</f>
      </c>
      <c r="P38">
        <f>SUM($O$2:O38)</f>
      </c>
      <c r="Q38">
        <f>F38*2*0.15</f>
      </c>
      <c r="R38">
        <f>INT(SUM($Q$2:Q38))</f>
      </c>
      <c r="S38">
        <f>IF(AND(T38 &gt; T37, T37 &gt;= 2),     S37 + VLOOKUP(INT(T37/2), '武器经济计算'!$A:$B, 2, FALSE),     S37)</f>
      </c>
      <c r="T38" s="64">
        <f>IF(R38 &gt; R37,     IF(T37 &lt; 2,        2,        IF((P38 - S37) &gt;= VLOOKUP(INT(T37/2), '武器经济计算'!$A:$B, 2, FALSE),           T37 + 1,           T37       )    ),     T37)</f>
      </c>
      <c r="U38" s="62">
        <f>P38-S38</f>
      </c>
      <c r="V38">
        <f>0.1*F38*50*A38</f>
      </c>
      <c r="W38">
        <f>0.1*F38*50*A38</f>
      </c>
    </row>
    <row r="39">
      <c r="A39" s="2">
        <v>38</v>
      </c>
      <c r="B39">
        <v>10</v>
      </c>
      <c r="C39">
        <f>B39*2</f>
      </c>
      <c r="D39" s="63">
        <f>B39*100*IF(A39&lt;=9, 2-(1/64)*(9-A39)^2, IF(A39&lt;=18, 4-(2/81)*(18-A39)^2, IF(A39&lt;=25, 6-(2/49)*(25-A39)^2, IF(A39&lt;=32, 8-(2/49)*(32-A39)^2, IF(A39&lt;=40, 10-(1/32)*(40-A39)^2, "超出范围")))))</f>
      </c>
      <c r="E39" s="63">
        <f>D39*2</f>
      </c>
      <c r="F39">
        <v>2</v>
      </c>
      <c r="G39" s="61">
        <f>IFERROR(IF(X39="Boss", E39, AVERAGE(D39:E39)) / 100 * 0.5 * LOOKUP(A39, {1, 10, 19, 26, 33}, {2.2, 1.6, 1.2, 1, 0.8}), "")</f>
      </c>
      <c r="H39">
        <f>AVERAGE(B39:C39)*0.1*20*F39</f>
      </c>
      <c r="I39" s="64">
        <f>F39*2*0.15*130</f>
      </c>
      <c r="J39">
        <f>SUM(H39:I39)</f>
      </c>
      <c r="K39">
        <f>SUM($J$2:J39)</f>
      </c>
      <c r="L39" s="64">
        <f>L38</f>
      </c>
      <c r="M39" s="61">
        <f>G39/30*50</f>
      </c>
      <c r="N39" s="65">
        <f>IFERROR(CHOOSE(ROUNDUP(T39/2, 0), IF(X39="Boss", E39, AVERAGE(D39:E39))/130, IF(X39="Boss", E39, AVERAGE(D39:E39))/180, IF(X39="Boss", E39, AVERAGE(D39:E39))/240, IF(X39="Boss", E39, AVERAGE(D39:E39))/300, IF(X39="Boss", E39, AVERAGE(D39:E39))/370), "")</f>
      </c>
      <c r="O39" s="61">
        <f>J39-M39</f>
      </c>
      <c r="P39">
        <f>SUM($O$2:O39)</f>
      </c>
      <c r="Q39">
        <f>F39*2*0.15</f>
      </c>
      <c r="R39">
        <f>INT(SUM($Q$2:Q39))</f>
      </c>
      <c r="S39">
        <f>IF(AND(T39 &gt; T38, T38 &gt;= 2),     S38 + VLOOKUP(INT(T38/2), '武器经济计算'!$A:$B, 2, FALSE),     S38)</f>
      </c>
      <c r="T39" s="64">
        <f>IF(R39 &gt; R38,     IF(T38 &lt; 2,        2,        IF((P39 - S38) &gt;= VLOOKUP(INT(T38/2), '武器经济计算'!$A:$B, 2, FALSE),           T38 + 1,           T38       )    ),     T38)</f>
      </c>
      <c r="U39" s="62">
        <f>P39-S39</f>
      </c>
      <c r="V39">
        <f>0.1*F39*50*A39</f>
      </c>
      <c r="W39">
        <f>0.1*F39*50*A39</f>
      </c>
    </row>
    <row r="40">
      <c r="A40" s="67">
        <v>39</v>
      </c>
      <c r="B40" s="67">
        <v>10</v>
      </c>
      <c r="C40" s="67">
        <f>B40*2</f>
      </c>
      <c r="D40" s="69">
        <f>B40*100*IF(A40&lt;=9, 2-(1/64)*(9-A40)^2, IF(A40&lt;=18, 4-(2/81)*(18-A40)^2, IF(A40&lt;=25, 6-(2/49)*(25-A40)^2, IF(A40&lt;=32, 8-(2/49)*(32-A40)^2, IF(A40&lt;=40, 10-(1/32)*(40-A40)^2, "超出范围")))))</f>
      </c>
      <c r="E40" s="69">
        <f>D40*2</f>
      </c>
      <c r="F40" s="67">
        <v>2</v>
      </c>
      <c r="G40" s="66">
        <f>IFERROR(IF(X40="Boss", E40, AVERAGE(D40:E40)) / 100 * 0.5 * LOOKUP(A40, {1, 10, 19, 26, 33}, {2.2, 1.6, 1.2, 1, 0.8}), "")</f>
      </c>
      <c r="H40" s="67">
        <f>AVERAGE(B40:C40)*0.1*20*F40</f>
      </c>
      <c r="I40" s="70">
        <f>F40*2*0.15*130</f>
      </c>
      <c r="J40" s="67">
        <f>SUM(H40:I40)</f>
      </c>
      <c r="K40" s="67">
        <f>SUM($J$2:J40)</f>
      </c>
      <c r="L40" s="70">
        <f>L39</f>
      </c>
      <c r="M40" s="66">
        <f>G40/30*50</f>
      </c>
      <c r="N40" s="66">
        <f>IFERROR(CHOOSE(ROUNDUP(T40/2, 0), IF(X40="Boss", E40, AVERAGE(D40:E40))/130, IF(X40="Boss", E40, AVERAGE(D40:E40))/180, IF(X40="Boss", E40, AVERAGE(D40:E40))/240, IF(X40="Boss", E40, AVERAGE(D40:E40))/300, IF(X40="Boss", E40, AVERAGE(D40:E40))/370), "")</f>
      </c>
      <c r="O40" s="66">
        <f>J40-M40</f>
      </c>
      <c r="P40" s="67">
        <f>SUM($O$2:O40)</f>
      </c>
      <c r="Q40" s="67">
        <f>F40*2*0.15</f>
      </c>
      <c r="R40" s="67">
        <f>INT(SUM($Q$2:Q40))</f>
      </c>
      <c r="S40" s="67">
        <f>IF(AND(T40 &gt; T39, T39 &gt;= 2),     S39 + VLOOKUP(INT(T39/2), '武器经济计算'!$A:$B, 2, FALSE),     S39)</f>
      </c>
      <c r="T40" s="70">
        <f>IF(R40 &gt; R39,     IF(T39 &lt; 2,        2,        IF((P40 - S39) &gt;= VLOOKUP(INT(T39/2), '武器经济计算'!$A:$B, 2, FALSE),           T39 + 1,           T39       )    ),     T39)</f>
      </c>
      <c r="U40" s="68">
        <f>P40-S40</f>
      </c>
      <c r="V40" s="67">
        <f>0.1*F40*50*A40</f>
      </c>
      <c r="W40" s="67">
        <f>0.1*F40*50*A40</f>
      </c>
      <c r="X40" s="67" t="str">
        <v>BOSS</v>
      </c>
    </row>
    <row r="41">
      <c r="A41" s="67">
        <v>40</v>
      </c>
      <c r="B41" s="67">
        <v>10</v>
      </c>
      <c r="C41" s="67">
        <f>B41*2</f>
      </c>
      <c r="D41" s="69">
        <f>B41*100*IF(A41&lt;=9, 2-(1/64)*(9-A41)^2, IF(A41&lt;=18, 4-(2/81)*(18-A41)^2, IF(A41&lt;=25, 6-(2/49)*(25-A41)^2, IF(A41&lt;=32, 8-(2/49)*(32-A41)^2, IF(A41&lt;=40, 10-(1/32)*(40-A41)^2, "超出范围")))))</f>
      </c>
      <c r="E41" s="69">
        <f>D41*2</f>
      </c>
      <c r="F41" s="67">
        <v>2</v>
      </c>
      <c r="G41" s="66">
        <f>IFERROR(IF(X41="Boss", E41, AVERAGE(D41:E41)) / 100 * 0.5 * LOOKUP(A41, {1, 10, 19, 26, 33}, {2.2, 1.6, 1.2, 1, 0.8}), "")</f>
      </c>
      <c r="H41" s="67">
        <f>AVERAGE(B41:C41)*0.1*20*F41</f>
      </c>
      <c r="I41" s="70">
        <f>F41*2*0.15*130</f>
      </c>
      <c r="J41" s="67">
        <f>SUM(H41:I41)</f>
      </c>
      <c r="K41" s="67">
        <f>SUM($J$2:J41)</f>
      </c>
      <c r="L41" s="70">
        <f>L40</f>
      </c>
      <c r="M41" s="66">
        <f>G41/30*50</f>
      </c>
      <c r="N41" s="66">
        <f>IFERROR(CHOOSE(ROUNDUP(T41/2, 0), IF(X41="Boss", E41, AVERAGE(D41:E41))/130, IF(X41="Boss", E41, AVERAGE(D41:E41))/180, IF(X41="Boss", E41, AVERAGE(D41:E41))/240, IF(X41="Boss", E41, AVERAGE(D41:E41))/300, IF(X41="Boss", E41, AVERAGE(D41:E41))/370), "")</f>
      </c>
      <c r="O41" s="66">
        <f>J41-M41</f>
      </c>
      <c r="P41" s="67">
        <f>SUM($O$2:O41)</f>
      </c>
      <c r="Q41" s="67">
        <f>F41*2*0.15</f>
      </c>
      <c r="R41" s="67">
        <f>INT(SUM($Q$2:Q41))</f>
      </c>
      <c r="S41" s="67">
        <f>IF(AND(T41 &gt; T40, T40 &gt;= 2),     S40 + VLOOKUP(INT(T40/2), '武器经济计算'!$A:$B, 2, FALSE),     S40)</f>
      </c>
      <c r="T41" s="70">
        <f>IF(R41 &gt; R40,     IF(T40 &lt; 2,        2,        IF((P41 - S40) &gt;= VLOOKUP(INT(T40/2), '武器经济计算'!$A:$B, 2, FALSE),           T40 + 1,           T40       )    ),     T40)</f>
      </c>
      <c r="U41" s="68">
        <f>P41-S41</f>
      </c>
      <c r="V41" s="67">
        <f>0.1*F41*50*A41</f>
      </c>
      <c r="W41" s="67">
        <f>0.1*F41*50*A41</f>
      </c>
      <c r="X41" s="67" t="str">
        <v>BOSS</v>
      </c>
    </row>
    <row r="42">
      <c r="D42" s="63"/>
      <c r="E42" s="63"/>
      <c r="G42" s="61"/>
      <c r="I42" s="61"/>
      <c r="U42" s="62"/>
    </row>
    <row r="43">
      <c r="D43" s="63"/>
      <c r="E43" s="63"/>
      <c r="G43" s="61"/>
      <c r="I43" s="61"/>
      <c r="U43" s="62"/>
    </row>
    <row r="44">
      <c r="D44" s="63"/>
      <c r="E44" s="63"/>
      <c r="G44" s="61"/>
      <c r="I44" s="61"/>
      <c r="U44" s="62"/>
    </row>
    <row r="45">
      <c r="D45" s="63"/>
      <c r="E45" s="63"/>
      <c r="G45" s="61"/>
      <c r="I45" s="61"/>
      <c r="U45" s="62"/>
    </row>
    <row r="46">
      <c r="D46" s="63"/>
      <c r="E46" s="63"/>
      <c r="G46" s="61"/>
      <c r="I46" s="61"/>
      <c r="U46" s="62"/>
    </row>
    <row r="47">
      <c r="D47" s="63"/>
      <c r="E47" s="63"/>
      <c r="G47" s="61"/>
      <c r="I47" s="61"/>
      <c r="U47" s="62"/>
    </row>
    <row r="48">
      <c r="D48" s="63"/>
      <c r="E48" s="63"/>
      <c r="G48" s="61"/>
      <c r="I48" s="61"/>
      <c r="U48" s="62"/>
    </row>
    <row r="49">
      <c r="D49" s="63"/>
      <c r="E49" s="63"/>
      <c r="G49" s="61"/>
      <c r="I49" s="61"/>
      <c r="U49" s="62"/>
    </row>
    <row r="50">
      <c r="D50" s="63"/>
      <c r="E50" s="63"/>
      <c r="G50" s="61"/>
      <c r="I50" s="61"/>
      <c r="U50" s="62"/>
    </row>
    <row r="51">
      <c r="D51" s="63"/>
      <c r="E51" s="63"/>
      <c r="G51" s="61"/>
      <c r="I51" s="61"/>
      <c r="U51" s="62"/>
    </row>
    <row r="52">
      <c r="D52" s="63"/>
      <c r="E52" s="63"/>
      <c r="G52" s="61"/>
      <c r="I52" s="61"/>
      <c r="U52" s="62"/>
    </row>
    <row r="53">
      <c r="D53" s="63"/>
      <c r="E53" s="63"/>
      <c r="G53" s="61"/>
      <c r="I53" s="61"/>
      <c r="U53" s="62"/>
    </row>
    <row r="54">
      <c r="D54" s="63"/>
      <c r="E54" s="63"/>
      <c r="G54" s="61"/>
      <c r="I54" s="61"/>
      <c r="U54" s="62"/>
    </row>
    <row r="55">
      <c r="D55" s="63"/>
      <c r="E55" s="63"/>
      <c r="G55" s="61"/>
      <c r="I55" s="61"/>
      <c r="U55" s="62"/>
    </row>
    <row r="56">
      <c r="D56" s="63"/>
      <c r="E56" s="63"/>
      <c r="G56" s="61"/>
      <c r="I56" s="61"/>
      <c r="U56" s="62"/>
    </row>
    <row r="57">
      <c r="D57" s="63"/>
      <c r="E57" s="63"/>
      <c r="G57" s="61"/>
      <c r="I57" s="61"/>
      <c r="U57" s="62"/>
    </row>
    <row r="58">
      <c r="D58" s="63"/>
      <c r="E58" s="63"/>
      <c r="G58" s="61"/>
      <c r="I58" s="61"/>
      <c r="U58" s="62"/>
    </row>
    <row r="59">
      <c r="D59" s="63"/>
      <c r="E59" s="63"/>
      <c r="G59" s="61"/>
      <c r="I59" s="61"/>
      <c r="U59" s="62"/>
    </row>
    <row r="60">
      <c r="D60" s="63"/>
      <c r="E60" s="63"/>
      <c r="G60" s="61"/>
      <c r="I60" s="61"/>
      <c r="U60" s="62"/>
    </row>
    <row r="61">
      <c r="D61" s="63"/>
      <c r="E61" s="63"/>
      <c r="G61" s="61"/>
      <c r="I61" s="61"/>
      <c r="U61" s="62"/>
    </row>
    <row r="62">
      <c r="D62" s="63"/>
      <c r="E62" s="63"/>
      <c r="G62" s="61"/>
      <c r="I62" s="61"/>
      <c r="U62" s="62"/>
    </row>
    <row r="63">
      <c r="D63" s="63"/>
      <c r="E63" s="63"/>
      <c r="G63" s="61"/>
      <c r="I63" s="61"/>
      <c r="U63" s="62"/>
    </row>
    <row r="64">
      <c r="D64" s="63"/>
      <c r="E64" s="63"/>
      <c r="G64" s="61"/>
      <c r="I64" s="61"/>
      <c r="U64" s="62"/>
    </row>
    <row r="65">
      <c r="D65" s="63"/>
      <c r="E65" s="63"/>
      <c r="G65" s="61"/>
      <c r="I65" s="61"/>
      <c r="U65" s="62"/>
    </row>
    <row r="66">
      <c r="D66" s="63"/>
      <c r="E66" s="63"/>
      <c r="G66" s="61"/>
      <c r="I66" s="61"/>
      <c r="U66" s="62"/>
    </row>
    <row r="67">
      <c r="D67" s="63"/>
      <c r="E67" s="63"/>
      <c r="G67" s="61"/>
      <c r="I67" s="61"/>
      <c r="U67" s="62"/>
    </row>
    <row r="68">
      <c r="D68" s="63"/>
      <c r="E68" s="63"/>
      <c r="G68" s="61"/>
      <c r="I68" s="61"/>
      <c r="U68" s="62"/>
    </row>
    <row r="69">
      <c r="D69" s="63"/>
      <c r="E69" s="63"/>
      <c r="G69" s="61"/>
      <c r="I69" s="61"/>
      <c r="U69" s="62"/>
    </row>
    <row r="70">
      <c r="D70" s="63"/>
      <c r="E70" s="63"/>
      <c r="G70" s="61"/>
      <c r="I70" s="61"/>
      <c r="U70" s="62"/>
    </row>
    <row r="71">
      <c r="D71" s="63"/>
      <c r="E71" s="63"/>
      <c r="G71" s="61"/>
      <c r="I71" s="61"/>
      <c r="U71" s="62"/>
    </row>
    <row r="72">
      <c r="D72" s="63"/>
      <c r="E72" s="63"/>
      <c r="G72" s="61"/>
      <c r="I72" s="61"/>
      <c r="U72" s="62"/>
    </row>
    <row r="73">
      <c r="D73" s="63"/>
      <c r="E73" s="63"/>
      <c r="G73" s="61"/>
      <c r="I73" s="61"/>
      <c r="U73" s="62"/>
    </row>
    <row r="74">
      <c r="D74" s="63"/>
      <c r="E74" s="63"/>
      <c r="G74" s="61"/>
      <c r="I74" s="61"/>
      <c r="U74" s="62"/>
    </row>
    <row r="75">
      <c r="D75" s="63"/>
      <c r="E75" s="63"/>
      <c r="G75" s="61"/>
      <c r="I75" s="61"/>
      <c r="U75" s="62"/>
    </row>
    <row r="76">
      <c r="D76" s="63"/>
      <c r="E76" s="63"/>
      <c r="G76" s="61"/>
      <c r="I76" s="61"/>
      <c r="U76" s="62"/>
    </row>
    <row r="77">
      <c r="D77" s="63"/>
      <c r="E77" s="63"/>
      <c r="G77" s="61"/>
      <c r="I77" s="61"/>
      <c r="U77" s="62"/>
    </row>
    <row r="78">
      <c r="D78" s="63"/>
      <c r="E78" s="63"/>
      <c r="G78" s="61"/>
      <c r="I78" s="61"/>
      <c r="U78" s="62"/>
    </row>
    <row r="79">
      <c r="D79" s="63"/>
      <c r="E79" s="63"/>
      <c r="G79" s="61"/>
      <c r="I79" s="61"/>
      <c r="U79" s="62"/>
    </row>
    <row r="80">
      <c r="D80" s="63"/>
      <c r="E80" s="63"/>
      <c r="G80" s="61"/>
      <c r="I80" s="61"/>
      <c r="U80" s="62"/>
    </row>
    <row r="81">
      <c r="D81" s="63"/>
      <c r="E81" s="63"/>
      <c r="G81" s="61"/>
      <c r="I81" s="61"/>
      <c r="U81" s="62"/>
    </row>
    <row r="82">
      <c r="D82" s="63"/>
      <c r="E82" s="63"/>
      <c r="G82" s="61"/>
      <c r="I82" s="61"/>
      <c r="U82" s="62"/>
    </row>
    <row r="83">
      <c r="D83" s="63"/>
      <c r="E83" s="63"/>
      <c r="G83" s="61"/>
      <c r="I83" s="61"/>
      <c r="U83" s="62"/>
    </row>
    <row r="84">
      <c r="D84" s="63"/>
      <c r="E84" s="63"/>
      <c r="G84" s="61"/>
      <c r="I84" s="61"/>
      <c r="U84" s="62"/>
    </row>
    <row r="85">
      <c r="D85" s="63"/>
      <c r="E85" s="63"/>
      <c r="G85" s="61"/>
      <c r="I85" s="61"/>
      <c r="U85" s="62"/>
    </row>
    <row r="86">
      <c r="D86" s="63"/>
      <c r="E86" s="63"/>
      <c r="G86" s="61"/>
      <c r="I86" s="61"/>
      <c r="U86" s="62"/>
    </row>
    <row r="87">
      <c r="D87" s="63"/>
      <c r="E87" s="63"/>
      <c r="G87" s="61"/>
      <c r="I87" s="61"/>
      <c r="U87" s="62"/>
    </row>
    <row r="88">
      <c r="D88" s="63"/>
      <c r="E88" s="63"/>
      <c r="G88" s="61"/>
      <c r="I88" s="61"/>
      <c r="U88" s="62"/>
    </row>
    <row r="89">
      <c r="D89" s="63"/>
      <c r="E89" s="63"/>
      <c r="G89" s="61"/>
      <c r="I89" s="61"/>
      <c r="U89" s="62"/>
    </row>
    <row r="90">
      <c r="D90" s="63"/>
      <c r="E90" s="63"/>
      <c r="G90" s="61"/>
      <c r="I90" s="61"/>
      <c r="U90" s="62"/>
    </row>
    <row r="91">
      <c r="D91" s="63"/>
      <c r="E91" s="63"/>
      <c r="G91" s="61"/>
      <c r="I91" s="61"/>
      <c r="U91" s="62"/>
    </row>
    <row r="92">
      <c r="D92" s="63"/>
      <c r="E92" s="63"/>
      <c r="G92" s="61"/>
      <c r="I92" s="61"/>
      <c r="U92" s="62"/>
    </row>
    <row r="93">
      <c r="D93" s="63"/>
      <c r="E93" s="63"/>
      <c r="G93" s="61"/>
      <c r="I93" s="61"/>
      <c r="U93" s="62"/>
    </row>
    <row r="94">
      <c r="D94" s="63"/>
      <c r="E94" s="63"/>
      <c r="G94" s="61"/>
      <c r="I94" s="61"/>
      <c r="U94" s="62"/>
    </row>
    <row r="95">
      <c r="D95" s="63"/>
      <c r="E95" s="63"/>
      <c r="G95" s="61"/>
      <c r="I95" s="61"/>
      <c r="U95" s="62"/>
    </row>
    <row r="96">
      <c r="D96" s="63"/>
      <c r="E96" s="63"/>
      <c r="G96" s="61"/>
      <c r="I96" s="61"/>
      <c r="U96" s="62"/>
    </row>
    <row r="97">
      <c r="D97" s="63"/>
      <c r="E97" s="63"/>
      <c r="G97" s="61"/>
      <c r="I97" s="61"/>
      <c r="U97" s="62"/>
    </row>
    <row r="98">
      <c r="D98" s="63"/>
      <c r="E98" s="63"/>
      <c r="G98" s="61"/>
      <c r="I98" s="61"/>
      <c r="U98" s="62"/>
    </row>
    <row r="99">
      <c r="D99" s="63"/>
      <c r="E99" s="63"/>
      <c r="G99" s="61"/>
      <c r="I99" s="61"/>
      <c r="U99" s="62"/>
    </row>
    <row r="100">
      <c r="D100" s="63"/>
      <c r="E100" s="63"/>
      <c r="G100" s="61"/>
      <c r="I100" s="61"/>
      <c r="U100" s="62"/>
    </row>
    <row r="101">
      <c r="D101" s="63"/>
      <c r="E101" s="63"/>
      <c r="G101" s="61"/>
      <c r="I101" s="61"/>
      <c r="U101" s="62"/>
    </row>
    <row r="102">
      <c r="D102" s="63"/>
      <c r="E102" s="63"/>
      <c r="G102" s="61"/>
      <c r="I102" s="61"/>
      <c r="U102" s="62"/>
    </row>
    <row r="103">
      <c r="D103" s="63"/>
      <c r="E103" s="63"/>
      <c r="G103" s="61"/>
      <c r="I103" s="61"/>
      <c r="U103" s="62"/>
    </row>
    <row r="104">
      <c r="D104" s="63"/>
      <c r="E104" s="63"/>
      <c r="G104" s="61"/>
      <c r="I104" s="61"/>
      <c r="U104" s="62"/>
    </row>
    <row r="105">
      <c r="D105" s="63"/>
      <c r="E105" s="63"/>
      <c r="G105" s="61"/>
      <c r="I105" s="61"/>
      <c r="U105" s="62"/>
    </row>
    <row r="106">
      <c r="D106" s="63"/>
      <c r="E106" s="63"/>
      <c r="G106" s="61"/>
      <c r="I106" s="61"/>
      <c r="U106" s="62"/>
    </row>
    <row r="107">
      <c r="D107" s="63"/>
      <c r="E107" s="63"/>
      <c r="G107" s="61"/>
      <c r="I107" s="61"/>
      <c r="U107" s="62"/>
    </row>
    <row r="108">
      <c r="D108" s="63"/>
      <c r="E108" s="63"/>
      <c r="G108" s="61"/>
      <c r="I108" s="61"/>
      <c r="U108" s="62"/>
    </row>
    <row r="109">
      <c r="D109" s="63"/>
      <c r="E109" s="63"/>
      <c r="G109" s="61"/>
      <c r="I109" s="61"/>
      <c r="U109" s="62"/>
    </row>
    <row r="110">
      <c r="D110" s="63"/>
      <c r="E110" s="63"/>
      <c r="G110" s="61"/>
      <c r="I110" s="61"/>
      <c r="U110" s="62"/>
    </row>
    <row r="111">
      <c r="D111" s="63"/>
      <c r="E111" s="63"/>
      <c r="G111" s="61"/>
      <c r="I111" s="61"/>
      <c r="U111" s="62"/>
    </row>
    <row r="112">
      <c r="D112" s="63"/>
      <c r="E112" s="63"/>
      <c r="G112" s="61"/>
      <c r="I112" s="61"/>
      <c r="U112" s="62"/>
    </row>
    <row r="113">
      <c r="D113" s="63"/>
      <c r="E113" s="63"/>
      <c r="G113" s="61"/>
      <c r="I113" s="61"/>
      <c r="U113" s="62"/>
    </row>
    <row r="114">
      <c r="D114" s="63"/>
      <c r="E114" s="63"/>
      <c r="G114" s="61"/>
      <c r="I114" s="61"/>
      <c r="U114" s="62"/>
    </row>
    <row r="115">
      <c r="D115" s="63"/>
      <c r="E115" s="63"/>
      <c r="G115" s="61"/>
      <c r="I115" s="61"/>
      <c r="U115" s="62"/>
    </row>
    <row r="116">
      <c r="D116" s="63"/>
      <c r="E116" s="63"/>
      <c r="G116" s="61"/>
      <c r="I116" s="61"/>
      <c r="U116" s="62"/>
    </row>
    <row r="117">
      <c r="D117" s="63"/>
      <c r="E117" s="63"/>
      <c r="G117" s="61"/>
      <c r="I117" s="61"/>
      <c r="U117" s="62"/>
    </row>
    <row r="118">
      <c r="D118" s="63"/>
      <c r="E118" s="63"/>
      <c r="G118" s="61"/>
      <c r="I118" s="61"/>
      <c r="U118" s="62"/>
    </row>
    <row r="119">
      <c r="D119" s="63"/>
      <c r="E119" s="63"/>
      <c r="G119" s="61"/>
      <c r="I119" s="61"/>
      <c r="U119" s="62"/>
    </row>
    <row r="120">
      <c r="D120" s="63"/>
      <c r="E120" s="63"/>
      <c r="G120" s="61"/>
      <c r="I120" s="61"/>
      <c r="U120" s="62"/>
    </row>
    <row r="121">
      <c r="D121" s="63"/>
      <c r="E121" s="63"/>
      <c r="G121" s="61"/>
      <c r="I121" s="61"/>
      <c r="U121" s="62"/>
    </row>
    <row r="122">
      <c r="D122" s="63"/>
      <c r="E122" s="63"/>
      <c r="G122" s="61"/>
      <c r="I122" s="61"/>
      <c r="U122" s="62"/>
    </row>
    <row r="123">
      <c r="D123" s="63"/>
      <c r="E123" s="63"/>
      <c r="G123" s="61"/>
      <c r="I123" s="61"/>
      <c r="U123" s="62"/>
    </row>
    <row r="124">
      <c r="D124" s="63"/>
      <c r="E124" s="63"/>
      <c r="G124" s="61"/>
      <c r="I124" s="61"/>
      <c r="U124" s="62"/>
    </row>
    <row r="125">
      <c r="D125" s="63"/>
      <c r="E125" s="63"/>
      <c r="G125" s="61"/>
      <c r="I125" s="61"/>
      <c r="U125" s="62"/>
    </row>
    <row r="126">
      <c r="D126" s="63"/>
      <c r="E126" s="63"/>
      <c r="G126" s="61"/>
      <c r="I126" s="61"/>
      <c r="U126" s="62"/>
    </row>
    <row r="127">
      <c r="D127" s="63"/>
      <c r="E127" s="63"/>
      <c r="G127" s="61"/>
      <c r="I127" s="61"/>
      <c r="U127" s="62"/>
    </row>
    <row r="128">
      <c r="D128" s="63"/>
      <c r="E128" s="63"/>
      <c r="G128" s="61"/>
      <c r="I128" s="61"/>
      <c r="U128" s="62"/>
    </row>
    <row r="129">
      <c r="D129" s="63"/>
      <c r="E129" s="63"/>
      <c r="G129" s="61"/>
      <c r="I129" s="61"/>
      <c r="U129" s="62"/>
    </row>
    <row r="130">
      <c r="D130" s="63"/>
      <c r="E130" s="63"/>
      <c r="G130" s="61"/>
      <c r="I130" s="61"/>
      <c r="U130" s="62"/>
    </row>
    <row r="131">
      <c r="D131" s="63"/>
      <c r="E131" s="63"/>
      <c r="G131" s="61"/>
      <c r="I131" s="61"/>
      <c r="U131" s="62"/>
    </row>
    <row r="132">
      <c r="D132" s="63"/>
      <c r="E132" s="63"/>
      <c r="G132" s="61"/>
      <c r="I132" s="61"/>
      <c r="U132" s="62"/>
    </row>
    <row r="133">
      <c r="D133" s="63"/>
      <c r="E133" s="63"/>
      <c r="G133" s="61"/>
      <c r="I133" s="61"/>
      <c r="U133" s="62"/>
    </row>
    <row r="134">
      <c r="D134" s="63"/>
      <c r="E134" s="63"/>
      <c r="G134" s="61"/>
      <c r="I134" s="61"/>
      <c r="U134" s="62"/>
    </row>
    <row r="135">
      <c r="D135" s="63"/>
      <c r="E135" s="63"/>
      <c r="G135" s="61"/>
      <c r="I135" s="61"/>
      <c r="U135" s="62"/>
    </row>
    <row r="136">
      <c r="D136" s="63"/>
      <c r="E136" s="63"/>
      <c r="G136" s="61"/>
      <c r="I136" s="61"/>
      <c r="U136" s="62"/>
    </row>
    <row r="137">
      <c r="D137" s="63"/>
      <c r="E137" s="63"/>
      <c r="G137" s="61"/>
      <c r="I137" s="61"/>
      <c r="U137" s="62"/>
    </row>
    <row r="138">
      <c r="D138" s="63"/>
      <c r="E138" s="63"/>
      <c r="G138" s="61"/>
      <c r="I138" s="61"/>
      <c r="U138" s="62"/>
    </row>
    <row r="139">
      <c r="D139" s="63"/>
      <c r="E139" s="63"/>
      <c r="G139" s="61"/>
      <c r="I139" s="61"/>
      <c r="U139" s="62"/>
    </row>
    <row r="140">
      <c r="D140" s="63"/>
      <c r="E140" s="63"/>
      <c r="G140" s="61"/>
      <c r="I140" s="61"/>
      <c r="U140" s="62"/>
    </row>
    <row r="141">
      <c r="D141" s="63"/>
      <c r="E141" s="63"/>
      <c r="G141" s="61"/>
      <c r="I141" s="61"/>
      <c r="U141" s="62"/>
    </row>
    <row r="142">
      <c r="D142" s="63"/>
      <c r="E142" s="63"/>
      <c r="G142" s="61"/>
      <c r="I142" s="61"/>
      <c r="U142" s="62"/>
    </row>
    <row r="143">
      <c r="D143" s="63"/>
      <c r="E143" s="63"/>
      <c r="G143" s="61"/>
      <c r="I143" s="61"/>
      <c r="U143" s="62"/>
    </row>
    <row r="144">
      <c r="D144" s="63"/>
      <c r="E144" s="63"/>
      <c r="G144" s="61"/>
      <c r="I144" s="61"/>
      <c r="U144" s="62"/>
    </row>
    <row r="145">
      <c r="D145" s="63"/>
      <c r="E145" s="63"/>
      <c r="G145" s="61"/>
      <c r="I145" s="61"/>
      <c r="U145" s="62"/>
    </row>
    <row r="146">
      <c r="D146" s="63"/>
      <c r="E146" s="63"/>
      <c r="G146" s="61"/>
      <c r="I146" s="61"/>
      <c r="U146" s="62"/>
    </row>
    <row r="147">
      <c r="D147" s="63"/>
      <c r="E147" s="63"/>
      <c r="G147" s="61"/>
      <c r="I147" s="61"/>
      <c r="U147" s="62"/>
    </row>
    <row r="148">
      <c r="D148" s="63"/>
      <c r="E148" s="63"/>
      <c r="G148" s="61"/>
      <c r="I148" s="61"/>
      <c r="U148" s="62"/>
    </row>
    <row r="149">
      <c r="D149" s="63"/>
      <c r="E149" s="63"/>
      <c r="G149" s="61"/>
      <c r="I149" s="61"/>
      <c r="U149" s="62"/>
    </row>
    <row r="150">
      <c r="D150" s="63"/>
      <c r="E150" s="63"/>
      <c r="G150" s="61"/>
      <c r="I150" s="61"/>
      <c r="U150" s="62"/>
    </row>
    <row r="151">
      <c r="D151" s="63"/>
      <c r="E151" s="63"/>
      <c r="G151" s="61"/>
      <c r="I151" s="61"/>
      <c r="U151" s="62"/>
    </row>
    <row r="152">
      <c r="D152" s="63"/>
      <c r="E152" s="63"/>
      <c r="G152" s="61"/>
      <c r="I152" s="61"/>
      <c r="U152" s="62"/>
    </row>
    <row r="153">
      <c r="D153" s="63"/>
      <c r="E153" s="63"/>
      <c r="G153" s="61"/>
      <c r="I153" s="61"/>
      <c r="U153" s="62"/>
    </row>
    <row r="154">
      <c r="D154" s="63"/>
      <c r="E154" s="63"/>
      <c r="G154" s="61"/>
      <c r="I154" s="61"/>
      <c r="U154" s="62"/>
    </row>
    <row r="155">
      <c r="D155" s="63"/>
      <c r="E155" s="63"/>
      <c r="G155" s="61"/>
      <c r="I155" s="61"/>
      <c r="U155" s="62"/>
    </row>
    <row r="156">
      <c r="D156" s="63"/>
      <c r="E156" s="63"/>
      <c r="G156" s="61"/>
      <c r="I156" s="61"/>
      <c r="U156" s="62"/>
    </row>
    <row r="157">
      <c r="D157" s="63"/>
      <c r="E157" s="63"/>
      <c r="G157" s="61"/>
      <c r="I157" s="61"/>
      <c r="U157" s="62"/>
    </row>
    <row r="158">
      <c r="D158" s="63"/>
      <c r="E158" s="63"/>
      <c r="G158" s="61"/>
      <c r="I158" s="61"/>
      <c r="U158" s="62"/>
    </row>
    <row r="159">
      <c r="D159" s="63"/>
      <c r="E159" s="63"/>
      <c r="G159" s="61"/>
      <c r="I159" s="61"/>
      <c r="U159" s="62"/>
    </row>
    <row r="160">
      <c r="D160" s="63"/>
      <c r="E160" s="63"/>
      <c r="G160" s="61"/>
      <c r="I160" s="61"/>
      <c r="U160" s="62"/>
    </row>
    <row r="161">
      <c r="D161" s="63"/>
      <c r="E161" s="63"/>
      <c r="G161" s="61"/>
      <c r="I161" s="61"/>
      <c r="U161" s="62"/>
    </row>
    <row r="162">
      <c r="D162" s="63"/>
      <c r="E162" s="63"/>
      <c r="G162" s="61"/>
      <c r="I162" s="61"/>
      <c r="U162" s="62"/>
    </row>
    <row r="163">
      <c r="D163" s="63"/>
      <c r="E163" s="63"/>
      <c r="G163" s="61"/>
      <c r="I163" s="61"/>
      <c r="U163" s="62"/>
    </row>
    <row r="164">
      <c r="D164" s="63"/>
      <c r="E164" s="63"/>
      <c r="G164" s="61"/>
      <c r="I164" s="61"/>
      <c r="U164" s="62"/>
    </row>
    <row r="165">
      <c r="D165" s="63"/>
      <c r="E165" s="63"/>
      <c r="G165" s="61"/>
      <c r="I165" s="61"/>
      <c r="U165" s="62"/>
    </row>
    <row r="166">
      <c r="D166" s="63"/>
      <c r="E166" s="63"/>
      <c r="G166" s="61"/>
      <c r="I166" s="61"/>
      <c r="U166" s="62"/>
    </row>
    <row r="167">
      <c r="D167" s="63"/>
      <c r="E167" s="63"/>
      <c r="G167" s="61"/>
      <c r="I167" s="61"/>
      <c r="U167" s="62"/>
    </row>
    <row r="168">
      <c r="D168" s="63"/>
      <c r="E168" s="63"/>
      <c r="G168" s="61"/>
      <c r="I168" s="61"/>
      <c r="U168" s="62"/>
    </row>
    <row r="169">
      <c r="D169" s="63"/>
      <c r="E169" s="63"/>
      <c r="G169" s="61"/>
      <c r="I169" s="61"/>
      <c r="U169" s="62"/>
    </row>
    <row r="170">
      <c r="D170" s="63"/>
      <c r="E170" s="63"/>
      <c r="G170" s="61"/>
      <c r="I170" s="61"/>
      <c r="U170" s="62"/>
    </row>
    <row r="171">
      <c r="D171" s="63"/>
      <c r="E171" s="63"/>
      <c r="G171" s="61"/>
      <c r="I171" s="61"/>
      <c r="U171" s="62"/>
    </row>
    <row r="172">
      <c r="D172" s="63"/>
      <c r="E172" s="63"/>
      <c r="G172" s="61"/>
      <c r="I172" s="61"/>
      <c r="U172" s="62"/>
    </row>
    <row r="173">
      <c r="D173" s="63"/>
      <c r="E173" s="63"/>
      <c r="G173" s="61"/>
      <c r="I173" s="61"/>
      <c r="U173" s="62"/>
    </row>
    <row r="174">
      <c r="D174" s="63"/>
      <c r="E174" s="63"/>
      <c r="G174" s="61"/>
      <c r="I174" s="61"/>
      <c r="U174" s="62"/>
    </row>
    <row r="175">
      <c r="D175" s="63"/>
      <c r="E175" s="63"/>
      <c r="G175" s="61"/>
      <c r="I175" s="61"/>
      <c r="U175" s="62"/>
    </row>
    <row r="176">
      <c r="D176" s="63"/>
      <c r="E176" s="63"/>
      <c r="G176" s="61"/>
      <c r="I176" s="61"/>
      <c r="U176" s="62"/>
    </row>
    <row r="177">
      <c r="D177" s="63"/>
      <c r="E177" s="63"/>
      <c r="G177" s="61"/>
      <c r="I177" s="61"/>
      <c r="U177" s="62"/>
    </row>
    <row r="178">
      <c r="D178" s="63"/>
      <c r="E178" s="63"/>
      <c r="G178" s="61"/>
      <c r="I178" s="61"/>
      <c r="U178" s="62"/>
    </row>
    <row r="179">
      <c r="D179" s="63"/>
      <c r="E179" s="63"/>
      <c r="G179" s="61"/>
      <c r="I179" s="61"/>
      <c r="U179" s="62"/>
    </row>
    <row r="180">
      <c r="D180" s="63"/>
      <c r="E180" s="63"/>
      <c r="G180" s="61"/>
      <c r="I180" s="61"/>
      <c r="U180" s="62"/>
    </row>
    <row r="181">
      <c r="D181" s="63"/>
      <c r="E181" s="63"/>
      <c r="G181" s="61"/>
      <c r="I181" s="61"/>
      <c r="U181" s="62"/>
    </row>
    <row r="182">
      <c r="D182" s="63"/>
      <c r="E182" s="63"/>
      <c r="G182" s="61"/>
      <c r="I182" s="61"/>
      <c r="U182" s="62"/>
    </row>
    <row r="183">
      <c r="D183" s="63"/>
      <c r="E183" s="63"/>
      <c r="G183" s="61"/>
      <c r="I183" s="61"/>
      <c r="U183" s="62"/>
    </row>
    <row r="184">
      <c r="D184" s="63"/>
      <c r="E184" s="63"/>
      <c r="G184" s="61"/>
      <c r="I184" s="61"/>
      <c r="U184" s="62"/>
    </row>
    <row r="185">
      <c r="D185" s="63"/>
      <c r="E185" s="63"/>
      <c r="G185" s="61"/>
      <c r="I185" s="61"/>
      <c r="U185" s="62"/>
    </row>
    <row r="186">
      <c r="D186" s="63"/>
      <c r="E186" s="63"/>
      <c r="G186" s="61"/>
      <c r="I186" s="61"/>
      <c r="U186" s="62"/>
    </row>
    <row r="187">
      <c r="D187" s="63"/>
      <c r="E187" s="63"/>
      <c r="G187" s="61"/>
      <c r="I187" s="61"/>
      <c r="U187" s="62"/>
    </row>
    <row r="188">
      <c r="D188" s="63"/>
      <c r="E188" s="63"/>
      <c r="G188" s="61"/>
      <c r="I188" s="61"/>
      <c r="U188" s="62"/>
    </row>
    <row r="189">
      <c r="D189" s="63"/>
      <c r="E189" s="63"/>
      <c r="G189" s="61"/>
      <c r="I189" s="61"/>
      <c r="U189" s="62"/>
    </row>
    <row r="190">
      <c r="D190" s="63"/>
      <c r="E190" s="63"/>
      <c r="G190" s="61"/>
      <c r="I190" s="61"/>
      <c r="U190" s="62"/>
    </row>
    <row r="191">
      <c r="D191" s="63"/>
      <c r="E191" s="63"/>
      <c r="G191" s="61"/>
      <c r="I191" s="61"/>
      <c r="U191" s="62"/>
    </row>
    <row r="192">
      <c r="D192" s="63"/>
      <c r="E192" s="63"/>
      <c r="G192" s="61"/>
      <c r="I192" s="61"/>
      <c r="U192" s="62"/>
    </row>
    <row r="193">
      <c r="D193" s="63"/>
      <c r="E193" s="63"/>
      <c r="G193" s="61"/>
      <c r="I193" s="61"/>
      <c r="U193" s="62"/>
    </row>
    <row r="194">
      <c r="D194" s="63"/>
      <c r="E194" s="63"/>
      <c r="G194" s="61"/>
      <c r="I194" s="61"/>
      <c r="U194" s="62"/>
    </row>
    <row r="195">
      <c r="D195" s="63"/>
      <c r="E195" s="63"/>
      <c r="G195" s="61"/>
      <c r="I195" s="61"/>
      <c r="U195" s="62"/>
    </row>
    <row r="196">
      <c r="D196" s="63"/>
      <c r="E196" s="63"/>
      <c r="G196" s="61"/>
      <c r="I196" s="61"/>
      <c r="U196" s="62"/>
    </row>
    <row r="197">
      <c r="D197" s="63"/>
      <c r="E197" s="63"/>
      <c r="G197" s="61"/>
      <c r="I197" s="61"/>
      <c r="U197" s="62"/>
    </row>
    <row r="198">
      <c r="D198" s="63"/>
      <c r="E198" s="63"/>
      <c r="G198" s="61"/>
      <c r="I198" s="61"/>
      <c r="U198" s="62"/>
    </row>
    <row r="199">
      <c r="D199" s="63"/>
      <c r="E199" s="63"/>
      <c r="G199" s="61"/>
      <c r="I199" s="61"/>
      <c r="U199" s="62"/>
    </row>
    <row r="200">
      <c r="D200" s="63"/>
      <c r="E200" s="63"/>
      <c r="G200" s="61"/>
      <c r="I200" s="61"/>
      <c r="U200" s="62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d5f6f2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41"/>
    <col collapsed="false" customWidth="true" hidden="false" max="10" min="10" style="0" width="16"/>
  </cols>
  <sheetData>
    <row r="1">
      <c r="A1" s="83" t="str">
        <v>RowName</v>
      </c>
      <c r="B1" s="82" t="str">
        <v>Lv. 0</v>
      </c>
      <c r="C1" s="82" t="str">
        <v>Lv. 1</v>
      </c>
      <c r="D1" s="82" t="str">
        <v>Lv. 2</v>
      </c>
      <c r="E1" s="82" t="str">
        <v>Lv. 3</v>
      </c>
      <c r="F1" s="82" t="str">
        <v>Lv. 4</v>
      </c>
      <c r="G1" s="82" t="str">
        <v>Lv. 5</v>
      </c>
      <c r="H1" s="83" t="str">
        <v>阶段说明</v>
      </c>
      <c r="I1" s="83" t="str">
        <v>状态分析</v>
      </c>
      <c r="J1" s="7" t="str">
        <v>QualityRate</v>
      </c>
    </row>
    <row r="2">
      <c r="A2" s="81">
        <v>1</v>
      </c>
      <c r="B2" s="78">
        <v>0</v>
      </c>
      <c r="C2" s="79">
        <f>1-SUM(D2:G2)</f>
      </c>
      <c r="D2" s="79">
        <f>0.33*A2/9</f>
      </c>
      <c r="E2" s="78">
        <v>0</v>
      </c>
      <c r="F2" s="78">
        <v>0</v>
      </c>
      <c r="G2" s="78">
        <v>0</v>
      </c>
      <c r="H2" s="80" t="str">
        <v>初始</v>
      </c>
      <c r="I2" s="80" t="str">
        <v>Lv.2 出现</v>
      </c>
      <c r="J2" s="2">
        <f t="array" ref="J2:J100">COUNTA(B2:G100)&lt;6</f>
      </c>
    </row>
    <row r="3">
      <c r="A3" s="12">
        <v>2</v>
      </c>
      <c r="B3" s="75">
        <v>0</v>
      </c>
      <c r="C3" s="75">
        <f>1-SUM(D3:G3)</f>
      </c>
      <c r="D3" s="75">
        <f>0.33*A3/9</f>
      </c>
      <c r="E3" s="75">
        <v>0</v>
      </c>
      <c r="F3" s="75">
        <v>0</v>
      </c>
      <c r="G3" s="75">
        <v>0</v>
      </c>
      <c r="H3" s="76"/>
      <c r="I3" s="76"/>
      <c r="J3" t="str">
        <v>(0,0.926666666666667,0.0733333333333333,0,0,0)</v>
      </c>
    </row>
    <row r="4">
      <c r="A4" s="12">
        <v>3</v>
      </c>
      <c r="B4" s="75">
        <v>0</v>
      </c>
      <c r="C4" s="75">
        <f>1-SUM(D4:G4)</f>
      </c>
      <c r="D4" s="75">
        <f>0.33*A4/9</f>
      </c>
      <c r="E4" s="75">
        <v>0</v>
      </c>
      <c r="F4" s="75">
        <v>0</v>
      </c>
      <c r="G4" s="75">
        <v>0</v>
      </c>
      <c r="H4" s="76"/>
      <c r="I4" s="76"/>
      <c r="J4" t="str">
        <v>(0,0.89,0.11,0,0,0)</v>
      </c>
    </row>
    <row r="5">
      <c r="A5" s="12">
        <v>4</v>
      </c>
      <c r="B5" s="75">
        <v>0</v>
      </c>
      <c r="C5" s="75">
        <f>1-SUM(D5:G5)</f>
      </c>
      <c r="D5" s="75">
        <f>0.33*A5/9</f>
      </c>
      <c r="E5" s="75">
        <v>0</v>
      </c>
      <c r="F5" s="75">
        <v>0</v>
      </c>
      <c r="G5" s="75">
        <v>0</v>
      </c>
      <c r="H5" s="76"/>
      <c r="I5" s="76"/>
      <c r="J5" t="str">
        <v>(0,0.853333333333333,0.146666666666667,0,0,0)</v>
      </c>
    </row>
    <row r="6">
      <c r="A6" s="12">
        <v>5</v>
      </c>
      <c r="B6" s="75">
        <v>0</v>
      </c>
      <c r="C6" s="75">
        <f>1-SUM(D6:G6)</f>
      </c>
      <c r="D6" s="75">
        <f>0.33*A6/9</f>
      </c>
      <c r="E6" s="75">
        <v>0</v>
      </c>
      <c r="F6" s="75">
        <v>0</v>
      </c>
      <c r="G6" s="75">
        <v>0</v>
      </c>
      <c r="H6" s="76"/>
      <c r="I6" s="76"/>
      <c r="J6" t="str">
        <v>(0,0.816666666666667,0.183333333333333,0,0,0)</v>
      </c>
    </row>
    <row r="7">
      <c r="A7" s="12">
        <v>6</v>
      </c>
      <c r="B7" s="75">
        <v>0</v>
      </c>
      <c r="C7" s="75">
        <f>1-SUM(D7:G7)</f>
      </c>
      <c r="D7" s="75">
        <f>0.33*A7/9</f>
      </c>
      <c r="E7" s="75">
        <v>0</v>
      </c>
      <c r="F7" s="75">
        <v>0</v>
      </c>
      <c r="G7" s="75">
        <v>0</v>
      </c>
      <c r="H7" s="76"/>
      <c r="I7" s="76"/>
      <c r="J7" t="str">
        <v>(0,0.78,0.22,0,0,0)</v>
      </c>
    </row>
    <row r="8">
      <c r="A8" s="12">
        <v>7</v>
      </c>
      <c r="B8" s="75">
        <v>0</v>
      </c>
      <c r="C8" s="75">
        <f>1-SUM(D8:G8)</f>
      </c>
      <c r="D8" s="75">
        <f>0.33*A8/9</f>
      </c>
      <c r="E8" s="75">
        <v>0</v>
      </c>
      <c r="F8" s="75">
        <v>0</v>
      </c>
      <c r="G8" s="75">
        <v>0</v>
      </c>
      <c r="H8" s="76"/>
      <c r="I8" s="12"/>
      <c r="J8" t="str">
        <v>(0,0.743333333333333,0.256666666666667,0,0,0)</v>
      </c>
    </row>
    <row r="9">
      <c r="A9" s="12">
        <v>8</v>
      </c>
      <c r="B9" s="75">
        <v>0</v>
      </c>
      <c r="C9" s="75">
        <f>1-SUM(D9:G9)</f>
      </c>
      <c r="D9" s="75">
        <f>0.33*A9/9</f>
      </c>
      <c r="E9" s="75">
        <v>0</v>
      </c>
      <c r="F9" s="75">
        <v>0</v>
      </c>
      <c r="G9" s="75">
        <v>0</v>
      </c>
      <c r="H9" s="76"/>
      <c r="I9" s="76"/>
      <c r="J9" t="str">
        <v>(0,0.706666666666667,0.293333333333333,0,0,0)</v>
      </c>
    </row>
    <row r="10">
      <c r="A10" s="81">
        <v>9</v>
      </c>
      <c r="B10" s="78">
        <v>0</v>
      </c>
      <c r="C10" s="78">
        <f>1-SUM(D10:G10)</f>
      </c>
      <c r="D10" s="79">
        <f>0.33*A10/9</f>
      </c>
      <c r="E10" s="79">
        <f>0.2*(A10+1-9)/10</f>
      </c>
      <c r="F10" s="78">
        <v>0</v>
      </c>
      <c r="G10" s="78">
        <v>0</v>
      </c>
      <c r="H10" s="80" t="str">
        <v>BOSS</v>
      </c>
      <c r="I10" s="80" t="str">
        <v>Lv.2 达到平衡；Lv.3 出现</v>
      </c>
      <c r="J10" t="str">
        <v>(0,0.65,0.33,0.02,0,0)</v>
      </c>
    </row>
    <row r="11">
      <c r="A11" s="12">
        <v>10</v>
      </c>
      <c r="B11" s="75">
        <v>0</v>
      </c>
      <c r="C11" s="75">
        <f>1-SUM(D11:G11)</f>
      </c>
      <c r="D11" s="75">
        <f>0.33+(0.4-0.33)*(A11-9)/9</f>
      </c>
      <c r="E11" s="75">
        <f>0.2*(A11+1-9)/10</f>
      </c>
      <c r="F11" s="75">
        <v>0</v>
      </c>
      <c r="G11" s="75">
        <v>0</v>
      </c>
      <c r="H11" s="76"/>
      <c r="I11" s="76"/>
      <c r="J11" t="str">
        <v>(0,0.622222222222222,0.337777777777778,0.04,0,0)</v>
      </c>
    </row>
    <row r="12">
      <c r="A12" s="12">
        <v>11</v>
      </c>
      <c r="B12" s="75">
        <v>0</v>
      </c>
      <c r="C12" s="75">
        <f>1-SUM(D12:G12)</f>
      </c>
      <c r="D12" s="75">
        <f>0.33+(0.4-0.33)*(A12-9)/9</f>
      </c>
      <c r="E12" s="75">
        <f>0.2*(A12+1-9)/10</f>
      </c>
      <c r="F12" s="75">
        <v>0</v>
      </c>
      <c r="G12" s="75">
        <v>0</v>
      </c>
      <c r="H12" s="76"/>
      <c r="I12" s="76"/>
      <c r="J12" t="str">
        <v>(0,0.594444444444445,0.345555555555556,0.06,0,0)</v>
      </c>
    </row>
    <row r="13">
      <c r="A13" s="12">
        <v>12</v>
      </c>
      <c r="B13" s="75">
        <v>0</v>
      </c>
      <c r="C13" s="75">
        <f>1-SUM(D13:G13)</f>
      </c>
      <c r="D13" s="75">
        <f>0.33+(0.4-0.33)*(A13-9)/9</f>
      </c>
      <c r="E13" s="75">
        <f>0.2*(A13+1-9)/10</f>
      </c>
      <c r="F13" s="75">
        <v>0</v>
      </c>
      <c r="G13" s="75">
        <v>0</v>
      </c>
      <c r="H13" s="76"/>
      <c r="I13" s="76"/>
      <c r="J13" t="str">
        <v>(0,0.566666666666667,0.353333333333333,0.08,0,0)</v>
      </c>
    </row>
    <row r="14">
      <c r="A14" s="12">
        <v>13</v>
      </c>
      <c r="B14" s="75">
        <v>0</v>
      </c>
      <c r="C14" s="75">
        <f>1-SUM(D14:G14)</f>
      </c>
      <c r="D14" s="75">
        <f>0.33+(0.4-0.33)*(A14-9)/9</f>
      </c>
      <c r="E14" s="75">
        <f>0.2*(A14+1-9)/10</f>
      </c>
      <c r="F14" s="75">
        <v>0</v>
      </c>
      <c r="G14" s="75">
        <v>0</v>
      </c>
      <c r="H14" s="76"/>
      <c r="I14" s="76"/>
      <c r="J14" t="str">
        <v>(0,0.538888888888889,0.361111111111111,0.1,0,0)</v>
      </c>
    </row>
    <row r="15">
      <c r="A15" s="12">
        <v>14</v>
      </c>
      <c r="B15" s="75">
        <v>0</v>
      </c>
      <c r="C15" s="75">
        <f>1-SUM(D15:G15)</f>
      </c>
      <c r="D15" s="75">
        <f>0.33+(0.4-0.33)*(A15-9)/9</f>
      </c>
      <c r="E15" s="75">
        <f>0.2*(A15+1-9)/10</f>
      </c>
      <c r="F15" s="75">
        <v>0</v>
      </c>
      <c r="G15" s="75">
        <v>0</v>
      </c>
      <c r="H15" s="76"/>
      <c r="I15" s="76"/>
      <c r="J15" t="str">
        <v>(0,0.511111111111111,0.368888888888889,0.12,0,0)</v>
      </c>
    </row>
    <row r="16">
      <c r="A16" s="12">
        <v>15</v>
      </c>
      <c r="B16" s="75">
        <v>0</v>
      </c>
      <c r="C16" s="75">
        <f>1-SUM(D16:G16)</f>
      </c>
      <c r="D16" s="75">
        <f>0.33+(0.4-0.33)*(A16-9)/9</f>
      </c>
      <c r="E16" s="75">
        <f>0.2*(A16+1-9)/10</f>
      </c>
      <c r="F16" s="75">
        <v>0</v>
      </c>
      <c r="G16" s="75">
        <v>0</v>
      </c>
      <c r="H16" s="76"/>
      <c r="I16" s="76"/>
      <c r="J16" t="str">
        <v>(0,0.483333333333333,0.376666666666667,0.14,0,0)</v>
      </c>
    </row>
    <row r="17">
      <c r="A17" s="12">
        <v>16</v>
      </c>
      <c r="B17" s="75">
        <v>0</v>
      </c>
      <c r="C17" s="75">
        <f>1-SUM(D17:G17)</f>
      </c>
      <c r="D17" s="75">
        <f>0.33+(0.4-0.33)*(A17-9)/9</f>
      </c>
      <c r="E17" s="75">
        <f>0.2*(A17+1-9)/10</f>
      </c>
      <c r="F17" s="75">
        <v>0</v>
      </c>
      <c r="G17" s="75">
        <v>0</v>
      </c>
      <c r="H17" s="76"/>
      <c r="I17" s="76"/>
      <c r="J17" t="str">
        <v>(0,0.455555555555556,0.384444444444445,0.16,0,0)</v>
      </c>
    </row>
    <row r="18">
      <c r="A18" s="12">
        <v>17</v>
      </c>
      <c r="B18" s="75">
        <v>0</v>
      </c>
      <c r="C18" s="75">
        <f>1-SUM(D18:G18)</f>
      </c>
      <c r="D18" s="75">
        <f>0.33+(0.4-0.33)*(A18-9)/9</f>
      </c>
      <c r="E18" s="75">
        <f>0.2*(A18+1-9)/10</f>
      </c>
      <c r="F18" s="75">
        <v>0</v>
      </c>
      <c r="G18" s="75">
        <v>0</v>
      </c>
      <c r="H18" s="76"/>
      <c r="I18" s="76"/>
      <c r="J18" t="str">
        <v>(0,0.427777777777778,0.392222222222222,0.18,0,0)</v>
      </c>
    </row>
    <row r="19">
      <c r="A19" s="81">
        <v>18</v>
      </c>
      <c r="B19" s="78">
        <v>0</v>
      </c>
      <c r="C19" s="78">
        <f>1-SUM(D19:G19)</f>
      </c>
      <c r="D19" s="79">
        <f>0.33+(0.4-0.33)*(A19-9)/9</f>
      </c>
      <c r="E19" s="79">
        <f>0.2*(A19+1-9)/10</f>
      </c>
      <c r="F19" s="79">
        <f>0.13*(A19+1-18)/8</f>
      </c>
      <c r="G19" s="78">
        <v>0</v>
      </c>
      <c r="H19" s="80" t="str">
        <v>BOSS</v>
      </c>
      <c r="I19" s="80" t="str">
        <v>Lv.2 达到边际；Lv.3 达到平衡；Lv.4 出现</v>
      </c>
      <c r="J19" t="str">
        <v>(0,0.38375,0.4,0.2,0.01625,0)</v>
      </c>
    </row>
    <row r="20">
      <c r="A20" s="12">
        <v>19</v>
      </c>
      <c r="B20" s="75">
        <v>0</v>
      </c>
      <c r="C20" s="75">
        <f>1-SUM(D20:G20)</f>
      </c>
      <c r="D20" s="75">
        <f>D19</f>
      </c>
      <c r="E20" s="75">
        <f>0.2+(0.25-0.2)*(A20-18)/7</f>
      </c>
      <c r="F20" s="75">
        <f>0.13*(A20+1-18)/8</f>
      </c>
      <c r="G20" s="75">
        <v>0</v>
      </c>
      <c r="H20" s="76"/>
      <c r="I20" s="76" t="str">
        <v>Lv.2 锁定在 40% (垃圾区)</v>
      </c>
      <c r="J20" t="str">
        <v>(0,0.360357142857143,0.4,0.207142857142857,0.0325,0)</v>
      </c>
    </row>
    <row r="21">
      <c r="A21" s="12">
        <v>20</v>
      </c>
      <c r="B21" s="75">
        <v>0</v>
      </c>
      <c r="C21" s="75">
        <f>1-SUM(D21:G21)</f>
      </c>
      <c r="D21" s="75">
        <f>D20</f>
      </c>
      <c r="E21" s="75">
        <f>0.2+(0.25-0.2)*(A21-18)/7</f>
      </c>
      <c r="F21" s="75">
        <f>0.13*(A21+1-18)/8</f>
      </c>
      <c r="G21" s="75">
        <v>0</v>
      </c>
      <c r="H21" s="76"/>
      <c r="I21" s="76"/>
      <c r="J21" t="str">
        <v>(0,0.336964285714286,0.4,0.214285714285714,0.04875,0)</v>
      </c>
    </row>
    <row r="22">
      <c r="A22" s="12">
        <v>21</v>
      </c>
      <c r="B22" s="75">
        <v>0</v>
      </c>
      <c r="C22" s="75">
        <f>1-SUM(D22:G22)</f>
      </c>
      <c r="D22" s="75">
        <f>D21</f>
      </c>
      <c r="E22" s="75">
        <f>0.2+(0.25-0.2)*(A22-18)/7</f>
      </c>
      <c r="F22" s="75">
        <f>0.13*(A22+1-18)/8</f>
      </c>
      <c r="G22" s="75">
        <v>0</v>
      </c>
      <c r="H22" s="76"/>
      <c r="I22" s="76"/>
      <c r="J22" t="str">
        <v>(0,0.313571428571429,0.4,0.221428571428571,0.065,0)</v>
      </c>
    </row>
    <row r="23">
      <c r="A23" s="12">
        <v>22</v>
      </c>
      <c r="B23" s="75">
        <v>0</v>
      </c>
      <c r="C23" s="75">
        <f>1-SUM(D23:G23)</f>
      </c>
      <c r="D23" s="75">
        <f>D22</f>
      </c>
      <c r="E23" s="75">
        <f>0.2+(0.25-0.2)*(A23-18)/7</f>
      </c>
      <c r="F23" s="75">
        <f>0.13*(A23+1-18)/8</f>
      </c>
      <c r="G23" s="75">
        <v>0</v>
      </c>
      <c r="H23" s="76"/>
      <c r="I23" s="76"/>
      <c r="J23" t="str">
        <v>(0,0.290178571428571,0.4,0.228571428571429,0.08125,0)</v>
      </c>
    </row>
    <row r="24">
      <c r="A24" s="12">
        <v>23</v>
      </c>
      <c r="B24" s="75">
        <v>0</v>
      </c>
      <c r="C24" s="75">
        <f>1-SUM(D24:G24)</f>
      </c>
      <c r="D24" s="75">
        <f>D23</f>
      </c>
      <c r="E24" s="75">
        <f>0.2+(0.25-0.2)*(A24-18)/7</f>
      </c>
      <c r="F24" s="75">
        <f>0.13*(A24+1-18)/8</f>
      </c>
      <c r="G24" s="75">
        <v>0</v>
      </c>
      <c r="H24" s="76"/>
      <c r="I24" s="76"/>
      <c r="J24" t="str">
        <v>(0,0.266785714285714,0.4,0.235714285714286,0.0975,0)</v>
      </c>
    </row>
    <row r="25">
      <c r="A25" s="12">
        <v>24</v>
      </c>
      <c r="B25" s="75">
        <v>0</v>
      </c>
      <c r="C25" s="75">
        <f>1-SUM(D25:G25)</f>
      </c>
      <c r="D25" s="75">
        <f>D24</f>
      </c>
      <c r="E25" s="75">
        <f>0.2+(0.25-0.2)*(A25-18)/7</f>
      </c>
      <c r="F25" s="75">
        <f>0.13*(A25+1-18)/8</f>
      </c>
      <c r="G25" s="75">
        <v>0</v>
      </c>
      <c r="H25" s="76"/>
      <c r="I25" s="76"/>
      <c r="J25" t="str">
        <v>(0,0.243392857142857,0.4,0.242857142857143,0.11375,0)</v>
      </c>
    </row>
    <row r="26">
      <c r="A26" s="81">
        <v>25</v>
      </c>
      <c r="B26" s="78">
        <v>0</v>
      </c>
      <c r="C26" s="78">
        <f>1-SUM(D26:G26)</f>
      </c>
      <c r="D26" s="78">
        <f>D25</f>
      </c>
      <c r="E26" s="79">
        <f>0.2+(0.25-0.2)*(A26-18)/7</f>
      </c>
      <c r="F26" s="79">
        <f>0.13*(A26+1-18)/8</f>
      </c>
      <c r="G26" s="79">
        <f>0.1*(A26+1-25)/8</f>
      </c>
      <c r="H26" s="80" t="str">
        <v>BOSS</v>
      </c>
      <c r="I26" s="80" t="str">
        <v>Lv.3 达到边际；Lv.4 达到平衡；Lv.5 出现</v>
      </c>
      <c r="J26" t="str">
        <v>(0,0.2075,0.4,0.25,0.13,0.0125)</v>
      </c>
    </row>
    <row r="27">
      <c r="A27" s="12">
        <v>26</v>
      </c>
      <c r="B27" s="75">
        <v>0</v>
      </c>
      <c r="C27" s="75">
        <f>1-SUM(D27:G27)</f>
      </c>
      <c r="D27" s="75">
        <f>D26</f>
      </c>
      <c r="E27" s="75">
        <f>E26</f>
      </c>
      <c r="F27" s="75">
        <f>0.13+(0.18-0.13)*(A27-25)/7</f>
      </c>
      <c r="G27" s="75">
        <f>0.1*(A27+1-25)/8</f>
      </c>
      <c r="H27" s="76"/>
      <c r="I27" s="76" t="str">
        <v>Lv.3 锁定在 25% (垃圾区)</v>
      </c>
      <c r="J27" t="str">
        <v>(0,0.187857142857143,0.4,0.25,0.137142857142857,0.025)</v>
      </c>
    </row>
    <row r="28">
      <c r="A28" s="12">
        <v>27</v>
      </c>
      <c r="B28" s="75">
        <v>0</v>
      </c>
      <c r="C28" s="75">
        <f>1-SUM(D28:G28)</f>
      </c>
      <c r="D28" s="75">
        <f>D27</f>
      </c>
      <c r="E28" s="75">
        <f>E27</f>
      </c>
      <c r="F28" s="75">
        <f>0.13+(0.18-0.13)*(A28-25)/7</f>
      </c>
      <c r="G28" s="75">
        <f>0.1*(A28+1-25)/8</f>
      </c>
      <c r="H28" s="76"/>
      <c r="I28" s="76"/>
      <c r="J28" t="str">
        <v>(0,0.168214285714286,0.4,0.25,0.144285714285714,0.0375)</v>
      </c>
    </row>
    <row r="29">
      <c r="A29" s="12">
        <v>28</v>
      </c>
      <c r="B29" s="75">
        <v>0</v>
      </c>
      <c r="C29" s="75">
        <f>1-SUM(D29:G29)</f>
      </c>
      <c r="D29" s="75">
        <f>D28</f>
      </c>
      <c r="E29" s="75">
        <f>E28</f>
      </c>
      <c r="F29" s="75">
        <f>0.13+(0.18-0.13)*(A29-25)/7</f>
      </c>
      <c r="G29" s="75">
        <f>0.1*(A29+1-25)/8</f>
      </c>
      <c r="H29" s="76" t="str">
        <v>BOSS</v>
      </c>
      <c r="I29" s="76"/>
      <c r="J29" t="str">
        <v>(0,0.148571428571428,0.4,0.25,0.151428571428571,0.05)</v>
      </c>
    </row>
    <row r="30">
      <c r="A30" s="12">
        <v>29</v>
      </c>
      <c r="B30" s="75">
        <v>0</v>
      </c>
      <c r="C30" s="75">
        <f>1-SUM(D30:G30)</f>
      </c>
      <c r="D30" s="75">
        <f>D29</f>
      </c>
      <c r="E30" s="75">
        <f>E29</f>
      </c>
      <c r="F30" s="75">
        <f>0.13+(0.18-0.13)*(A30-25)/7</f>
      </c>
      <c r="G30" s="75">
        <f>0.1*(A30+1-25)/8</f>
      </c>
      <c r="H30" s="76" t="str">
        <v>P4 开始</v>
      </c>
      <c r="I30" s="76"/>
      <c r="J30" t="str">
        <v>(0,0.128928571428571,0.4,0.25,0.158571428571429,0.0625)</v>
      </c>
    </row>
    <row r="31">
      <c r="A31" s="12">
        <v>30</v>
      </c>
      <c r="B31" s="75">
        <v>0</v>
      </c>
      <c r="C31" s="75">
        <f>1-SUM(D31:G31)</f>
      </c>
      <c r="D31" s="75">
        <f>D30</f>
      </c>
      <c r="E31" s="75">
        <f>E30</f>
      </c>
      <c r="F31" s="75">
        <f>0.13+(0.18-0.13)*(A31-25)/7</f>
      </c>
      <c r="G31" s="75">
        <f>0.1*(A31+1-25)/8</f>
      </c>
      <c r="H31" s="76"/>
      <c r="I31" s="76"/>
      <c r="J31" t="str">
        <v>(0,0.109285714285714,0.4,0.25,0.165714285714286,0.075)</v>
      </c>
    </row>
    <row r="32">
      <c r="A32" s="12">
        <v>31</v>
      </c>
      <c r="B32" s="75">
        <v>0</v>
      </c>
      <c r="C32" s="75">
        <f>1-SUM(D32:G32)</f>
      </c>
      <c r="D32" s="75">
        <f>D31</f>
      </c>
      <c r="E32" s="75">
        <f>E31</f>
      </c>
      <c r="F32" s="75">
        <f>0.13+(0.18-0.13)*(A32-25)/7</f>
      </c>
      <c r="G32" s="75">
        <f>0.1*(A32+1-25)/8</f>
      </c>
      <c r="H32" s="76"/>
      <c r="I32" s="76"/>
      <c r="J32" t="str">
        <v>(0,0.0896428571428571,0.4,0.25,0.172857142857143,0.0875)</v>
      </c>
    </row>
    <row r="33">
      <c r="A33" s="81">
        <v>32</v>
      </c>
      <c r="B33" s="78">
        <v>0</v>
      </c>
      <c r="C33" s="78">
        <f>1-SUM(D33:G33)</f>
      </c>
      <c r="D33" s="78">
        <f>D32</f>
      </c>
      <c r="E33" s="78">
        <f>E32</f>
      </c>
      <c r="F33" s="79">
        <f>0.13+(0.18-0.13)*(A33-25)/7</f>
      </c>
      <c r="G33" s="79">
        <f>0.1*(A33+1-25)/8</f>
      </c>
      <c r="H33" s="80" t="str">
        <v>BOSS</v>
      </c>
      <c r="I33" s="80" t="str">
        <v>Lv.4 达到边际；Lv.5 达到平衡</v>
      </c>
      <c r="J33" t="str">
        <v>(0,0.07,0.4,0.25,0.18,0.1)</v>
      </c>
    </row>
    <row r="34">
      <c r="A34" s="12">
        <v>33</v>
      </c>
      <c r="B34" s="75">
        <v>0</v>
      </c>
      <c r="C34" s="75">
        <f>1-SUM(D34:G34)</f>
      </c>
      <c r="D34" s="75">
        <f>D33</f>
      </c>
      <c r="E34" s="75">
        <f>E33</f>
      </c>
      <c r="F34" s="75">
        <f>F33</f>
      </c>
      <c r="G34" s="75">
        <f>0.1+(0.13-0.1)*(A34-32)/7</f>
      </c>
      <c r="H34" s="76"/>
      <c r="I34" s="76" t="str">
        <v>Lv.4 锁定在 18% (垃圾区)</v>
      </c>
      <c r="J34" t="str">
        <v>(0,0.0657142857142856,0.4,0.25,0.18,0.104285714285714)</v>
      </c>
    </row>
    <row r="35">
      <c r="A35" s="12">
        <v>34</v>
      </c>
      <c r="B35" s="75">
        <v>0</v>
      </c>
      <c r="C35" s="75">
        <f>1-SUM(D35:G35)</f>
      </c>
      <c r="D35" s="75">
        <f>D34</f>
      </c>
      <c r="E35" s="75">
        <f>E34</f>
      </c>
      <c r="F35" s="75">
        <f>F34</f>
      </c>
      <c r="G35" s="75">
        <f>0.1+(0.13-0.1)*(A35-32)/7</f>
      </c>
      <c r="H35" s="76"/>
      <c r="I35" s="76"/>
      <c r="J35" t="str">
        <v>(0,0.0614285714285714,0.4,0.25,0.18,0.108571428571429)</v>
      </c>
    </row>
    <row r="36">
      <c r="A36" s="12">
        <v>35</v>
      </c>
      <c r="B36" s="75">
        <v>0</v>
      </c>
      <c r="C36" s="75">
        <f>1-SUM(D36:G36)</f>
      </c>
      <c r="D36" s="75">
        <f>D35</f>
      </c>
      <c r="E36" s="75">
        <f>E35</f>
      </c>
      <c r="F36" s="75">
        <f>F35</f>
      </c>
      <c r="G36" s="75">
        <f>0.1+(0.13-0.1)*(A36-32)/7</f>
      </c>
      <c r="H36" s="12"/>
      <c r="I36" s="76"/>
      <c r="J36" t="str">
        <v>(0,0.0571428571428571,0.4,0.25,0.18,0.112857142857143)</v>
      </c>
    </row>
    <row r="37">
      <c r="A37" s="12">
        <v>36</v>
      </c>
      <c r="B37" s="75">
        <v>0</v>
      </c>
      <c r="C37" s="75">
        <f>1-SUM(D37:G37)</f>
      </c>
      <c r="D37" s="75">
        <f>D36</f>
      </c>
      <c r="E37" s="75">
        <f>E36</f>
      </c>
      <c r="F37" s="75">
        <f>F36</f>
      </c>
      <c r="G37" s="75">
        <f>0.1+(0.13-0.1)*(A37-32)/7</f>
      </c>
      <c r="H37" s="76"/>
      <c r="I37" s="76"/>
      <c r="J37" t="str">
        <v>(0,0.0528571428571428,0.4,0.25,0.18,0.117142857142857)</v>
      </c>
    </row>
    <row r="38">
      <c r="A38" s="12">
        <v>37</v>
      </c>
      <c r="B38" s="75">
        <v>0</v>
      </c>
      <c r="C38" s="75">
        <f>1-SUM(D38:G38)</f>
      </c>
      <c r="D38" s="75">
        <f>D37</f>
      </c>
      <c r="E38" s="75">
        <f>E37</f>
      </c>
      <c r="F38" s="75">
        <f>F37</f>
      </c>
      <c r="G38" s="75">
        <f>0.1+(0.13-0.1)*(A38-32)/7</f>
      </c>
      <c r="H38" s="76"/>
      <c r="I38" s="76"/>
      <c r="J38" t="str">
        <v>(0,0.0485714285714285,0.4,0.25,0.18,0.121428571428571)</v>
      </c>
    </row>
    <row r="39">
      <c r="A39" s="12">
        <v>38</v>
      </c>
      <c r="B39" s="75">
        <v>0</v>
      </c>
      <c r="C39" s="75">
        <f>1-SUM(D39:G39)</f>
      </c>
      <c r="D39" s="75">
        <f>D38</f>
      </c>
      <c r="E39" s="75">
        <f>E38</f>
      </c>
      <c r="F39" s="75">
        <f>F38</f>
      </c>
      <c r="G39" s="75">
        <f>0.1+(0.13-0.1)*(A39-32)/7</f>
      </c>
      <c r="H39" s="76"/>
      <c r="I39" s="76"/>
      <c r="J39" t="str">
        <v>(0,0.0442857142857143,0.4,0.25,0.18,0.125714285714286)</v>
      </c>
    </row>
    <row r="40">
      <c r="A40" s="81">
        <v>39</v>
      </c>
      <c r="B40" s="78">
        <v>0</v>
      </c>
      <c r="C40" s="78">
        <f>1-SUM(D40:G40)</f>
      </c>
      <c r="D40" s="78">
        <f>D39</f>
      </c>
      <c r="E40" s="78">
        <f>E39</f>
      </c>
      <c r="F40" s="78">
        <f>F39</f>
      </c>
      <c r="G40" s="79">
        <f>0.1+(0.13-0.1)*(A40-32)/7</f>
      </c>
      <c r="H40" s="80" t="str">
        <v>BOSS</v>
      </c>
      <c r="I40" s="80"/>
      <c r="J40" t="str">
        <v>(0,0.0399999999999999,0.4,0.25,0.18,0.13)</v>
      </c>
    </row>
    <row r="41">
      <c r="A41" s="81">
        <v>40</v>
      </c>
      <c r="B41" s="78">
        <v>0</v>
      </c>
      <c r="C41" s="78">
        <f>1-SUM(D41:G41)</f>
      </c>
      <c r="D41" s="78">
        <f>D40</f>
      </c>
      <c r="E41" s="78">
        <f>E40</f>
      </c>
      <c r="F41" s="78">
        <f>F40</f>
      </c>
      <c r="G41" s="78">
        <f>G40</f>
      </c>
      <c r="H41" s="80" t="str">
        <v>BOSS</v>
      </c>
      <c r="I41" s="80" t="str">
        <v>Lv.5 锁定在 13% (垃圾区)。</v>
      </c>
      <c r="J41" t="str">
        <v>(0,0.0399999999999999,0.4,0.25,0.18,0.13)</v>
      </c>
    </row>
    <row r="42">
      <c r="A42" s="12"/>
      <c r="B42" s="77"/>
      <c r="C42" s="77"/>
      <c r="D42" s="77"/>
      <c r="E42" s="77"/>
      <c r="F42" s="77"/>
      <c r="G42" s="77"/>
      <c r="H42" s="12"/>
      <c r="I42" s="12"/>
      <c r="J42" t="str"/>
    </row>
    <row r="43">
      <c r="A43" s="12"/>
      <c r="B43" s="77"/>
      <c r="C43" s="77"/>
      <c r="D43" s="77"/>
      <c r="E43" s="77"/>
      <c r="F43" s="77"/>
      <c r="G43" s="77"/>
      <c r="H43" s="12"/>
      <c r="I43" s="12"/>
      <c r="J43" t="str"/>
    </row>
    <row r="44">
      <c r="A44" s="12"/>
      <c r="B44" s="77"/>
      <c r="C44" s="77"/>
      <c r="D44" s="77"/>
      <c r="E44" s="77"/>
      <c r="F44" s="77"/>
      <c r="G44" s="77"/>
      <c r="H44" s="12"/>
      <c r="I44" s="12"/>
      <c r="J44" t="str"/>
    </row>
    <row r="45">
      <c r="A45" s="12"/>
      <c r="B45" s="77"/>
      <c r="C45" s="77"/>
      <c r="D45" s="77"/>
      <c r="E45" s="77"/>
      <c r="F45" s="77"/>
      <c r="G45" s="77"/>
      <c r="H45" s="12"/>
      <c r="I45" s="12"/>
      <c r="J45" t="str"/>
    </row>
    <row r="46">
      <c r="A46" s="12"/>
      <c r="B46" s="77"/>
      <c r="C46" s="77"/>
      <c r="D46" s="77"/>
      <c r="E46" s="77"/>
      <c r="F46" s="77"/>
      <c r="G46" s="77"/>
      <c r="H46" s="12"/>
      <c r="I46" s="12"/>
      <c r="J46" t="str"/>
    </row>
    <row r="47">
      <c r="A47" s="12"/>
      <c r="B47" s="77"/>
      <c r="C47" s="77"/>
      <c r="D47" s="77"/>
      <c r="E47" s="77"/>
      <c r="F47" s="77"/>
      <c r="G47" s="77"/>
      <c r="H47" s="12"/>
      <c r="I47" s="12"/>
      <c r="J47" t="str"/>
    </row>
    <row r="48">
      <c r="A48" s="12"/>
      <c r="B48" s="77"/>
      <c r="C48" s="77"/>
      <c r="D48" s="77"/>
      <c r="E48" s="77"/>
      <c r="F48" s="77"/>
      <c r="G48" s="77"/>
      <c r="H48" s="12"/>
      <c r="I48" s="12"/>
      <c r="J48" t="str"/>
    </row>
    <row r="49">
      <c r="A49" s="12"/>
      <c r="B49" s="77"/>
      <c r="C49" s="77"/>
      <c r="D49" s="77"/>
      <c r="E49" s="77"/>
      <c r="F49" s="77"/>
      <c r="G49" s="77"/>
      <c r="H49" s="12"/>
      <c r="I49" s="12"/>
      <c r="J49" t="str"/>
    </row>
    <row r="50">
      <c r="A50" s="12"/>
      <c r="B50" s="77"/>
      <c r="C50" s="77"/>
      <c r="D50" s="77"/>
      <c r="E50" s="77"/>
      <c r="F50" s="77"/>
      <c r="G50" s="77"/>
      <c r="H50" s="12"/>
      <c r="I50" s="12"/>
      <c r="J50" t="str"/>
    </row>
    <row r="51">
      <c r="A51" s="12"/>
      <c r="B51" s="77"/>
      <c r="C51" s="77"/>
      <c r="D51" s="77"/>
      <c r="E51" s="77"/>
      <c r="F51" s="77"/>
      <c r="G51" s="77"/>
      <c r="H51" s="12"/>
      <c r="I51" s="12"/>
      <c r="J51" t="str"/>
    </row>
    <row r="52">
      <c r="A52" s="12"/>
      <c r="B52" s="77"/>
      <c r="C52" s="77"/>
      <c r="D52" s="77"/>
      <c r="E52" s="77"/>
      <c r="F52" s="77"/>
      <c r="G52" s="77"/>
      <c r="H52" s="12"/>
      <c r="I52" s="12"/>
      <c r="J52" t="str"/>
    </row>
    <row r="53">
      <c r="A53" s="12"/>
      <c r="B53" s="77"/>
      <c r="C53" s="77"/>
      <c r="D53" s="77"/>
      <c r="E53" s="77"/>
      <c r="F53" s="77"/>
      <c r="G53" s="77"/>
      <c r="H53" s="12"/>
      <c r="I53" s="12"/>
      <c r="J53" t="str"/>
    </row>
    <row r="54">
      <c r="A54" s="12"/>
      <c r="B54" s="77"/>
      <c r="C54" s="77"/>
      <c r="D54" s="77"/>
      <c r="E54" s="77"/>
      <c r="F54" s="77"/>
      <c r="G54" s="77"/>
      <c r="H54" s="12"/>
      <c r="I54" s="12"/>
      <c r="J54" t="str"/>
    </row>
    <row r="55">
      <c r="A55" s="12"/>
      <c r="B55" s="77"/>
      <c r="C55" s="77"/>
      <c r="D55" s="77"/>
      <c r="E55" s="77"/>
      <c r="F55" s="77"/>
      <c r="G55" s="77"/>
      <c r="H55" s="12"/>
      <c r="I55" s="12"/>
      <c r="J55" t="str"/>
    </row>
    <row r="56">
      <c r="A56" s="12"/>
      <c r="B56" s="77"/>
      <c r="C56" s="77"/>
      <c r="D56" s="77"/>
      <c r="E56" s="77"/>
      <c r="F56" s="77"/>
      <c r="G56" s="77"/>
      <c r="H56" s="12"/>
      <c r="I56" s="12"/>
      <c r="J56" t="str"/>
    </row>
    <row r="57">
      <c r="A57" s="12"/>
      <c r="B57" s="77"/>
      <c r="C57" s="77"/>
      <c r="D57" s="77"/>
      <c r="E57" s="77"/>
      <c r="F57" s="77"/>
      <c r="G57" s="77"/>
      <c r="H57" s="12"/>
      <c r="I57" s="12"/>
      <c r="J57" t="str"/>
    </row>
    <row r="58">
      <c r="A58" s="12"/>
      <c r="B58" s="77"/>
      <c r="C58" s="77"/>
      <c r="D58" s="77"/>
      <c r="E58" s="77"/>
      <c r="F58" s="77"/>
      <c r="G58" s="77"/>
      <c r="H58" s="12"/>
      <c r="I58" s="12"/>
      <c r="J58" t="str"/>
    </row>
    <row r="59">
      <c r="A59" s="12"/>
      <c r="B59" s="77"/>
      <c r="C59" s="77"/>
      <c r="D59" s="77"/>
      <c r="E59" s="77"/>
      <c r="F59" s="77"/>
      <c r="G59" s="77"/>
      <c r="H59" s="12"/>
      <c r="I59" s="12"/>
      <c r="J59" t="str"/>
    </row>
    <row r="60">
      <c r="A60" s="12"/>
      <c r="B60" s="77"/>
      <c r="C60" s="77"/>
      <c r="D60" s="77"/>
      <c r="E60" s="77"/>
      <c r="F60" s="77"/>
      <c r="G60" s="77"/>
      <c r="H60" s="12"/>
      <c r="I60" s="12"/>
      <c r="J60" t="str"/>
    </row>
    <row r="61">
      <c r="A61" s="12"/>
      <c r="B61" s="77"/>
      <c r="C61" s="77"/>
      <c r="D61" s="77"/>
      <c r="E61" s="77"/>
      <c r="F61" s="77"/>
      <c r="G61" s="77"/>
      <c r="H61" s="12"/>
      <c r="I61" s="12"/>
      <c r="J61" t="str"/>
    </row>
    <row r="62">
      <c r="A62" s="12"/>
      <c r="B62" s="77"/>
      <c r="C62" s="77"/>
      <c r="D62" s="77"/>
      <c r="E62" s="77"/>
      <c r="F62" s="77"/>
      <c r="G62" s="77"/>
      <c r="H62" s="12"/>
      <c r="I62" s="12"/>
      <c r="J62" t="str"/>
    </row>
    <row r="63">
      <c r="A63" s="12"/>
      <c r="B63" s="77"/>
      <c r="C63" s="77"/>
      <c r="D63" s="77"/>
      <c r="E63" s="77"/>
      <c r="F63" s="77"/>
      <c r="G63" s="77"/>
      <c r="H63" s="12"/>
      <c r="I63" s="12"/>
      <c r="J63" t="str"/>
    </row>
    <row r="64">
      <c r="A64" s="12"/>
      <c r="B64" s="77"/>
      <c r="C64" s="77"/>
      <c r="D64" s="77"/>
      <c r="E64" s="77"/>
      <c r="F64" s="77"/>
      <c r="G64" s="77"/>
      <c r="H64" s="12"/>
      <c r="I64" s="12"/>
      <c r="J64" t="str"/>
    </row>
    <row r="65">
      <c r="A65" s="12"/>
      <c r="B65" s="77"/>
      <c r="C65" s="77"/>
      <c r="D65" s="77"/>
      <c r="E65" s="77"/>
      <c r="F65" s="77"/>
      <c r="G65" s="77"/>
      <c r="H65" s="12"/>
      <c r="I65" s="12"/>
      <c r="J65" t="str"/>
    </row>
    <row r="66">
      <c r="A66" s="12"/>
      <c r="B66" s="77"/>
      <c r="C66" s="77"/>
      <c r="D66" s="77"/>
      <c r="E66" s="77"/>
      <c r="F66" s="77"/>
      <c r="G66" s="77"/>
      <c r="H66" s="12"/>
      <c r="I66" s="12"/>
      <c r="J66" t="str"/>
    </row>
    <row r="67">
      <c r="A67" s="12"/>
      <c r="B67" s="77"/>
      <c r="C67" s="77"/>
      <c r="D67" s="77"/>
      <c r="E67" s="77"/>
      <c r="F67" s="77"/>
      <c r="G67" s="77"/>
      <c r="H67" s="12"/>
      <c r="I67" s="12"/>
      <c r="J67" t="str"/>
    </row>
    <row r="68">
      <c r="A68" s="12"/>
      <c r="B68" s="77"/>
      <c r="C68" s="77"/>
      <c r="D68" s="77"/>
      <c r="E68" s="77"/>
      <c r="F68" s="77"/>
      <c r="G68" s="77"/>
      <c r="H68" s="12"/>
      <c r="I68" s="12"/>
      <c r="J68" t="str"/>
    </row>
    <row r="69">
      <c r="A69" s="12"/>
      <c r="B69" s="77"/>
      <c r="C69" s="77"/>
      <c r="D69" s="77"/>
      <c r="E69" s="77"/>
      <c r="F69" s="77"/>
      <c r="G69" s="77"/>
      <c r="H69" s="12"/>
      <c r="I69" s="12"/>
      <c r="J69" t="str"/>
    </row>
    <row r="70">
      <c r="A70" s="12"/>
      <c r="B70" s="77"/>
      <c r="C70" s="77"/>
      <c r="D70" s="77"/>
      <c r="E70" s="77"/>
      <c r="F70" s="77"/>
      <c r="G70" s="77"/>
      <c r="H70" s="12"/>
      <c r="I70" s="12"/>
      <c r="J70" t="str"/>
    </row>
    <row r="71">
      <c r="A71" s="12"/>
      <c r="B71" s="77"/>
      <c r="C71" s="77"/>
      <c r="D71" s="77"/>
      <c r="E71" s="77"/>
      <c r="F71" s="77"/>
      <c r="G71" s="77"/>
      <c r="H71" s="12"/>
      <c r="I71" s="12"/>
      <c r="J71" t="str"/>
    </row>
    <row r="72">
      <c r="A72" s="12"/>
      <c r="B72" s="77"/>
      <c r="C72" s="77"/>
      <c r="D72" s="77"/>
      <c r="E72" s="77"/>
      <c r="F72" s="77"/>
      <c r="G72" s="77"/>
      <c r="H72" s="12"/>
      <c r="I72" s="12"/>
      <c r="J72" t="str"/>
    </row>
    <row r="73">
      <c r="A73" s="12"/>
      <c r="B73" s="77"/>
      <c r="C73" s="77"/>
      <c r="D73" s="77"/>
      <c r="E73" s="77"/>
      <c r="F73" s="77"/>
      <c r="G73" s="77"/>
      <c r="H73" s="12"/>
      <c r="I73" s="12"/>
      <c r="J73" t="str"/>
    </row>
    <row r="74">
      <c r="A74" s="12"/>
      <c r="B74" s="77"/>
      <c r="C74" s="77"/>
      <c r="D74" s="77"/>
      <c r="E74" s="77"/>
      <c r="F74" s="77"/>
      <c r="G74" s="77"/>
      <c r="H74" s="12"/>
      <c r="I74" s="12"/>
      <c r="J74" t="str"/>
    </row>
    <row r="75">
      <c r="A75" s="12"/>
      <c r="B75" s="77"/>
      <c r="C75" s="77"/>
      <c r="D75" s="77"/>
      <c r="E75" s="77"/>
      <c r="F75" s="77"/>
      <c r="G75" s="77"/>
      <c r="H75" s="12"/>
      <c r="I75" s="12"/>
      <c r="J75" t="str"/>
    </row>
    <row r="76">
      <c r="A76" s="12"/>
      <c r="B76" s="77"/>
      <c r="C76" s="77"/>
      <c r="D76" s="77"/>
      <c r="E76" s="77"/>
      <c r="F76" s="77"/>
      <c r="G76" s="77"/>
      <c r="H76" s="12"/>
      <c r="I76" s="12"/>
      <c r="J76" t="str"/>
    </row>
    <row r="77">
      <c r="A77" s="12"/>
      <c r="B77" s="77"/>
      <c r="C77" s="77"/>
      <c r="D77" s="77"/>
      <c r="E77" s="77"/>
      <c r="F77" s="77"/>
      <c r="G77" s="77"/>
      <c r="H77" s="12"/>
      <c r="I77" s="12"/>
      <c r="J77" t="str"/>
    </row>
    <row r="78">
      <c r="A78" s="12"/>
      <c r="B78" s="77"/>
      <c r="C78" s="77"/>
      <c r="D78" s="77"/>
      <c r="E78" s="77"/>
      <c r="F78" s="77"/>
      <c r="G78" s="77"/>
      <c r="H78" s="12"/>
      <c r="I78" s="12"/>
      <c r="J78" t="str"/>
    </row>
    <row r="79">
      <c r="A79" s="12"/>
      <c r="B79" s="77"/>
      <c r="C79" s="77"/>
      <c r="D79" s="77"/>
      <c r="E79" s="77"/>
      <c r="F79" s="77"/>
      <c r="G79" s="77"/>
      <c r="H79" s="12"/>
      <c r="I79" s="12"/>
      <c r="J79" t="str"/>
    </row>
    <row r="80">
      <c r="A80" s="12"/>
      <c r="B80" s="77"/>
      <c r="C80" s="77"/>
      <c r="D80" s="77"/>
      <c r="E80" s="77"/>
      <c r="F80" s="77"/>
      <c r="G80" s="77"/>
      <c r="H80" s="12"/>
      <c r="I80" s="12"/>
      <c r="J80" t="str"/>
    </row>
    <row r="81">
      <c r="A81" s="12"/>
      <c r="B81" s="77"/>
      <c r="C81" s="77"/>
      <c r="D81" s="77"/>
      <c r="E81" s="77"/>
      <c r="F81" s="77"/>
      <c r="G81" s="77"/>
      <c r="H81" s="12"/>
      <c r="I81" s="12"/>
      <c r="J81" t="str"/>
    </row>
    <row r="82">
      <c r="A82" s="12"/>
      <c r="B82" s="77"/>
      <c r="C82" s="77"/>
      <c r="D82" s="77"/>
      <c r="E82" s="77"/>
      <c r="F82" s="77"/>
      <c r="G82" s="77"/>
      <c r="H82" s="12"/>
      <c r="I82" s="12"/>
      <c r="J82" t="str"/>
    </row>
    <row r="83">
      <c r="A83" s="12"/>
      <c r="B83" s="77"/>
      <c r="C83" s="77"/>
      <c r="D83" s="77"/>
      <c r="E83" s="77"/>
      <c r="F83" s="77"/>
      <c r="G83" s="77"/>
      <c r="H83" s="12"/>
      <c r="I83" s="12"/>
      <c r="J83" t="str"/>
    </row>
    <row r="84">
      <c r="A84" s="12"/>
      <c r="B84" s="77"/>
      <c r="C84" s="77"/>
      <c r="D84" s="77"/>
      <c r="E84" s="77"/>
      <c r="F84" s="77"/>
      <c r="G84" s="77"/>
      <c r="H84" s="12"/>
      <c r="I84" s="12"/>
      <c r="J84" t="str"/>
    </row>
    <row r="85">
      <c r="A85" s="12"/>
      <c r="B85" s="77"/>
      <c r="C85" s="77"/>
      <c r="D85" s="77"/>
      <c r="E85" s="77"/>
      <c r="F85" s="77"/>
      <c r="G85" s="77"/>
      <c r="H85" s="12"/>
      <c r="I85" s="12"/>
      <c r="J85" t="str"/>
    </row>
    <row r="86">
      <c r="A86" s="12"/>
      <c r="B86" s="77"/>
      <c r="C86" s="77"/>
      <c r="D86" s="77"/>
      <c r="E86" s="77"/>
      <c r="F86" s="77"/>
      <c r="G86" s="77"/>
      <c r="H86" s="12"/>
      <c r="I86" s="12"/>
      <c r="J86" t="str"/>
    </row>
    <row r="87">
      <c r="A87" s="12"/>
      <c r="B87" s="77"/>
      <c r="C87" s="77"/>
      <c r="D87" s="77"/>
      <c r="E87" s="77"/>
      <c r="F87" s="77"/>
      <c r="G87" s="77"/>
      <c r="H87" s="12"/>
      <c r="I87" s="12"/>
      <c r="J87" t="str"/>
    </row>
    <row r="88">
      <c r="A88" s="12"/>
      <c r="B88" s="77"/>
      <c r="C88" s="77"/>
      <c r="D88" s="77"/>
      <c r="E88" s="77"/>
      <c r="F88" s="77"/>
      <c r="G88" s="77"/>
      <c r="H88" s="12"/>
      <c r="I88" s="12"/>
      <c r="J88" t="str"/>
    </row>
    <row r="89">
      <c r="A89" s="12"/>
      <c r="B89" s="77"/>
      <c r="C89" s="77"/>
      <c r="D89" s="77"/>
      <c r="E89" s="77"/>
      <c r="F89" s="77"/>
      <c r="G89" s="77"/>
      <c r="H89" s="12"/>
      <c r="I89" s="12"/>
      <c r="J89" t="str"/>
    </row>
    <row r="90">
      <c r="A90" s="12"/>
      <c r="B90" s="77"/>
      <c r="C90" s="77"/>
      <c r="D90" s="77"/>
      <c r="E90" s="77"/>
      <c r="F90" s="77"/>
      <c r="G90" s="77"/>
      <c r="H90" s="12"/>
      <c r="I90" s="12"/>
      <c r="J90" t="str"/>
    </row>
    <row r="91">
      <c r="A91" s="12"/>
      <c r="B91" s="77"/>
      <c r="C91" s="77"/>
      <c r="D91" s="77"/>
      <c r="E91" s="77"/>
      <c r="F91" s="77"/>
      <c r="G91" s="77"/>
      <c r="H91" s="12"/>
      <c r="I91" s="12"/>
      <c r="J91" t="str"/>
    </row>
    <row r="92">
      <c r="A92" s="12"/>
      <c r="B92" s="77"/>
      <c r="C92" s="77"/>
      <c r="D92" s="77"/>
      <c r="E92" s="77"/>
      <c r="F92" s="77"/>
      <c r="G92" s="77"/>
      <c r="H92" s="12"/>
      <c r="I92" s="12"/>
      <c r="J92" t="str"/>
    </row>
    <row r="93">
      <c r="A93" s="12"/>
      <c r="B93" s="77"/>
      <c r="C93" s="77"/>
      <c r="D93" s="77"/>
      <c r="E93" s="77"/>
      <c r="F93" s="77"/>
      <c r="G93" s="77"/>
      <c r="H93" s="12"/>
      <c r="I93" s="12"/>
      <c r="J93" t="str"/>
    </row>
    <row r="94">
      <c r="A94" s="12"/>
      <c r="B94" s="77"/>
      <c r="C94" s="77"/>
      <c r="D94" s="77"/>
      <c r="E94" s="77"/>
      <c r="F94" s="77"/>
      <c r="G94" s="77"/>
      <c r="H94" s="12"/>
      <c r="I94" s="12"/>
      <c r="J94" t="str"/>
    </row>
    <row r="95">
      <c r="A95" s="12"/>
      <c r="B95" s="77"/>
      <c r="C95" s="77"/>
      <c r="D95" s="77"/>
      <c r="E95" s="77"/>
      <c r="F95" s="77"/>
      <c r="G95" s="77"/>
      <c r="H95" s="12"/>
      <c r="I95" s="12"/>
      <c r="J95" t="str"/>
    </row>
    <row r="96">
      <c r="A96" s="12"/>
      <c r="B96" s="77"/>
      <c r="C96" s="77"/>
      <c r="D96" s="77"/>
      <c r="E96" s="77"/>
      <c r="F96" s="77"/>
      <c r="G96" s="77"/>
      <c r="H96" s="12"/>
      <c r="I96" s="12"/>
      <c r="J96" t="str"/>
    </row>
    <row r="97">
      <c r="A97" s="12"/>
      <c r="B97" s="77"/>
      <c r="C97" s="77"/>
      <c r="D97" s="77"/>
      <c r="E97" s="77"/>
      <c r="F97" s="77"/>
      <c r="G97" s="77"/>
      <c r="H97" s="12"/>
      <c r="I97" s="12"/>
      <c r="J97" t="str"/>
    </row>
    <row r="98">
      <c r="A98" s="12"/>
      <c r="B98" s="77"/>
      <c r="C98" s="77"/>
      <c r="D98" s="77"/>
      <c r="E98" s="77"/>
      <c r="F98" s="77"/>
      <c r="G98" s="77"/>
      <c r="H98" s="12"/>
      <c r="I98" s="12"/>
      <c r="J98" t="str"/>
    </row>
    <row r="99">
      <c r="A99" s="12"/>
      <c r="B99" s="77"/>
      <c r="C99" s="77"/>
      <c r="D99" s="77"/>
      <c r="E99" s="77"/>
      <c r="F99" s="77"/>
      <c r="G99" s="77"/>
      <c r="H99" s="12"/>
      <c r="I99" s="12"/>
      <c r="J99" t="str"/>
    </row>
    <row r="100">
      <c r="A100" s="12"/>
      <c r="B100" s="77"/>
      <c r="C100" s="77"/>
      <c r="D100" s="77"/>
      <c r="E100" s="77"/>
      <c r="F100" s="77"/>
      <c r="G100" s="77"/>
      <c r="H100" s="12"/>
      <c r="I100" s="12"/>
      <c r="J100" t="str"/>
    </row>
    <row r="101">
      <c r="A101" s="12"/>
      <c r="B101" s="77"/>
      <c r="C101" s="77"/>
      <c r="D101" s="77"/>
      <c r="E101" s="77"/>
      <c r="F101" s="77"/>
      <c r="G101" s="77"/>
      <c r="H101" s="12"/>
      <c r="I101" s="12"/>
    </row>
    <row r="102">
      <c r="A102" s="12"/>
      <c r="B102" s="77"/>
      <c r="C102" s="77"/>
      <c r="D102" s="77"/>
      <c r="E102" s="77"/>
      <c r="F102" s="77"/>
      <c r="G102" s="77"/>
      <c r="H102" s="12"/>
      <c r="I102" s="12"/>
    </row>
    <row r="103">
      <c r="A103" s="12"/>
      <c r="B103" s="77"/>
      <c r="C103" s="77"/>
      <c r="D103" s="77"/>
      <c r="E103" s="77"/>
      <c r="F103" s="77"/>
      <c r="G103" s="77"/>
      <c r="H103" s="12"/>
      <c r="I103" s="12"/>
    </row>
    <row r="104">
      <c r="A104" s="12"/>
      <c r="B104" s="77"/>
      <c r="C104" s="77"/>
      <c r="D104" s="77"/>
      <c r="E104" s="77"/>
      <c r="F104" s="77"/>
      <c r="G104" s="77"/>
      <c r="H104" s="12"/>
      <c r="I104" s="12"/>
    </row>
    <row r="105">
      <c r="A105" s="12"/>
      <c r="B105" s="77"/>
      <c r="C105" s="77"/>
      <c r="D105" s="77"/>
      <c r="E105" s="77"/>
      <c r="F105" s="77"/>
      <c r="G105" s="77"/>
      <c r="H105" s="12"/>
      <c r="I105" s="12"/>
    </row>
    <row r="106">
      <c r="A106" s="12"/>
      <c r="B106" s="77"/>
      <c r="C106" s="77"/>
      <c r="D106" s="77"/>
      <c r="E106" s="77"/>
      <c r="F106" s="77"/>
      <c r="G106" s="77"/>
      <c r="H106" s="12"/>
      <c r="I106" s="12"/>
    </row>
    <row r="107">
      <c r="A107" s="12"/>
      <c r="B107" s="77"/>
      <c r="C107" s="77"/>
      <c r="D107" s="77"/>
      <c r="E107" s="77"/>
      <c r="F107" s="77"/>
      <c r="G107" s="77"/>
      <c r="H107" s="12"/>
      <c r="I107" s="12"/>
    </row>
    <row r="108">
      <c r="A108" s="12"/>
      <c r="B108" s="77"/>
      <c r="C108" s="77"/>
      <c r="D108" s="77"/>
      <c r="E108" s="77"/>
      <c r="F108" s="77"/>
      <c r="G108" s="77"/>
      <c r="H108" s="12"/>
      <c r="I108" s="12"/>
    </row>
    <row r="109">
      <c r="A109" s="12"/>
      <c r="B109" s="77"/>
      <c r="C109" s="77"/>
      <c r="D109" s="77"/>
      <c r="E109" s="77"/>
      <c r="F109" s="77"/>
      <c r="G109" s="77"/>
      <c r="H109" s="12"/>
      <c r="I109" s="12"/>
    </row>
    <row r="110">
      <c r="A110" s="12"/>
      <c r="B110" s="77"/>
      <c r="C110" s="77"/>
      <c r="D110" s="77"/>
      <c r="E110" s="77"/>
      <c r="F110" s="77"/>
      <c r="G110" s="77"/>
      <c r="H110" s="12"/>
      <c r="I110" s="12"/>
    </row>
    <row r="111">
      <c r="A111" s="12"/>
      <c r="B111" s="77"/>
      <c r="C111" s="77"/>
      <c r="D111" s="77"/>
      <c r="E111" s="77"/>
      <c r="F111" s="77"/>
      <c r="G111" s="77"/>
      <c r="H111" s="12"/>
      <c r="I111" s="12"/>
    </row>
    <row r="112">
      <c r="A112" s="12"/>
      <c r="B112" s="77"/>
      <c r="C112" s="77"/>
      <c r="D112" s="77"/>
      <c r="E112" s="77"/>
      <c r="F112" s="77"/>
      <c r="G112" s="77"/>
      <c r="H112" s="12"/>
      <c r="I112" s="12"/>
    </row>
    <row r="113">
      <c r="A113" s="12"/>
      <c r="B113" s="77"/>
      <c r="C113" s="77"/>
      <c r="D113" s="77"/>
      <c r="E113" s="77"/>
      <c r="F113" s="77"/>
      <c r="G113" s="77"/>
      <c r="H113" s="12"/>
      <c r="I113" s="12"/>
    </row>
    <row r="114">
      <c r="A114" s="12"/>
      <c r="B114" s="77"/>
      <c r="C114" s="77"/>
      <c r="D114" s="77"/>
      <c r="E114" s="77"/>
      <c r="F114" s="77"/>
      <c r="G114" s="77"/>
      <c r="H114" s="12"/>
      <c r="I114" s="12"/>
    </row>
    <row r="115">
      <c r="A115" s="12"/>
      <c r="B115" s="77"/>
      <c r="C115" s="77"/>
      <c r="D115" s="77"/>
      <c r="E115" s="77"/>
      <c r="F115" s="77"/>
      <c r="G115" s="77"/>
      <c r="H115" s="12"/>
      <c r="I115" s="12"/>
    </row>
    <row r="116">
      <c r="A116" s="12"/>
      <c r="B116" s="77"/>
      <c r="C116" s="77"/>
      <c r="D116" s="77"/>
      <c r="E116" s="77"/>
      <c r="F116" s="77"/>
      <c r="G116" s="77"/>
      <c r="H116" s="12"/>
      <c r="I116" s="12"/>
    </row>
    <row r="117">
      <c r="A117" s="12"/>
      <c r="B117" s="77"/>
      <c r="C117" s="77"/>
      <c r="D117" s="77"/>
      <c r="E117" s="77"/>
      <c r="F117" s="77"/>
      <c r="G117" s="77"/>
      <c r="H117" s="12"/>
      <c r="I117" s="12"/>
    </row>
    <row r="118">
      <c r="A118" s="12"/>
      <c r="B118" s="77"/>
      <c r="C118" s="77"/>
      <c r="D118" s="77"/>
      <c r="E118" s="77"/>
      <c r="F118" s="77"/>
      <c r="G118" s="77"/>
      <c r="H118" s="12"/>
      <c r="I118" s="12"/>
    </row>
    <row r="119">
      <c r="A119" s="12"/>
      <c r="B119" s="77"/>
      <c r="C119" s="77"/>
      <c r="D119" s="77"/>
      <c r="E119" s="77"/>
      <c r="F119" s="77"/>
      <c r="G119" s="77"/>
      <c r="H119" s="12"/>
      <c r="I119" s="12"/>
    </row>
    <row r="120">
      <c r="A120" s="12"/>
      <c r="B120" s="77"/>
      <c r="C120" s="77"/>
      <c r="D120" s="77"/>
      <c r="E120" s="77"/>
      <c r="F120" s="77"/>
      <c r="G120" s="77"/>
      <c r="H120" s="12"/>
      <c r="I120" s="12"/>
    </row>
    <row r="121">
      <c r="A121" s="12"/>
      <c r="B121" s="77"/>
      <c r="C121" s="77"/>
      <c r="D121" s="77"/>
      <c r="E121" s="77"/>
      <c r="F121" s="77"/>
      <c r="G121" s="77"/>
      <c r="H121" s="12"/>
      <c r="I121" s="12"/>
    </row>
    <row r="122">
      <c r="A122" s="12"/>
      <c r="B122" s="77"/>
      <c r="C122" s="77"/>
      <c r="D122" s="77"/>
      <c r="E122" s="77"/>
      <c r="F122" s="77"/>
      <c r="G122" s="77"/>
      <c r="H122" s="12"/>
      <c r="I122" s="12"/>
    </row>
    <row r="123">
      <c r="A123" s="12"/>
      <c r="B123" s="77"/>
      <c r="C123" s="77"/>
      <c r="D123" s="77"/>
      <c r="E123" s="77"/>
      <c r="F123" s="77"/>
      <c r="G123" s="77"/>
      <c r="H123" s="12"/>
      <c r="I123" s="12"/>
    </row>
    <row r="124">
      <c r="A124" s="12"/>
      <c r="B124" s="77"/>
      <c r="C124" s="77"/>
      <c r="D124" s="77"/>
      <c r="E124" s="77"/>
      <c r="F124" s="77"/>
      <c r="G124" s="77"/>
      <c r="H124" s="12"/>
      <c r="I124" s="12"/>
    </row>
    <row r="125">
      <c r="A125" s="12"/>
      <c r="B125" s="77"/>
      <c r="C125" s="77"/>
      <c r="D125" s="77"/>
      <c r="E125" s="77"/>
      <c r="F125" s="77"/>
      <c r="G125" s="77"/>
      <c r="H125" s="12"/>
      <c r="I125" s="12"/>
    </row>
    <row r="126">
      <c r="A126" s="12"/>
      <c r="B126" s="77"/>
      <c r="C126" s="77"/>
      <c r="D126" s="77"/>
      <c r="E126" s="77"/>
      <c r="F126" s="77"/>
      <c r="G126" s="77"/>
      <c r="H126" s="12"/>
      <c r="I126" s="12"/>
    </row>
    <row r="127">
      <c r="A127" s="12"/>
      <c r="B127" s="77"/>
      <c r="C127" s="77"/>
      <c r="D127" s="77"/>
      <c r="E127" s="77"/>
      <c r="F127" s="77"/>
      <c r="G127" s="77"/>
      <c r="H127" s="12"/>
      <c r="I127" s="12"/>
    </row>
    <row r="128">
      <c r="A128" s="12"/>
      <c r="B128" s="77"/>
      <c r="C128" s="77"/>
      <c r="D128" s="77"/>
      <c r="E128" s="77"/>
      <c r="F128" s="77"/>
      <c r="G128" s="77"/>
      <c r="H128" s="12"/>
      <c r="I128" s="12"/>
    </row>
    <row r="129">
      <c r="A129" s="12"/>
      <c r="B129" s="77"/>
      <c r="C129" s="77"/>
      <c r="D129" s="77"/>
      <c r="E129" s="77"/>
      <c r="F129" s="77"/>
      <c r="G129" s="77"/>
      <c r="H129" s="12"/>
      <c r="I129" s="12"/>
    </row>
    <row r="130">
      <c r="A130" s="12"/>
      <c r="B130" s="77"/>
      <c r="C130" s="77"/>
      <c r="D130" s="77"/>
      <c r="E130" s="77"/>
      <c r="F130" s="77"/>
      <c r="G130" s="77"/>
      <c r="H130" s="12"/>
      <c r="I130" s="12"/>
    </row>
    <row r="131">
      <c r="A131" s="12"/>
      <c r="B131" s="77"/>
      <c r="C131" s="77"/>
      <c r="D131" s="77"/>
      <c r="E131" s="77"/>
      <c r="F131" s="77"/>
      <c r="G131" s="77"/>
      <c r="H131" s="12"/>
      <c r="I131" s="12"/>
    </row>
    <row r="132">
      <c r="A132" s="12"/>
      <c r="B132" s="77"/>
      <c r="C132" s="77"/>
      <c r="D132" s="77"/>
      <c r="E132" s="77"/>
      <c r="F132" s="77"/>
      <c r="G132" s="77"/>
      <c r="H132" s="12"/>
      <c r="I132" s="12"/>
    </row>
    <row r="133">
      <c r="A133" s="12"/>
      <c r="B133" s="77"/>
      <c r="C133" s="77"/>
      <c r="D133" s="77"/>
      <c r="E133" s="77"/>
      <c r="F133" s="77"/>
      <c r="G133" s="77"/>
      <c r="H133" s="12"/>
      <c r="I133" s="12"/>
    </row>
    <row r="134">
      <c r="A134" s="12"/>
      <c r="B134" s="77"/>
      <c r="C134" s="77"/>
      <c r="D134" s="77"/>
      <c r="E134" s="77"/>
      <c r="F134" s="77"/>
      <c r="G134" s="77"/>
      <c r="H134" s="12"/>
      <c r="I134" s="12"/>
    </row>
    <row r="135">
      <c r="A135" s="12"/>
      <c r="B135" s="77"/>
      <c r="C135" s="77"/>
      <c r="D135" s="77"/>
      <c r="E135" s="77"/>
      <c r="F135" s="77"/>
      <c r="G135" s="77"/>
      <c r="H135" s="12"/>
      <c r="I135" s="12"/>
    </row>
    <row r="136">
      <c r="A136" s="12"/>
      <c r="B136" s="77"/>
      <c r="C136" s="77"/>
      <c r="D136" s="77"/>
      <c r="E136" s="77"/>
      <c r="F136" s="77"/>
      <c r="G136" s="77"/>
      <c r="H136" s="12"/>
      <c r="I136" s="12"/>
    </row>
    <row r="137">
      <c r="A137" s="12"/>
      <c r="B137" s="77"/>
      <c r="C137" s="77"/>
      <c r="D137" s="77"/>
      <c r="E137" s="77"/>
      <c r="F137" s="77"/>
      <c r="G137" s="77"/>
      <c r="H137" s="12"/>
      <c r="I137" s="12"/>
    </row>
    <row r="138">
      <c r="A138" s="12"/>
      <c r="B138" s="77"/>
      <c r="C138" s="77"/>
      <c r="D138" s="77"/>
      <c r="E138" s="77"/>
      <c r="F138" s="77"/>
      <c r="G138" s="77"/>
      <c r="H138" s="12"/>
      <c r="I138" s="12"/>
    </row>
    <row r="139">
      <c r="A139" s="12"/>
      <c r="B139" s="77"/>
      <c r="C139" s="77"/>
      <c r="D139" s="77"/>
      <c r="E139" s="77"/>
      <c r="F139" s="77"/>
      <c r="G139" s="77"/>
      <c r="H139" s="12"/>
      <c r="I139" s="12"/>
    </row>
    <row r="140">
      <c r="A140" s="12"/>
      <c r="B140" s="77"/>
      <c r="C140" s="77"/>
      <c r="D140" s="77"/>
      <c r="E140" s="77"/>
      <c r="F140" s="77"/>
      <c r="G140" s="77"/>
      <c r="H140" s="12"/>
      <c r="I140" s="12"/>
    </row>
    <row r="141">
      <c r="A141" s="12"/>
      <c r="B141" s="77"/>
      <c r="C141" s="77"/>
      <c r="D141" s="77"/>
      <c r="E141" s="77"/>
      <c r="F141" s="77"/>
      <c r="G141" s="77"/>
      <c r="H141" s="12"/>
      <c r="I141" s="12"/>
    </row>
    <row r="142">
      <c r="A142" s="12"/>
      <c r="B142" s="77"/>
      <c r="C142" s="77"/>
      <c r="D142" s="77"/>
      <c r="E142" s="77"/>
      <c r="F142" s="77"/>
      <c r="G142" s="77"/>
      <c r="H142" s="12"/>
      <c r="I142" s="12"/>
    </row>
    <row r="143">
      <c r="A143" s="12"/>
      <c r="B143" s="77"/>
      <c r="C143" s="77"/>
      <c r="D143" s="77"/>
      <c r="E143" s="77"/>
      <c r="F143" s="77"/>
      <c r="G143" s="77"/>
      <c r="H143" s="12"/>
      <c r="I143" s="12"/>
    </row>
    <row r="144">
      <c r="A144" s="12"/>
      <c r="B144" s="77"/>
      <c r="C144" s="77"/>
      <c r="D144" s="77"/>
      <c r="E144" s="77"/>
      <c r="F144" s="77"/>
      <c r="G144" s="77"/>
      <c r="H144" s="12"/>
      <c r="I144" s="12"/>
    </row>
    <row r="145">
      <c r="A145" s="12"/>
      <c r="B145" s="77"/>
      <c r="C145" s="77"/>
      <c r="D145" s="77"/>
      <c r="E145" s="77"/>
      <c r="F145" s="77"/>
      <c r="G145" s="77"/>
      <c r="H145" s="12"/>
      <c r="I145" s="12"/>
    </row>
    <row r="146">
      <c r="A146" s="12"/>
      <c r="B146" s="77"/>
      <c r="C146" s="77"/>
      <c r="D146" s="77"/>
      <c r="E146" s="77"/>
      <c r="F146" s="77"/>
      <c r="G146" s="77"/>
      <c r="H146" s="12"/>
      <c r="I146" s="12"/>
    </row>
    <row r="147">
      <c r="A147" s="12"/>
      <c r="B147" s="77"/>
      <c r="C147" s="77"/>
      <c r="D147" s="77"/>
      <c r="E147" s="77"/>
      <c r="F147" s="77"/>
      <c r="G147" s="77"/>
      <c r="H147" s="12"/>
      <c r="I147" s="12"/>
    </row>
    <row r="148">
      <c r="A148" s="12"/>
      <c r="B148" s="77"/>
      <c r="C148" s="77"/>
      <c r="D148" s="77"/>
      <c r="E148" s="77"/>
      <c r="F148" s="77"/>
      <c r="G148" s="77"/>
      <c r="H148" s="12"/>
      <c r="I148" s="12"/>
    </row>
    <row r="149">
      <c r="A149" s="12"/>
      <c r="B149" s="77"/>
      <c r="C149" s="77"/>
      <c r="D149" s="77"/>
      <c r="E149" s="77"/>
      <c r="F149" s="77"/>
      <c r="G149" s="77"/>
      <c r="H149" s="12"/>
      <c r="I149" s="12"/>
    </row>
    <row r="150">
      <c r="A150" s="12"/>
      <c r="B150" s="77"/>
      <c r="C150" s="77"/>
      <c r="D150" s="77"/>
      <c r="E150" s="77"/>
      <c r="F150" s="77"/>
      <c r="G150" s="77"/>
      <c r="H150" s="12"/>
      <c r="I150" s="12"/>
    </row>
    <row r="151">
      <c r="A151" s="12"/>
      <c r="B151" s="77"/>
      <c r="C151" s="77"/>
      <c r="D151" s="77"/>
      <c r="E151" s="77"/>
      <c r="F151" s="77"/>
      <c r="G151" s="77"/>
      <c r="H151" s="12"/>
      <c r="I151" s="12"/>
    </row>
    <row r="152">
      <c r="A152" s="12"/>
      <c r="B152" s="77"/>
      <c r="C152" s="77"/>
      <c r="D152" s="77"/>
      <c r="E152" s="77"/>
      <c r="F152" s="77"/>
      <c r="G152" s="77"/>
      <c r="H152" s="12"/>
      <c r="I152" s="12"/>
    </row>
    <row r="153">
      <c r="A153" s="12"/>
      <c r="B153" s="77"/>
      <c r="C153" s="77"/>
      <c r="D153" s="77"/>
      <c r="E153" s="77"/>
      <c r="F153" s="77"/>
      <c r="G153" s="77"/>
      <c r="H153" s="12"/>
      <c r="I153" s="12"/>
    </row>
    <row r="154">
      <c r="A154" s="12"/>
      <c r="B154" s="77"/>
      <c r="C154" s="77"/>
      <c r="D154" s="77"/>
      <c r="E154" s="77"/>
      <c r="F154" s="77"/>
      <c r="G154" s="77"/>
      <c r="H154" s="12"/>
      <c r="I154" s="12"/>
    </row>
    <row r="155">
      <c r="A155" s="12"/>
      <c r="B155" s="77"/>
      <c r="C155" s="77"/>
      <c r="D155" s="77"/>
      <c r="E155" s="77"/>
      <c r="F155" s="77"/>
      <c r="G155" s="77"/>
      <c r="H155" s="12"/>
      <c r="I155" s="12"/>
    </row>
    <row r="156">
      <c r="A156" s="12"/>
      <c r="B156" s="77"/>
      <c r="C156" s="77"/>
      <c r="D156" s="77"/>
      <c r="E156" s="77"/>
      <c r="F156" s="77"/>
      <c r="G156" s="77"/>
      <c r="H156" s="12"/>
      <c r="I156" s="12"/>
    </row>
    <row r="157">
      <c r="A157" s="12"/>
      <c r="B157" s="77"/>
      <c r="C157" s="77"/>
      <c r="D157" s="77"/>
      <c r="E157" s="77"/>
      <c r="F157" s="77"/>
      <c r="G157" s="77"/>
      <c r="H157" s="12"/>
      <c r="I157" s="12"/>
    </row>
    <row r="158">
      <c r="A158" s="12"/>
      <c r="B158" s="77"/>
      <c r="C158" s="77"/>
      <c r="D158" s="77"/>
      <c r="E158" s="77"/>
      <c r="F158" s="77"/>
      <c r="G158" s="77"/>
      <c r="H158" s="12"/>
      <c r="I158" s="12"/>
    </row>
    <row r="159">
      <c r="A159" s="12"/>
      <c r="B159" s="77"/>
      <c r="C159" s="77"/>
      <c r="D159" s="77"/>
      <c r="E159" s="77"/>
      <c r="F159" s="77"/>
      <c r="G159" s="77"/>
      <c r="H159" s="12"/>
      <c r="I159" s="12"/>
    </row>
    <row r="160">
      <c r="A160" s="12"/>
      <c r="B160" s="77"/>
      <c r="C160" s="77"/>
      <c r="D160" s="77"/>
      <c r="E160" s="77"/>
      <c r="F160" s="77"/>
      <c r="G160" s="77"/>
      <c r="H160" s="12"/>
      <c r="I160" s="12"/>
    </row>
    <row r="161">
      <c r="A161" s="12"/>
      <c r="B161" s="77"/>
      <c r="C161" s="77"/>
      <c r="D161" s="77"/>
      <c r="E161" s="77"/>
      <c r="F161" s="77"/>
      <c r="G161" s="77"/>
      <c r="H161" s="12"/>
      <c r="I161" s="12"/>
    </row>
    <row r="162">
      <c r="A162" s="12"/>
      <c r="B162" s="77"/>
      <c r="C162" s="77"/>
      <c r="D162" s="77"/>
      <c r="E162" s="77"/>
      <c r="F162" s="77"/>
      <c r="G162" s="77"/>
      <c r="H162" s="12"/>
      <c r="I162" s="12"/>
    </row>
    <row r="163">
      <c r="A163" s="12"/>
      <c r="B163" s="77"/>
      <c r="C163" s="77"/>
      <c r="D163" s="77"/>
      <c r="E163" s="77"/>
      <c r="F163" s="77"/>
      <c r="G163" s="77"/>
      <c r="H163" s="12"/>
      <c r="I163" s="12"/>
    </row>
    <row r="164">
      <c r="A164" s="12"/>
      <c r="B164" s="77"/>
      <c r="C164" s="77"/>
      <c r="D164" s="77"/>
      <c r="E164" s="77"/>
      <c r="F164" s="77"/>
      <c r="G164" s="77"/>
      <c r="H164" s="12"/>
      <c r="I164" s="12"/>
    </row>
    <row r="165">
      <c r="A165" s="12"/>
      <c r="B165" s="77"/>
      <c r="C165" s="77"/>
      <c r="D165" s="77"/>
      <c r="E165" s="77"/>
      <c r="F165" s="77"/>
      <c r="G165" s="77"/>
      <c r="H165" s="12"/>
      <c r="I165" s="12"/>
    </row>
    <row r="166">
      <c r="A166" s="12"/>
      <c r="B166" s="77"/>
      <c r="C166" s="77"/>
      <c r="D166" s="77"/>
      <c r="E166" s="77"/>
      <c r="F166" s="77"/>
      <c r="G166" s="77"/>
      <c r="H166" s="12"/>
      <c r="I166" s="12"/>
    </row>
    <row r="167">
      <c r="A167" s="12"/>
      <c r="B167" s="77"/>
      <c r="C167" s="77"/>
      <c r="D167" s="77"/>
      <c r="E167" s="77"/>
      <c r="F167" s="77"/>
      <c r="G167" s="77"/>
      <c r="H167" s="12"/>
      <c r="I167" s="12"/>
    </row>
    <row r="168">
      <c r="A168" s="12"/>
      <c r="B168" s="77"/>
      <c r="C168" s="77"/>
      <c r="D168" s="77"/>
      <c r="E168" s="77"/>
      <c r="F168" s="77"/>
      <c r="G168" s="77"/>
      <c r="H168" s="12"/>
      <c r="I168" s="12"/>
    </row>
    <row r="169">
      <c r="A169" s="12"/>
      <c r="B169" s="77"/>
      <c r="C169" s="77"/>
      <c r="D169" s="77"/>
      <c r="E169" s="77"/>
      <c r="F169" s="77"/>
      <c r="G169" s="77"/>
      <c r="H169" s="12"/>
      <c r="I169" s="12"/>
    </row>
    <row r="170">
      <c r="A170" s="12"/>
      <c r="B170" s="77"/>
      <c r="C170" s="77"/>
      <c r="D170" s="77"/>
      <c r="E170" s="77"/>
      <c r="F170" s="77"/>
      <c r="G170" s="77"/>
      <c r="H170" s="12"/>
      <c r="I170" s="12"/>
    </row>
    <row r="171">
      <c r="A171" s="12"/>
      <c r="B171" s="77"/>
      <c r="C171" s="77"/>
      <c r="D171" s="77"/>
      <c r="E171" s="77"/>
      <c r="F171" s="77"/>
      <c r="G171" s="77"/>
      <c r="H171" s="12"/>
      <c r="I171" s="12"/>
    </row>
    <row r="172">
      <c r="A172" s="12"/>
      <c r="B172" s="77"/>
      <c r="C172" s="77"/>
      <c r="D172" s="77"/>
      <c r="E172" s="77"/>
      <c r="F172" s="77"/>
      <c r="G172" s="77"/>
      <c r="H172" s="12"/>
      <c r="I172" s="12"/>
    </row>
    <row r="173">
      <c r="A173" s="12"/>
      <c r="B173" s="77"/>
      <c r="C173" s="77"/>
      <c r="D173" s="77"/>
      <c r="E173" s="77"/>
      <c r="F173" s="77"/>
      <c r="G173" s="77"/>
      <c r="H173" s="12"/>
      <c r="I173" s="12"/>
    </row>
    <row r="174">
      <c r="A174" s="12"/>
      <c r="B174" s="77"/>
      <c r="C174" s="77"/>
      <c r="D174" s="77"/>
      <c r="E174" s="77"/>
      <c r="F174" s="77"/>
      <c r="G174" s="77"/>
      <c r="H174" s="12"/>
      <c r="I174" s="12"/>
    </row>
    <row r="175">
      <c r="A175" s="12"/>
      <c r="B175" s="77"/>
      <c r="C175" s="77"/>
      <c r="D175" s="77"/>
      <c r="E175" s="77"/>
      <c r="F175" s="77"/>
      <c r="G175" s="77"/>
      <c r="H175" s="12"/>
      <c r="I175" s="12"/>
    </row>
    <row r="176">
      <c r="A176" s="12"/>
      <c r="B176" s="77"/>
      <c r="C176" s="77"/>
      <c r="D176" s="77"/>
      <c r="E176" s="77"/>
      <c r="F176" s="77"/>
      <c r="G176" s="77"/>
      <c r="H176" s="12"/>
      <c r="I176" s="12"/>
    </row>
    <row r="177">
      <c r="A177" s="12"/>
      <c r="B177" s="77"/>
      <c r="C177" s="77"/>
      <c r="D177" s="77"/>
      <c r="E177" s="77"/>
      <c r="F177" s="77"/>
      <c r="G177" s="77"/>
      <c r="H177" s="12"/>
      <c r="I177" s="12"/>
    </row>
    <row r="178">
      <c r="A178" s="12"/>
      <c r="B178" s="77"/>
      <c r="C178" s="77"/>
      <c r="D178" s="77"/>
      <c r="E178" s="77"/>
      <c r="F178" s="77"/>
      <c r="G178" s="77"/>
      <c r="H178" s="12"/>
      <c r="I178" s="12"/>
    </row>
    <row r="179">
      <c r="A179" s="12"/>
      <c r="B179" s="77"/>
      <c r="C179" s="77"/>
      <c r="D179" s="77"/>
      <c r="E179" s="77"/>
      <c r="F179" s="77"/>
      <c r="G179" s="77"/>
      <c r="H179" s="12"/>
      <c r="I179" s="12"/>
    </row>
    <row r="180">
      <c r="A180" s="12"/>
      <c r="B180" s="77"/>
      <c r="C180" s="77"/>
      <c r="D180" s="77"/>
      <c r="E180" s="77"/>
      <c r="F180" s="77"/>
      <c r="G180" s="77"/>
      <c r="H180" s="12"/>
      <c r="I180" s="12"/>
    </row>
    <row r="181">
      <c r="A181" s="12"/>
      <c r="B181" s="77"/>
      <c r="C181" s="77"/>
      <c r="D181" s="77"/>
      <c r="E181" s="77"/>
      <c r="F181" s="77"/>
      <c r="G181" s="77"/>
      <c r="H181" s="12"/>
      <c r="I181" s="12"/>
    </row>
    <row r="182">
      <c r="A182" s="12"/>
      <c r="B182" s="77"/>
      <c r="C182" s="77"/>
      <c r="D182" s="77"/>
      <c r="E182" s="77"/>
      <c r="F182" s="77"/>
      <c r="G182" s="77"/>
      <c r="H182" s="12"/>
      <c r="I182" s="12"/>
    </row>
    <row r="183">
      <c r="A183" s="12"/>
      <c r="B183" s="77"/>
      <c r="C183" s="77"/>
      <c r="D183" s="77"/>
      <c r="E183" s="77"/>
      <c r="F183" s="77"/>
      <c r="G183" s="77"/>
      <c r="H183" s="12"/>
      <c r="I183" s="12"/>
    </row>
    <row r="184">
      <c r="A184" s="12"/>
      <c r="B184" s="77"/>
      <c r="C184" s="77"/>
      <c r="D184" s="77"/>
      <c r="E184" s="77"/>
      <c r="F184" s="77"/>
      <c r="G184" s="77"/>
      <c r="H184" s="12"/>
      <c r="I184" s="12"/>
    </row>
    <row r="185">
      <c r="A185" s="12"/>
      <c r="B185" s="77"/>
      <c r="C185" s="77"/>
      <c r="D185" s="77"/>
      <c r="E185" s="77"/>
      <c r="F185" s="77"/>
      <c r="G185" s="77"/>
      <c r="H185" s="12"/>
      <c r="I185" s="12"/>
    </row>
    <row r="186">
      <c r="A186" s="12"/>
      <c r="B186" s="77"/>
      <c r="C186" s="77"/>
      <c r="D186" s="77"/>
      <c r="E186" s="77"/>
      <c r="F186" s="77"/>
      <c r="G186" s="77"/>
      <c r="H186" s="12"/>
      <c r="I186" s="12"/>
    </row>
    <row r="187">
      <c r="A187" s="12"/>
      <c r="B187" s="77"/>
      <c r="C187" s="77"/>
      <c r="D187" s="77"/>
      <c r="E187" s="77"/>
      <c r="F187" s="77"/>
      <c r="G187" s="77"/>
      <c r="H187" s="12"/>
      <c r="I187" s="12"/>
    </row>
    <row r="188">
      <c r="A188" s="12"/>
      <c r="B188" s="77"/>
      <c r="C188" s="77"/>
      <c r="D188" s="77"/>
      <c r="E188" s="77"/>
      <c r="F188" s="77"/>
      <c r="G188" s="77"/>
      <c r="H188" s="12"/>
      <c r="I188" s="12"/>
    </row>
    <row r="189">
      <c r="A189" s="12"/>
      <c r="B189" s="77"/>
      <c r="C189" s="77"/>
      <c r="D189" s="77"/>
      <c r="E189" s="77"/>
      <c r="F189" s="77"/>
      <c r="G189" s="77"/>
      <c r="H189" s="12"/>
      <c r="I189" s="12"/>
    </row>
    <row r="190">
      <c r="A190" s="12"/>
      <c r="B190" s="77"/>
      <c r="C190" s="77"/>
      <c r="D190" s="77"/>
      <c r="E190" s="77"/>
      <c r="F190" s="77"/>
      <c r="G190" s="77"/>
      <c r="H190" s="12"/>
      <c r="I190" s="12"/>
    </row>
    <row r="191">
      <c r="A191" s="12"/>
      <c r="B191" s="77"/>
      <c r="C191" s="77"/>
      <c r="D191" s="77"/>
      <c r="E191" s="77"/>
      <c r="F191" s="77"/>
      <c r="G191" s="77"/>
      <c r="H191" s="12"/>
      <c r="I191" s="12"/>
    </row>
    <row r="192">
      <c r="A192" s="12"/>
      <c r="B192" s="77"/>
      <c r="C192" s="77"/>
      <c r="D192" s="77"/>
      <c r="E192" s="77"/>
      <c r="F192" s="77"/>
      <c r="G192" s="77"/>
      <c r="H192" s="12"/>
      <c r="I192" s="12"/>
    </row>
    <row r="193">
      <c r="A193" s="12"/>
      <c r="B193" s="77"/>
      <c r="C193" s="77"/>
      <c r="D193" s="77"/>
      <c r="E193" s="77"/>
      <c r="F193" s="77"/>
      <c r="G193" s="77"/>
      <c r="H193" s="12"/>
      <c r="I193" s="12"/>
    </row>
    <row r="194">
      <c r="A194" s="12"/>
      <c r="B194" s="77"/>
      <c r="C194" s="77"/>
      <c r="D194" s="77"/>
      <c r="E194" s="77"/>
      <c r="F194" s="77"/>
      <c r="G194" s="77"/>
      <c r="H194" s="12"/>
      <c r="I194" s="12"/>
    </row>
    <row r="195">
      <c r="A195" s="12"/>
      <c r="B195" s="77"/>
      <c r="C195" s="77"/>
      <c r="D195" s="77"/>
      <c r="E195" s="77"/>
      <c r="F195" s="77"/>
      <c r="G195" s="77"/>
      <c r="H195" s="12"/>
      <c r="I195" s="12"/>
    </row>
    <row r="196">
      <c r="A196" s="12"/>
      <c r="B196" s="77"/>
      <c r="C196" s="77"/>
      <c r="D196" s="77"/>
      <c r="E196" s="77"/>
      <c r="F196" s="77"/>
      <c r="G196" s="77"/>
      <c r="H196" s="12"/>
      <c r="I196" s="12"/>
    </row>
    <row r="197">
      <c r="A197" s="12"/>
      <c r="B197" s="77"/>
      <c r="C197" s="77"/>
      <c r="D197" s="77"/>
      <c r="E197" s="77"/>
      <c r="F197" s="77"/>
      <c r="G197" s="77"/>
      <c r="H197" s="12"/>
      <c r="I197" s="12"/>
    </row>
    <row r="198">
      <c r="A198" s="12"/>
      <c r="B198" s="77"/>
      <c r="C198" s="77"/>
      <c r="D198" s="77"/>
      <c r="E198" s="77"/>
      <c r="F198" s="77"/>
      <c r="G198" s="77"/>
      <c r="H198" s="12"/>
      <c r="I198" s="12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d9f3fd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51"/>
  </cols>
  <sheetData>
    <row r="1">
      <c r="A1" s="83" t="str">
        <v>RowName</v>
      </c>
      <c r="B1" s="82" t="str">
        <v>Lv. 0</v>
      </c>
      <c r="C1" s="82" t="str">
        <v>Lv. 1</v>
      </c>
      <c r="D1" s="82" t="str">
        <v>Lv. 2</v>
      </c>
      <c r="E1" s="82" t="str">
        <v>Lv. 3</v>
      </c>
      <c r="F1" s="82" t="str">
        <v>Lv. 4</v>
      </c>
      <c r="G1" s="82" t="str">
        <v>Lv. 5</v>
      </c>
      <c r="H1" s="7" t="str">
        <v>QualityRate</v>
      </c>
    </row>
    <row r="2">
      <c r="A2" s="23">
        <v>1</v>
      </c>
      <c r="B2" s="75">
        <v>0</v>
      </c>
      <c r="C2" s="82">
        <f>1-SUM(D2:G2)</f>
      </c>
      <c r="D2" s="75">
        <v>0</v>
      </c>
      <c r="E2" s="75">
        <v>0</v>
      </c>
      <c r="F2" s="75">
        <v>0</v>
      </c>
      <c r="G2" s="75">
        <v>0</v>
      </c>
      <c r="H2" s="2">
        <f t="array" ref="H2:H100">COUNTA(B2:G100)&lt;6</f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3">
        <v>2</v>
      </c>
      <c r="B3" s="75">
        <v>0</v>
      </c>
      <c r="C3" s="75">
        <f>1-SUM(D3:G3)</f>
      </c>
      <c r="D3" s="75">
        <v>0</v>
      </c>
      <c r="E3" s="75">
        <v>0</v>
      </c>
      <c r="F3" s="75">
        <v>0</v>
      </c>
      <c r="G3" s="75">
        <v>0</v>
      </c>
      <c r="H3" s="2" t="str">
        <v>(0,1,0,0,0,0)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3">
        <v>3</v>
      </c>
      <c r="B4" s="75">
        <v>0</v>
      </c>
      <c r="C4" s="75">
        <f>1-SUM(D4:G4)</f>
      </c>
      <c r="D4" s="75">
        <v>0</v>
      </c>
      <c r="E4" s="75">
        <v>0</v>
      </c>
      <c r="F4" s="75">
        <v>0</v>
      </c>
      <c r="G4" s="75">
        <v>0</v>
      </c>
      <c r="H4" s="2" t="str">
        <v>(0,1,0,0,0,0)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3">
        <v>4</v>
      </c>
      <c r="B5" s="75">
        <v>0</v>
      </c>
      <c r="C5" s="75">
        <f>1-SUM(D5:G5)</f>
      </c>
      <c r="D5" s="82">
        <f>0.33*(A5-3)/9</f>
      </c>
      <c r="E5" s="75">
        <v>0</v>
      </c>
      <c r="F5" s="75">
        <v>0</v>
      </c>
      <c r="G5" s="75">
        <v>0</v>
      </c>
      <c r="H5" t="str">
        <v>(0,0.963333333333333,0.0366666666666667,0,0,0)</v>
      </c>
    </row>
    <row r="6">
      <c r="A6" s="23">
        <v>5</v>
      </c>
      <c r="B6" s="75">
        <v>0</v>
      </c>
      <c r="C6" s="75">
        <f>1-SUM(D6:G6)</f>
      </c>
      <c r="D6" s="75">
        <f>0.33*(A6-3)/9</f>
      </c>
      <c r="E6" s="75">
        <v>0</v>
      </c>
      <c r="F6" s="75">
        <v>0</v>
      </c>
      <c r="G6" s="75">
        <v>0</v>
      </c>
      <c r="H6" s="2" t="str">
        <v>(0,0.926666666666667,0.0733333333333333,0,0,0)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3">
        <v>6</v>
      </c>
      <c r="B7" s="75">
        <v>0</v>
      </c>
      <c r="C7" s="75">
        <f>1-SUM(D7:G7)</f>
      </c>
      <c r="D7" s="75">
        <f>0.33*(A7-3)/9</f>
      </c>
      <c r="E7" s="82">
        <f>0.2*(A7-5)/10</f>
      </c>
      <c r="F7" s="75">
        <v>0</v>
      </c>
      <c r="G7" s="75">
        <v>0</v>
      </c>
      <c r="H7" t="str">
        <v>(0,0.87,0.11,0.02,0,0)</v>
      </c>
    </row>
    <row r="8">
      <c r="A8" s="23">
        <v>7</v>
      </c>
      <c r="B8" s="75">
        <v>0</v>
      </c>
      <c r="C8" s="75">
        <f>1-SUM(D8:G8)</f>
      </c>
      <c r="D8" s="75">
        <f>0.33*(A8-3)/9</f>
      </c>
      <c r="E8" s="75">
        <f>0.2*(A8-5)/10</f>
      </c>
      <c r="F8" s="75">
        <v>0</v>
      </c>
      <c r="G8" s="75">
        <v>0</v>
      </c>
      <c r="H8" t="str">
        <v>(0,0.813333333333333,0.146666666666667,0.04,0,0)</v>
      </c>
    </row>
    <row r="9">
      <c r="A9" s="23">
        <v>8</v>
      </c>
      <c r="B9" s="75">
        <v>0</v>
      </c>
      <c r="C9" s="75">
        <f>1-SUM(D9:G9)</f>
      </c>
      <c r="D9" s="75">
        <f>0.33*(A9-3)/9</f>
      </c>
      <c r="E9" s="75">
        <f>0.2*(A9-5)/10</f>
      </c>
      <c r="F9" s="82">
        <f>0.13*(A9-7)/8</f>
      </c>
      <c r="G9" s="75">
        <v>0</v>
      </c>
      <c r="H9" t="str">
        <v>(0,0.740416666666667,0.183333333333333,0.06,0.01625,0)</v>
      </c>
    </row>
    <row r="10">
      <c r="A10" s="23">
        <v>9</v>
      </c>
      <c r="B10" s="75">
        <v>0</v>
      </c>
      <c r="C10" s="75">
        <f>1-SUM(D10:G10)</f>
      </c>
      <c r="D10" s="75">
        <f>0.33*(A10-3)/9</f>
      </c>
      <c r="E10" s="75">
        <f>0.2*(A10-5)/10</f>
      </c>
      <c r="F10" s="75">
        <f>0.13*(A10-7)/8</f>
      </c>
      <c r="G10" s="75">
        <v>0</v>
      </c>
      <c r="H10" t="str">
        <v>(0,0.6675,0.22,0.08,0.0325,0)</v>
      </c>
    </row>
    <row r="11">
      <c r="A11" s="23">
        <v>10</v>
      </c>
      <c r="B11" s="75">
        <v>0</v>
      </c>
      <c r="C11" s="75">
        <f>1-SUM(D11:G11)</f>
      </c>
      <c r="D11" s="75">
        <f>0.33*(A11-3)/9</f>
      </c>
      <c r="E11" s="75">
        <f>0.2*(A11-5)/10</f>
      </c>
      <c r="F11" s="75">
        <f>0.13*(A11-7)/8</f>
      </c>
      <c r="G11" s="82">
        <f>0.1*(A11-9)/8</f>
      </c>
      <c r="H11" t="str">
        <v>(0,0.582083333333333,0.256666666666667,0.1,0.04875,0.0125)</v>
      </c>
    </row>
    <row r="12">
      <c r="A12" s="12"/>
      <c r="B12" s="75"/>
      <c r="C12" s="75"/>
      <c r="D12" s="75"/>
      <c r="E12" s="75"/>
      <c r="F12" s="75"/>
      <c r="G12" s="75"/>
      <c r="H12" t="str"/>
    </row>
    <row r="13">
      <c r="A13" s="12"/>
      <c r="B13" s="75"/>
      <c r="C13" s="75"/>
      <c r="D13" s="75"/>
      <c r="E13" s="75"/>
      <c r="F13" s="75"/>
      <c r="G13" s="75"/>
      <c r="H13" t="str"/>
    </row>
    <row r="14">
      <c r="A14" s="12"/>
      <c r="B14" s="75"/>
      <c r="C14" s="75"/>
      <c r="D14" s="75"/>
      <c r="E14" s="75"/>
      <c r="F14" s="75"/>
      <c r="G14" s="75"/>
      <c r="H14" t="str"/>
    </row>
    <row r="15">
      <c r="A15" s="12"/>
      <c r="B15" s="75"/>
      <c r="C15" s="75"/>
      <c r="D15" s="75"/>
      <c r="E15" s="75"/>
      <c r="F15" s="75"/>
      <c r="G15" s="75"/>
      <c r="H15" t="str"/>
    </row>
    <row r="16">
      <c r="A16" s="12"/>
      <c r="B16" s="75"/>
      <c r="C16" s="75"/>
      <c r="D16" s="75"/>
      <c r="E16" s="75"/>
      <c r="F16" s="75"/>
      <c r="G16" s="75"/>
      <c r="H16" t="str"/>
    </row>
    <row r="17">
      <c r="A17" s="12"/>
      <c r="B17" s="75"/>
      <c r="C17" s="75"/>
      <c r="D17" s="75"/>
      <c r="E17" s="75"/>
      <c r="F17" s="75"/>
      <c r="G17" s="75"/>
      <c r="H17" t="str"/>
    </row>
    <row r="18">
      <c r="A18" s="12"/>
      <c r="B18" s="75"/>
      <c r="C18" s="75"/>
      <c r="D18" s="75"/>
      <c r="E18" s="75"/>
      <c r="F18" s="75"/>
      <c r="G18" s="75"/>
      <c r="H18" t="str"/>
    </row>
    <row r="19">
      <c r="A19" s="12"/>
      <c r="B19" s="75"/>
      <c r="C19" s="75"/>
      <c r="D19" s="75"/>
      <c r="E19" s="75"/>
      <c r="F19" s="75"/>
      <c r="G19" s="75"/>
      <c r="H19" t="str"/>
    </row>
    <row r="20">
      <c r="A20" s="12"/>
      <c r="B20" s="75"/>
      <c r="C20" s="75"/>
      <c r="D20" s="75"/>
      <c r="E20" s="75"/>
      <c r="F20" s="75"/>
      <c r="G20" s="75"/>
      <c r="H20" t="str"/>
    </row>
    <row r="21">
      <c r="A21" s="12"/>
      <c r="B21" s="75"/>
      <c r="C21" s="75"/>
      <c r="D21" s="75"/>
      <c r="E21" s="75"/>
      <c r="F21" s="75"/>
      <c r="G21" s="75"/>
      <c r="H21" t="str"/>
    </row>
    <row r="22">
      <c r="A22" s="12"/>
      <c r="B22" s="75"/>
      <c r="C22" s="75"/>
      <c r="D22" s="75"/>
      <c r="E22" s="75"/>
      <c r="F22" s="75"/>
      <c r="G22" s="75"/>
      <c r="H22" t="str"/>
    </row>
    <row r="23">
      <c r="A23" s="12"/>
      <c r="B23" s="75"/>
      <c r="C23" s="75"/>
      <c r="D23" s="75"/>
      <c r="E23" s="75"/>
      <c r="F23" s="75"/>
      <c r="G23" s="75"/>
      <c r="H23" t="str"/>
    </row>
    <row r="24">
      <c r="A24" s="12"/>
      <c r="B24" s="75"/>
      <c r="C24" s="75"/>
      <c r="D24" s="75"/>
      <c r="E24" s="75"/>
      <c r="F24" s="75"/>
      <c r="G24" s="75"/>
      <c r="H24" t="str"/>
    </row>
    <row r="25">
      <c r="A25" s="12"/>
      <c r="B25" s="75"/>
      <c r="C25" s="75"/>
      <c r="D25" s="75"/>
      <c r="E25" s="75"/>
      <c r="F25" s="75"/>
      <c r="G25" s="75"/>
      <c r="H25" t="str"/>
    </row>
    <row r="26">
      <c r="A26" s="12"/>
      <c r="B26" s="75"/>
      <c r="C26" s="75"/>
      <c r="D26" s="75"/>
      <c r="E26" s="75"/>
      <c r="F26" s="75"/>
      <c r="G26" s="75"/>
      <c r="H26" t="str"/>
    </row>
    <row r="27">
      <c r="A27" s="12"/>
      <c r="B27" s="75"/>
      <c r="C27" s="75"/>
      <c r="D27" s="75"/>
      <c r="E27" s="75"/>
      <c r="F27" s="75"/>
      <c r="G27" s="75"/>
      <c r="H27" t="str"/>
    </row>
    <row r="28">
      <c r="A28" s="12"/>
      <c r="B28" s="75"/>
      <c r="C28" s="75"/>
      <c r="D28" s="75"/>
      <c r="E28" s="75"/>
      <c r="F28" s="75"/>
      <c r="G28" s="75"/>
      <c r="H28" t="str"/>
    </row>
    <row r="29">
      <c r="A29" s="12"/>
      <c r="B29" s="77"/>
      <c r="C29" s="77"/>
      <c r="D29" s="77"/>
      <c r="E29" s="77"/>
      <c r="F29" s="77"/>
      <c r="G29" s="77"/>
      <c r="H29" t="str"/>
    </row>
    <row r="30">
      <c r="A30" s="12"/>
      <c r="B30" s="77"/>
      <c r="C30" s="77"/>
      <c r="D30" s="77"/>
      <c r="E30" s="77"/>
      <c r="F30" s="77"/>
      <c r="G30" s="77"/>
      <c r="H30" t="str"/>
    </row>
    <row r="31">
      <c r="A31" s="12"/>
      <c r="B31" s="77"/>
      <c r="C31" s="77"/>
      <c r="D31" s="77"/>
      <c r="E31" s="77"/>
      <c r="F31" s="77"/>
      <c r="G31" s="77"/>
      <c r="H31" t="str"/>
    </row>
    <row r="32">
      <c r="A32" s="12"/>
      <c r="B32" s="77"/>
      <c r="C32" s="77"/>
      <c r="D32" s="77"/>
      <c r="E32" s="77"/>
      <c r="F32" s="77"/>
      <c r="G32" s="77"/>
      <c r="H32" t="str"/>
    </row>
    <row r="33">
      <c r="A33" s="12"/>
      <c r="B33" s="77"/>
      <c r="C33" s="77"/>
      <c r="D33" s="77"/>
      <c r="E33" s="77"/>
      <c r="F33" s="77"/>
      <c r="G33" s="77"/>
      <c r="H33" t="str"/>
    </row>
    <row r="34">
      <c r="A34" s="12"/>
      <c r="B34" s="77"/>
      <c r="C34" s="77"/>
      <c r="D34" s="77"/>
      <c r="E34" s="77"/>
      <c r="F34" s="77"/>
      <c r="G34" s="77"/>
      <c r="H34" t="str"/>
    </row>
    <row r="35">
      <c r="A35" s="12"/>
      <c r="B35" s="77"/>
      <c r="C35" s="77"/>
      <c r="D35" s="77"/>
      <c r="E35" s="77"/>
      <c r="F35" s="77"/>
      <c r="G35" s="77"/>
      <c r="H35" t="str"/>
    </row>
    <row r="36">
      <c r="A36" s="12"/>
      <c r="B36" s="77"/>
      <c r="C36" s="77"/>
      <c r="D36" s="77"/>
      <c r="E36" s="77"/>
      <c r="F36" s="77"/>
      <c r="G36" s="77"/>
      <c r="H36" t="str"/>
    </row>
    <row r="37">
      <c r="A37" s="12"/>
      <c r="B37" s="77"/>
      <c r="C37" s="77"/>
      <c r="D37" s="77"/>
      <c r="E37" s="77"/>
      <c r="F37" s="77"/>
      <c r="G37" s="77"/>
      <c r="H37" t="str"/>
    </row>
    <row r="38">
      <c r="A38" s="12"/>
      <c r="B38" s="77"/>
      <c r="C38" s="77"/>
      <c r="D38" s="77"/>
      <c r="E38" s="77"/>
      <c r="F38" s="77"/>
      <c r="G38" s="77"/>
      <c r="H38" t="str"/>
    </row>
    <row r="39">
      <c r="A39" s="12"/>
      <c r="B39" s="77"/>
      <c r="C39" s="77"/>
      <c r="D39" s="77"/>
      <c r="E39" s="77"/>
      <c r="F39" s="77"/>
      <c r="G39" s="77"/>
      <c r="H39" t="str"/>
    </row>
    <row r="40">
      <c r="A40" s="12"/>
      <c r="B40" s="77"/>
      <c r="C40" s="77"/>
      <c r="D40" s="77"/>
      <c r="E40" s="77"/>
      <c r="F40" s="77"/>
      <c r="G40" s="77"/>
      <c r="H40" t="str"/>
    </row>
    <row r="41">
      <c r="A41" s="12"/>
      <c r="B41" s="77"/>
      <c r="C41" s="77"/>
      <c r="D41" s="77"/>
      <c r="E41" s="77"/>
      <c r="F41" s="77"/>
      <c r="G41" s="77"/>
      <c r="H41" t="str"/>
    </row>
    <row r="42">
      <c r="A42" s="12"/>
      <c r="B42" s="77"/>
      <c r="C42" s="77"/>
      <c r="D42" s="77"/>
      <c r="E42" s="77"/>
      <c r="F42" s="77"/>
      <c r="G42" s="77"/>
      <c r="H42" t="str"/>
    </row>
    <row r="43">
      <c r="A43" s="12"/>
      <c r="B43" s="77"/>
      <c r="C43" s="77"/>
      <c r="D43" s="77"/>
      <c r="E43" s="77"/>
      <c r="F43" s="77"/>
      <c r="G43" s="77"/>
      <c r="H43" t="str"/>
    </row>
    <row r="44">
      <c r="A44" s="12"/>
      <c r="B44" s="77"/>
      <c r="C44" s="77"/>
      <c r="D44" s="77"/>
      <c r="E44" s="77"/>
      <c r="F44" s="77"/>
      <c r="G44" s="77"/>
      <c r="H44" t="str"/>
    </row>
    <row r="45">
      <c r="A45" s="12"/>
      <c r="B45" s="77"/>
      <c r="C45" s="77"/>
      <c r="D45" s="77"/>
      <c r="E45" s="77"/>
      <c r="F45" s="77"/>
      <c r="G45" s="77"/>
      <c r="H45" t="str"/>
    </row>
    <row r="46">
      <c r="A46" s="12"/>
      <c r="B46" s="77"/>
      <c r="C46" s="77"/>
      <c r="D46" s="77"/>
      <c r="E46" s="77"/>
      <c r="F46" s="77"/>
      <c r="G46" s="77"/>
      <c r="H46" t="str"/>
    </row>
    <row r="47">
      <c r="A47" s="12"/>
      <c r="B47" s="77"/>
      <c r="C47" s="77"/>
      <c r="D47" s="77"/>
      <c r="E47" s="77"/>
      <c r="F47" s="77"/>
      <c r="G47" s="77"/>
      <c r="H47" t="str"/>
    </row>
    <row r="48">
      <c r="A48" s="12"/>
      <c r="B48" s="77"/>
      <c r="C48" s="77"/>
      <c r="D48" s="77"/>
      <c r="E48" s="77"/>
      <c r="F48" s="77"/>
      <c r="G48" s="77"/>
      <c r="H48" t="str"/>
    </row>
    <row r="49">
      <c r="A49" s="12"/>
      <c r="B49" s="77"/>
      <c r="C49" s="77"/>
      <c r="D49" s="77"/>
      <c r="E49" s="77"/>
      <c r="F49" s="77"/>
      <c r="G49" s="77"/>
      <c r="H49" t="str"/>
    </row>
    <row r="50">
      <c r="A50" s="12"/>
      <c r="B50" s="77"/>
      <c r="C50" s="77"/>
      <c r="D50" s="77"/>
      <c r="E50" s="77"/>
      <c r="F50" s="77"/>
      <c r="G50" s="77"/>
      <c r="H50" t="str"/>
    </row>
    <row r="51">
      <c r="A51" s="12"/>
      <c r="B51" s="77"/>
      <c r="C51" s="77"/>
      <c r="D51" s="77"/>
      <c r="E51" s="77"/>
      <c r="F51" s="77"/>
      <c r="G51" s="77"/>
      <c r="H51" t="str"/>
    </row>
    <row r="52">
      <c r="A52" s="12"/>
      <c r="B52" s="77"/>
      <c r="C52" s="77"/>
      <c r="D52" s="77"/>
      <c r="E52" s="77"/>
      <c r="F52" s="77"/>
      <c r="G52" s="77"/>
      <c r="H52" t="str"/>
    </row>
    <row r="53">
      <c r="A53" s="12"/>
      <c r="B53" s="77"/>
      <c r="C53" s="77"/>
      <c r="D53" s="77"/>
      <c r="E53" s="77"/>
      <c r="F53" s="77"/>
      <c r="G53" s="77"/>
      <c r="H53" t="str"/>
    </row>
    <row r="54">
      <c r="A54" s="12"/>
      <c r="B54" s="77"/>
      <c r="C54" s="77"/>
      <c r="D54" s="77"/>
      <c r="E54" s="77"/>
      <c r="F54" s="77"/>
      <c r="G54" s="77"/>
      <c r="H54" t="str"/>
    </row>
    <row r="55">
      <c r="A55" s="12"/>
      <c r="B55" s="77"/>
      <c r="C55" s="77"/>
      <c r="D55" s="77"/>
      <c r="E55" s="77"/>
      <c r="F55" s="77"/>
      <c r="G55" s="77"/>
      <c r="H55" t="str"/>
    </row>
    <row r="56">
      <c r="A56" s="12"/>
      <c r="B56" s="77"/>
      <c r="C56" s="77"/>
      <c r="D56" s="77"/>
      <c r="E56" s="77"/>
      <c r="F56" s="77"/>
      <c r="G56" s="77"/>
      <c r="H56" t="str"/>
    </row>
    <row r="57">
      <c r="A57" s="12"/>
      <c r="B57" s="77"/>
      <c r="C57" s="77"/>
      <c r="D57" s="77"/>
      <c r="E57" s="77"/>
      <c r="F57" s="77"/>
      <c r="G57" s="77"/>
      <c r="H57" t="str"/>
    </row>
    <row r="58">
      <c r="A58" s="12"/>
      <c r="B58" s="77"/>
      <c r="C58" s="77"/>
      <c r="D58" s="77"/>
      <c r="E58" s="77"/>
      <c r="F58" s="77"/>
      <c r="G58" s="77"/>
      <c r="H58" t="str"/>
    </row>
    <row r="59">
      <c r="A59" s="12"/>
      <c r="B59" s="77"/>
      <c r="C59" s="77"/>
      <c r="D59" s="77"/>
      <c r="E59" s="77"/>
      <c r="F59" s="77"/>
      <c r="G59" s="77"/>
      <c r="H59" t="str"/>
    </row>
    <row r="60">
      <c r="A60" s="12"/>
      <c r="B60" s="77"/>
      <c r="C60" s="77"/>
      <c r="D60" s="77"/>
      <c r="E60" s="77"/>
      <c r="F60" s="77"/>
      <c r="G60" s="77"/>
      <c r="H60" t="str"/>
    </row>
    <row r="61">
      <c r="A61" s="12"/>
      <c r="B61" s="77"/>
      <c r="C61" s="77"/>
      <c r="D61" s="77"/>
      <c r="E61" s="77"/>
      <c r="F61" s="77"/>
      <c r="G61" s="77"/>
      <c r="H61" t="str"/>
    </row>
    <row r="62">
      <c r="A62" s="12"/>
      <c r="B62" s="77"/>
      <c r="C62" s="77"/>
      <c r="D62" s="77"/>
      <c r="E62" s="77"/>
      <c r="F62" s="77"/>
      <c r="G62" s="77"/>
      <c r="H62" t="str"/>
    </row>
    <row r="63">
      <c r="A63" s="12"/>
      <c r="B63" s="77"/>
      <c r="C63" s="77"/>
      <c r="D63" s="77"/>
      <c r="E63" s="77"/>
      <c r="F63" s="77"/>
      <c r="G63" s="77"/>
      <c r="H63" t="str"/>
    </row>
    <row r="64">
      <c r="A64" s="12"/>
      <c r="B64" s="77"/>
      <c r="C64" s="77"/>
      <c r="D64" s="77"/>
      <c r="E64" s="77"/>
      <c r="F64" s="77"/>
      <c r="G64" s="77"/>
      <c r="H64" t="str"/>
    </row>
    <row r="65">
      <c r="A65" s="12"/>
      <c r="B65" s="77"/>
      <c r="C65" s="77"/>
      <c r="D65" s="77"/>
      <c r="E65" s="77"/>
      <c r="F65" s="77"/>
      <c r="G65" s="77"/>
      <c r="H65" t="str"/>
    </row>
    <row r="66">
      <c r="A66" s="12"/>
      <c r="B66" s="77"/>
      <c r="C66" s="77"/>
      <c r="D66" s="77"/>
      <c r="E66" s="77"/>
      <c r="F66" s="77"/>
      <c r="G66" s="77"/>
      <c r="H66" t="str"/>
    </row>
    <row r="67">
      <c r="A67" s="12"/>
      <c r="B67" s="77"/>
      <c r="C67" s="77"/>
      <c r="D67" s="77"/>
      <c r="E67" s="77"/>
      <c r="F67" s="77"/>
      <c r="G67" s="77"/>
      <c r="H67" t="str"/>
    </row>
    <row r="68">
      <c r="A68" s="12"/>
      <c r="B68" s="77"/>
      <c r="C68" s="77"/>
      <c r="D68" s="77"/>
      <c r="E68" s="77"/>
      <c r="F68" s="77"/>
      <c r="G68" s="77"/>
      <c r="H68" t="str"/>
    </row>
    <row r="69">
      <c r="A69" s="12"/>
      <c r="B69" s="77"/>
      <c r="C69" s="77"/>
      <c r="D69" s="77"/>
      <c r="E69" s="77"/>
      <c r="F69" s="77"/>
      <c r="G69" s="77"/>
      <c r="H69" t="str"/>
    </row>
    <row r="70">
      <c r="A70" s="12"/>
      <c r="B70" s="77"/>
      <c r="C70" s="77"/>
      <c r="D70" s="77"/>
      <c r="E70" s="77"/>
      <c r="F70" s="77"/>
      <c r="G70" s="77"/>
      <c r="H70" t="str"/>
    </row>
    <row r="71">
      <c r="A71" s="12"/>
      <c r="B71" s="77"/>
      <c r="C71" s="77"/>
      <c r="D71" s="77"/>
      <c r="E71" s="77"/>
      <c r="F71" s="77"/>
      <c r="G71" s="77"/>
      <c r="H71" t="str"/>
    </row>
    <row r="72">
      <c r="A72" s="12"/>
      <c r="B72" s="77"/>
      <c r="C72" s="77"/>
      <c r="D72" s="77"/>
      <c r="E72" s="77"/>
      <c r="F72" s="77"/>
      <c r="G72" s="77"/>
      <c r="H72" t="str"/>
    </row>
    <row r="73">
      <c r="A73" s="12"/>
      <c r="B73" s="77"/>
      <c r="C73" s="77"/>
      <c r="D73" s="77"/>
      <c r="E73" s="77"/>
      <c r="F73" s="77"/>
      <c r="G73" s="77"/>
      <c r="H73" t="str"/>
    </row>
    <row r="74">
      <c r="A74" s="12"/>
      <c r="B74" s="77"/>
      <c r="C74" s="77"/>
      <c r="D74" s="77"/>
      <c r="E74" s="77"/>
      <c r="F74" s="77"/>
      <c r="G74" s="77"/>
      <c r="H74" t="str"/>
    </row>
    <row r="75">
      <c r="A75" s="12"/>
      <c r="B75" s="77"/>
      <c r="C75" s="77"/>
      <c r="D75" s="77"/>
      <c r="E75" s="77"/>
      <c r="F75" s="77"/>
      <c r="G75" s="77"/>
      <c r="H75" t="str"/>
    </row>
    <row r="76">
      <c r="A76" s="12"/>
      <c r="B76" s="77"/>
      <c r="C76" s="77"/>
      <c r="D76" s="77"/>
      <c r="E76" s="77"/>
      <c r="F76" s="77"/>
      <c r="G76" s="77"/>
      <c r="H76" t="str"/>
    </row>
    <row r="77">
      <c r="A77" s="12"/>
      <c r="B77" s="77"/>
      <c r="C77" s="77"/>
      <c r="D77" s="77"/>
      <c r="E77" s="77"/>
      <c r="F77" s="77"/>
      <c r="G77" s="77"/>
      <c r="H77" t="str"/>
    </row>
    <row r="78">
      <c r="A78" s="12"/>
      <c r="B78" s="77"/>
      <c r="C78" s="77"/>
      <c r="D78" s="77"/>
      <c r="E78" s="77"/>
      <c r="F78" s="77"/>
      <c r="G78" s="77"/>
      <c r="H78" t="str"/>
    </row>
    <row r="79">
      <c r="A79" s="12"/>
      <c r="B79" s="77"/>
      <c r="C79" s="77"/>
      <c r="D79" s="77"/>
      <c r="E79" s="77"/>
      <c r="F79" s="77"/>
      <c r="G79" s="77"/>
      <c r="H79" t="str"/>
    </row>
    <row r="80">
      <c r="A80" s="12"/>
      <c r="B80" s="77"/>
      <c r="C80" s="77"/>
      <c r="D80" s="77"/>
      <c r="E80" s="77"/>
      <c r="F80" s="77"/>
      <c r="G80" s="77"/>
      <c r="H80" t="str"/>
    </row>
    <row r="81">
      <c r="A81" s="12"/>
      <c r="B81" s="77"/>
      <c r="C81" s="77"/>
      <c r="D81" s="77"/>
      <c r="E81" s="77"/>
      <c r="F81" s="77"/>
      <c r="G81" s="77"/>
      <c r="H81" t="str"/>
    </row>
    <row r="82">
      <c r="A82" s="12"/>
      <c r="B82" s="77"/>
      <c r="C82" s="77"/>
      <c r="D82" s="77"/>
      <c r="E82" s="77"/>
      <c r="F82" s="77"/>
      <c r="G82" s="77"/>
      <c r="H82" t="str"/>
    </row>
    <row r="83">
      <c r="A83" s="12"/>
      <c r="B83" s="77"/>
      <c r="C83" s="77"/>
      <c r="D83" s="77"/>
      <c r="E83" s="77"/>
      <c r="F83" s="77"/>
      <c r="G83" s="77"/>
      <c r="H83" t="str"/>
    </row>
    <row r="84">
      <c r="A84" s="12"/>
      <c r="B84" s="77"/>
      <c r="C84" s="77"/>
      <c r="D84" s="77"/>
      <c r="E84" s="77"/>
      <c r="F84" s="77"/>
      <c r="G84" s="77"/>
      <c r="H84" t="str"/>
    </row>
    <row r="85">
      <c r="A85" s="12"/>
      <c r="B85" s="77"/>
      <c r="C85" s="77"/>
      <c r="D85" s="77"/>
      <c r="E85" s="77"/>
      <c r="F85" s="77"/>
      <c r="G85" s="77"/>
      <c r="H85" t="str"/>
    </row>
    <row r="86">
      <c r="A86" s="12"/>
      <c r="B86" s="77"/>
      <c r="C86" s="77"/>
      <c r="D86" s="77"/>
      <c r="E86" s="77"/>
      <c r="F86" s="77"/>
      <c r="G86" s="77"/>
      <c r="H86" t="str"/>
    </row>
    <row r="87">
      <c r="A87" s="12"/>
      <c r="B87" s="77"/>
      <c r="C87" s="77"/>
      <c r="D87" s="77"/>
      <c r="E87" s="77"/>
      <c r="F87" s="77"/>
      <c r="G87" s="77"/>
      <c r="H87" t="str"/>
    </row>
    <row r="88">
      <c r="A88" s="12"/>
      <c r="B88" s="77"/>
      <c r="C88" s="77"/>
      <c r="D88" s="77"/>
      <c r="E88" s="77"/>
      <c r="F88" s="77"/>
      <c r="G88" s="77"/>
      <c r="H88" t="str"/>
    </row>
    <row r="89">
      <c r="A89" s="12"/>
      <c r="B89" s="77"/>
      <c r="C89" s="77"/>
      <c r="D89" s="77"/>
      <c r="E89" s="77"/>
      <c r="F89" s="77"/>
      <c r="G89" s="77"/>
      <c r="H89" t="str"/>
    </row>
    <row r="90">
      <c r="A90" s="12"/>
      <c r="B90" s="77"/>
      <c r="C90" s="77"/>
      <c r="D90" s="77"/>
      <c r="E90" s="77"/>
      <c r="F90" s="77"/>
      <c r="G90" s="77"/>
      <c r="H90" t="str"/>
    </row>
    <row r="91">
      <c r="A91" s="12"/>
      <c r="B91" s="77"/>
      <c r="C91" s="77"/>
      <c r="D91" s="77"/>
      <c r="E91" s="77"/>
      <c r="F91" s="77"/>
      <c r="G91" s="77"/>
      <c r="H91" t="str"/>
    </row>
    <row r="92">
      <c r="A92" s="12"/>
      <c r="B92" s="77"/>
      <c r="C92" s="77"/>
      <c r="D92" s="77"/>
      <c r="E92" s="77"/>
      <c r="F92" s="77"/>
      <c r="G92" s="77"/>
      <c r="H92" t="str"/>
    </row>
    <row r="93">
      <c r="A93" s="12"/>
      <c r="B93" s="77"/>
      <c r="C93" s="77"/>
      <c r="D93" s="77"/>
      <c r="E93" s="77"/>
      <c r="F93" s="77"/>
      <c r="G93" s="77"/>
      <c r="H93" t="str"/>
    </row>
    <row r="94">
      <c r="A94" s="12"/>
      <c r="B94" s="77"/>
      <c r="C94" s="77"/>
      <c r="D94" s="77"/>
      <c r="E94" s="77"/>
      <c r="F94" s="77"/>
      <c r="G94" s="77"/>
      <c r="H94" t="str"/>
    </row>
    <row r="95">
      <c r="A95" s="12"/>
      <c r="B95" s="77"/>
      <c r="C95" s="77"/>
      <c r="D95" s="77"/>
      <c r="E95" s="77"/>
      <c r="F95" s="77"/>
      <c r="G95" s="77"/>
      <c r="H95" t="str"/>
    </row>
    <row r="96">
      <c r="A96" s="12"/>
      <c r="B96" s="77"/>
      <c r="C96" s="77"/>
      <c r="D96" s="77"/>
      <c r="E96" s="77"/>
      <c r="F96" s="77"/>
      <c r="G96" s="77"/>
      <c r="H96" t="str"/>
    </row>
    <row r="97">
      <c r="A97" s="12"/>
      <c r="B97" s="77"/>
      <c r="C97" s="77"/>
      <c r="D97" s="77"/>
      <c r="E97" s="77"/>
      <c r="F97" s="77"/>
      <c r="G97" s="77"/>
      <c r="H97" t="str"/>
    </row>
    <row r="98">
      <c r="A98" s="12"/>
      <c r="B98" s="77"/>
      <c r="C98" s="77"/>
      <c r="D98" s="77"/>
      <c r="E98" s="77"/>
      <c r="F98" s="77"/>
      <c r="G98" s="77"/>
      <c r="H98" t="str"/>
    </row>
    <row r="99">
      <c r="A99" s="12"/>
      <c r="B99" s="77"/>
      <c r="C99" s="77"/>
      <c r="D99" s="77"/>
      <c r="E99" s="77"/>
      <c r="F99" s="77"/>
      <c r="G99" s="77"/>
      <c r="H99" t="str"/>
    </row>
    <row r="100">
      <c r="A100" s="12"/>
      <c r="B100" s="77"/>
      <c r="C100" s="77"/>
      <c r="D100" s="77"/>
      <c r="E100" s="77"/>
      <c r="F100" s="77"/>
      <c r="G100" s="77"/>
      <c r="H100" t="str"/>
    </row>
    <row r="101">
      <c r="A101" s="12"/>
      <c r="B101" s="77"/>
      <c r="C101" s="77"/>
      <c r="D101" s="77"/>
      <c r="E101" s="77"/>
      <c r="F101" s="77"/>
      <c r="G101" s="77"/>
    </row>
    <row r="102">
      <c r="A102" s="12"/>
      <c r="B102" s="77"/>
      <c r="C102" s="77"/>
      <c r="D102" s="77"/>
      <c r="E102" s="77"/>
      <c r="F102" s="77"/>
      <c r="G102" s="77"/>
    </row>
    <row r="103">
      <c r="A103" s="12"/>
      <c r="B103" s="77"/>
      <c r="C103" s="77"/>
      <c r="D103" s="77"/>
      <c r="E103" s="77"/>
      <c r="F103" s="77"/>
      <c r="G103" s="77"/>
    </row>
    <row r="104">
      <c r="A104" s="12"/>
      <c r="B104" s="77"/>
      <c r="C104" s="77"/>
      <c r="D104" s="77"/>
      <c r="E104" s="77"/>
      <c r="F104" s="77"/>
      <c r="G104" s="77"/>
    </row>
    <row r="105">
      <c r="A105" s="12"/>
      <c r="B105" s="77"/>
      <c r="C105" s="77"/>
      <c r="D105" s="77"/>
      <c r="E105" s="77"/>
      <c r="F105" s="77"/>
      <c r="G105" s="77"/>
    </row>
    <row r="106">
      <c r="A106" s="12"/>
      <c r="B106" s="77"/>
      <c r="C106" s="77"/>
      <c r="D106" s="77"/>
      <c r="E106" s="77"/>
      <c r="F106" s="77"/>
      <c r="G106" s="77"/>
    </row>
    <row r="107">
      <c r="A107" s="12"/>
      <c r="B107" s="77"/>
      <c r="C107" s="77"/>
      <c r="D107" s="77"/>
      <c r="E107" s="77"/>
      <c r="F107" s="77"/>
      <c r="G107" s="77"/>
    </row>
    <row r="108">
      <c r="A108" s="12"/>
      <c r="B108" s="77"/>
      <c r="C108" s="77"/>
      <c r="D108" s="77"/>
      <c r="E108" s="77"/>
      <c r="F108" s="77"/>
      <c r="G108" s="77"/>
    </row>
    <row r="109">
      <c r="A109" s="12"/>
      <c r="B109" s="77"/>
      <c r="C109" s="77"/>
      <c r="D109" s="77"/>
      <c r="E109" s="77"/>
      <c r="F109" s="77"/>
      <c r="G109" s="77"/>
    </row>
    <row r="110">
      <c r="A110" s="12"/>
      <c r="B110" s="77"/>
      <c r="C110" s="77"/>
      <c r="D110" s="77"/>
      <c r="E110" s="77"/>
      <c r="F110" s="77"/>
      <c r="G110" s="77"/>
    </row>
    <row r="111">
      <c r="A111" s="12"/>
      <c r="B111" s="77"/>
      <c r="C111" s="77"/>
      <c r="D111" s="77"/>
      <c r="E111" s="77"/>
      <c r="F111" s="77"/>
      <c r="G111" s="77"/>
    </row>
    <row r="112">
      <c r="A112" s="12"/>
      <c r="B112" s="77"/>
      <c r="C112" s="77"/>
      <c r="D112" s="77"/>
      <c r="E112" s="77"/>
      <c r="F112" s="77"/>
      <c r="G112" s="77"/>
    </row>
    <row r="113">
      <c r="A113" s="12"/>
      <c r="B113" s="77"/>
      <c r="C113" s="77"/>
      <c r="D113" s="77"/>
      <c r="E113" s="77"/>
      <c r="F113" s="77"/>
      <c r="G113" s="77"/>
    </row>
    <row r="114">
      <c r="A114" s="12"/>
      <c r="B114" s="77"/>
      <c r="C114" s="77"/>
      <c r="D114" s="77"/>
      <c r="E114" s="77"/>
      <c r="F114" s="77"/>
      <c r="G114" s="77"/>
    </row>
    <row r="115">
      <c r="A115" s="12"/>
      <c r="B115" s="77"/>
      <c r="C115" s="77"/>
      <c r="D115" s="77"/>
      <c r="E115" s="77"/>
      <c r="F115" s="77"/>
      <c r="G115" s="77"/>
    </row>
    <row r="116">
      <c r="A116" s="12"/>
      <c r="B116" s="77"/>
      <c r="C116" s="77"/>
      <c r="D116" s="77"/>
      <c r="E116" s="77"/>
      <c r="F116" s="77"/>
      <c r="G116" s="77"/>
    </row>
    <row r="117">
      <c r="A117" s="12"/>
      <c r="B117" s="77"/>
      <c r="C117" s="77"/>
      <c r="D117" s="77"/>
      <c r="E117" s="77"/>
      <c r="F117" s="77"/>
      <c r="G117" s="77"/>
    </row>
    <row r="118">
      <c r="A118" s="12"/>
      <c r="B118" s="77"/>
      <c r="C118" s="77"/>
      <c r="D118" s="77"/>
      <c r="E118" s="77"/>
      <c r="F118" s="77"/>
      <c r="G118" s="77"/>
    </row>
    <row r="119">
      <c r="A119" s="12"/>
      <c r="B119" s="77"/>
      <c r="C119" s="77"/>
      <c r="D119" s="77"/>
      <c r="E119" s="77"/>
      <c r="F119" s="77"/>
      <c r="G119" s="77"/>
    </row>
    <row r="120">
      <c r="A120" s="12"/>
      <c r="B120" s="77"/>
      <c r="C120" s="77"/>
      <c r="D120" s="77"/>
      <c r="E120" s="77"/>
      <c r="F120" s="77"/>
      <c r="G120" s="77"/>
    </row>
    <row r="121">
      <c r="A121" s="12"/>
      <c r="B121" s="77"/>
      <c r="C121" s="77"/>
      <c r="D121" s="77"/>
      <c r="E121" s="77"/>
      <c r="F121" s="77"/>
      <c r="G121" s="77"/>
    </row>
    <row r="122">
      <c r="A122" s="12"/>
      <c r="B122" s="77"/>
      <c r="C122" s="77"/>
      <c r="D122" s="77"/>
      <c r="E122" s="77"/>
      <c r="F122" s="77"/>
      <c r="G122" s="77"/>
    </row>
    <row r="123">
      <c r="A123" s="12"/>
      <c r="B123" s="77"/>
      <c r="C123" s="77"/>
      <c r="D123" s="77"/>
      <c r="E123" s="77"/>
      <c r="F123" s="77"/>
      <c r="G123" s="77"/>
    </row>
    <row r="124">
      <c r="A124" s="12"/>
      <c r="B124" s="77"/>
      <c r="C124" s="77"/>
      <c r="D124" s="77"/>
      <c r="E124" s="77"/>
      <c r="F124" s="77"/>
      <c r="G124" s="77"/>
    </row>
    <row r="125">
      <c r="A125" s="12"/>
      <c r="B125" s="77"/>
      <c r="C125" s="77"/>
      <c r="D125" s="77"/>
      <c r="E125" s="77"/>
      <c r="F125" s="77"/>
      <c r="G125" s="77"/>
    </row>
    <row r="126">
      <c r="A126" s="12"/>
      <c r="B126" s="77"/>
      <c r="C126" s="77"/>
      <c r="D126" s="77"/>
      <c r="E126" s="77"/>
      <c r="F126" s="77"/>
      <c r="G126" s="77"/>
    </row>
    <row r="127">
      <c r="A127" s="12"/>
      <c r="B127" s="77"/>
      <c r="C127" s="77"/>
      <c r="D127" s="77"/>
      <c r="E127" s="77"/>
      <c r="F127" s="77"/>
      <c r="G127" s="77"/>
    </row>
    <row r="128">
      <c r="A128" s="12"/>
      <c r="B128" s="77"/>
      <c r="C128" s="77"/>
      <c r="D128" s="77"/>
      <c r="E128" s="77"/>
      <c r="F128" s="77"/>
      <c r="G128" s="77"/>
    </row>
    <row r="129">
      <c r="A129" s="12"/>
      <c r="B129" s="77"/>
      <c r="C129" s="77"/>
      <c r="D129" s="77"/>
      <c r="E129" s="77"/>
      <c r="F129" s="77"/>
      <c r="G129" s="77"/>
    </row>
    <row r="130">
      <c r="A130" s="12"/>
      <c r="B130" s="77"/>
      <c r="C130" s="77"/>
      <c r="D130" s="77"/>
      <c r="E130" s="77"/>
      <c r="F130" s="77"/>
      <c r="G130" s="77"/>
    </row>
    <row r="131">
      <c r="A131" s="12"/>
      <c r="B131" s="77"/>
      <c r="C131" s="77"/>
      <c r="D131" s="77"/>
      <c r="E131" s="77"/>
      <c r="F131" s="77"/>
      <c r="G131" s="77"/>
    </row>
    <row r="132">
      <c r="A132" s="12"/>
      <c r="B132" s="77"/>
      <c r="C132" s="77"/>
      <c r="D132" s="77"/>
      <c r="E132" s="77"/>
      <c r="F132" s="77"/>
      <c r="G132" s="77"/>
    </row>
    <row r="133">
      <c r="A133" s="12"/>
      <c r="B133" s="77"/>
      <c r="C133" s="77"/>
      <c r="D133" s="77"/>
      <c r="E133" s="77"/>
      <c r="F133" s="77"/>
      <c r="G133" s="77"/>
    </row>
    <row r="134">
      <c r="A134" s="12"/>
      <c r="B134" s="77"/>
      <c r="C134" s="77"/>
      <c r="D134" s="77"/>
      <c r="E134" s="77"/>
      <c r="F134" s="77"/>
      <c r="G134" s="77"/>
    </row>
    <row r="135">
      <c r="A135" s="12"/>
      <c r="B135" s="77"/>
      <c r="C135" s="77"/>
      <c r="D135" s="77"/>
      <c r="E135" s="77"/>
      <c r="F135" s="77"/>
      <c r="G135" s="77"/>
    </row>
    <row r="136">
      <c r="A136" s="12"/>
      <c r="B136" s="77"/>
      <c r="C136" s="77"/>
      <c r="D136" s="77"/>
      <c r="E136" s="77"/>
      <c r="F136" s="77"/>
      <c r="G136" s="77"/>
    </row>
    <row r="137">
      <c r="A137" s="12"/>
      <c r="B137" s="77"/>
      <c r="C137" s="77"/>
      <c r="D137" s="77"/>
      <c r="E137" s="77"/>
      <c r="F137" s="77"/>
      <c r="G137" s="77"/>
    </row>
    <row r="138">
      <c r="A138" s="12"/>
      <c r="B138" s="77"/>
      <c r="C138" s="77"/>
      <c r="D138" s="77"/>
      <c r="E138" s="77"/>
      <c r="F138" s="77"/>
      <c r="G138" s="77"/>
    </row>
    <row r="139">
      <c r="A139" s="12"/>
      <c r="B139" s="77"/>
      <c r="C139" s="77"/>
      <c r="D139" s="77"/>
      <c r="E139" s="77"/>
      <c r="F139" s="77"/>
      <c r="G139" s="77"/>
    </row>
    <row r="140">
      <c r="A140" s="12"/>
      <c r="B140" s="77"/>
      <c r="C140" s="77"/>
      <c r="D140" s="77"/>
      <c r="E140" s="77"/>
      <c r="F140" s="77"/>
      <c r="G140" s="77"/>
    </row>
    <row r="141">
      <c r="A141" s="12"/>
      <c r="B141" s="77"/>
      <c r="C141" s="77"/>
      <c r="D141" s="77"/>
      <c r="E141" s="77"/>
      <c r="F141" s="77"/>
      <c r="G141" s="77"/>
    </row>
    <row r="142">
      <c r="A142" s="12"/>
      <c r="B142" s="77"/>
      <c r="C142" s="77"/>
      <c r="D142" s="77"/>
      <c r="E142" s="77"/>
      <c r="F142" s="77"/>
      <c r="G142" s="77"/>
    </row>
    <row r="143">
      <c r="A143" s="12"/>
      <c r="B143" s="77"/>
      <c r="C143" s="77"/>
      <c r="D143" s="77"/>
      <c r="E143" s="77"/>
      <c r="F143" s="77"/>
      <c r="G143" s="77"/>
    </row>
    <row r="144">
      <c r="A144" s="12"/>
      <c r="B144" s="77"/>
      <c r="C144" s="77"/>
      <c r="D144" s="77"/>
      <c r="E144" s="77"/>
      <c r="F144" s="77"/>
      <c r="G144" s="77"/>
    </row>
    <row r="145">
      <c r="A145" s="12"/>
      <c r="B145" s="77"/>
      <c r="C145" s="77"/>
      <c r="D145" s="77"/>
      <c r="E145" s="77"/>
      <c r="F145" s="77"/>
      <c r="G145" s="77"/>
    </row>
    <row r="146">
      <c r="A146" s="12"/>
      <c r="B146" s="77"/>
      <c r="C146" s="77"/>
      <c r="D146" s="77"/>
      <c r="E146" s="77"/>
      <c r="F146" s="77"/>
      <c r="G146" s="77"/>
    </row>
    <row r="147">
      <c r="A147" s="12"/>
      <c r="B147" s="77"/>
      <c r="C147" s="77"/>
      <c r="D147" s="77"/>
      <c r="E147" s="77"/>
      <c r="F147" s="77"/>
      <c r="G147" s="77"/>
    </row>
    <row r="148">
      <c r="A148" s="12"/>
      <c r="B148" s="77"/>
      <c r="C148" s="77"/>
      <c r="D148" s="77"/>
      <c r="E148" s="77"/>
      <c r="F148" s="77"/>
      <c r="G148" s="77"/>
    </row>
    <row r="149">
      <c r="A149" s="12"/>
      <c r="B149" s="77"/>
      <c r="C149" s="77"/>
      <c r="D149" s="77"/>
      <c r="E149" s="77"/>
      <c r="F149" s="77"/>
      <c r="G149" s="77"/>
    </row>
    <row r="150">
      <c r="A150" s="12"/>
      <c r="B150" s="77"/>
      <c r="C150" s="77"/>
      <c r="D150" s="77"/>
      <c r="E150" s="77"/>
      <c r="F150" s="77"/>
      <c r="G150" s="77"/>
    </row>
    <row r="151">
      <c r="A151" s="12"/>
      <c r="B151" s="77"/>
      <c r="C151" s="77"/>
      <c r="D151" s="77"/>
      <c r="E151" s="77"/>
      <c r="F151" s="77"/>
      <c r="G151" s="77"/>
    </row>
    <row r="152">
      <c r="A152" s="12"/>
      <c r="B152" s="77"/>
      <c r="C152" s="77"/>
      <c r="D152" s="77"/>
      <c r="E152" s="77"/>
      <c r="F152" s="77"/>
      <c r="G152" s="77"/>
    </row>
    <row r="153">
      <c r="A153" s="12"/>
      <c r="B153" s="77"/>
      <c r="C153" s="77"/>
      <c r="D153" s="77"/>
      <c r="E153" s="77"/>
      <c r="F153" s="77"/>
      <c r="G153" s="77"/>
    </row>
    <row r="154">
      <c r="A154" s="12"/>
      <c r="B154" s="77"/>
      <c r="C154" s="77"/>
      <c r="D154" s="77"/>
      <c r="E154" s="77"/>
      <c r="F154" s="77"/>
      <c r="G154" s="77"/>
    </row>
    <row r="155">
      <c r="A155" s="12"/>
      <c r="B155" s="77"/>
      <c r="C155" s="77"/>
      <c r="D155" s="77"/>
      <c r="E155" s="77"/>
      <c r="F155" s="77"/>
      <c r="G155" s="77"/>
    </row>
    <row r="156">
      <c r="A156" s="12"/>
      <c r="B156" s="77"/>
      <c r="C156" s="77"/>
      <c r="D156" s="77"/>
      <c r="E156" s="77"/>
      <c r="F156" s="77"/>
      <c r="G156" s="77"/>
    </row>
    <row r="157">
      <c r="A157" s="12"/>
      <c r="B157" s="77"/>
      <c r="C157" s="77"/>
      <c r="D157" s="77"/>
      <c r="E157" s="77"/>
      <c r="F157" s="77"/>
      <c r="G157" s="77"/>
    </row>
    <row r="158">
      <c r="A158" s="12"/>
      <c r="B158" s="77"/>
      <c r="C158" s="77"/>
      <c r="D158" s="77"/>
      <c r="E158" s="77"/>
      <c r="F158" s="77"/>
      <c r="G158" s="77"/>
    </row>
    <row r="159">
      <c r="A159" s="12"/>
      <c r="B159" s="77"/>
      <c r="C159" s="77"/>
      <c r="D159" s="77"/>
      <c r="E159" s="77"/>
      <c r="F159" s="77"/>
      <c r="G159" s="77"/>
    </row>
    <row r="160">
      <c r="A160" s="12"/>
      <c r="B160" s="77"/>
      <c r="C160" s="77"/>
      <c r="D160" s="77"/>
      <c r="E160" s="77"/>
      <c r="F160" s="77"/>
      <c r="G160" s="77"/>
    </row>
    <row r="161">
      <c r="A161" s="12"/>
      <c r="B161" s="77"/>
      <c r="C161" s="77"/>
      <c r="D161" s="77"/>
      <c r="E161" s="77"/>
      <c r="F161" s="77"/>
      <c r="G161" s="77"/>
    </row>
    <row r="162">
      <c r="A162" s="12"/>
      <c r="B162" s="77"/>
      <c r="C162" s="77"/>
      <c r="D162" s="77"/>
      <c r="E162" s="77"/>
      <c r="F162" s="77"/>
      <c r="G162" s="77"/>
    </row>
    <row r="163">
      <c r="A163" s="12"/>
      <c r="B163" s="77"/>
      <c r="C163" s="77"/>
      <c r="D163" s="77"/>
      <c r="E163" s="77"/>
      <c r="F163" s="77"/>
      <c r="G163" s="77"/>
    </row>
    <row r="164">
      <c r="A164" s="12"/>
      <c r="B164" s="77"/>
      <c r="C164" s="77"/>
      <c r="D164" s="77"/>
      <c r="E164" s="77"/>
      <c r="F164" s="77"/>
      <c r="G164" s="77"/>
    </row>
    <row r="165">
      <c r="A165" s="12"/>
      <c r="B165" s="77"/>
      <c r="C165" s="77"/>
      <c r="D165" s="77"/>
      <c r="E165" s="77"/>
      <c r="F165" s="77"/>
      <c r="G165" s="77"/>
    </row>
    <row r="166">
      <c r="A166" s="12"/>
      <c r="B166" s="77"/>
      <c r="C166" s="77"/>
      <c r="D166" s="77"/>
      <c r="E166" s="77"/>
      <c r="F166" s="77"/>
      <c r="G166" s="77"/>
    </row>
    <row r="167">
      <c r="A167" s="12"/>
      <c r="B167" s="77"/>
      <c r="C167" s="77"/>
      <c r="D167" s="77"/>
      <c r="E167" s="77"/>
      <c r="F167" s="77"/>
      <c r="G167" s="77"/>
    </row>
    <row r="168">
      <c r="A168" s="12"/>
      <c r="B168" s="77"/>
      <c r="C168" s="77"/>
      <c r="D168" s="77"/>
      <c r="E168" s="77"/>
      <c r="F168" s="77"/>
      <c r="G168" s="77"/>
    </row>
    <row r="169">
      <c r="A169" s="12"/>
      <c r="B169" s="77"/>
      <c r="C169" s="77"/>
      <c r="D169" s="77"/>
      <c r="E169" s="77"/>
      <c r="F169" s="77"/>
      <c r="G169" s="77"/>
    </row>
    <row r="170">
      <c r="A170" s="12"/>
      <c r="B170" s="77"/>
      <c r="C170" s="77"/>
      <c r="D170" s="77"/>
      <c r="E170" s="77"/>
      <c r="F170" s="77"/>
      <c r="G170" s="77"/>
    </row>
    <row r="171">
      <c r="A171" s="12"/>
      <c r="B171" s="77"/>
      <c r="C171" s="77"/>
      <c r="D171" s="77"/>
      <c r="E171" s="77"/>
      <c r="F171" s="77"/>
      <c r="G171" s="77"/>
    </row>
    <row r="172">
      <c r="A172" s="12"/>
      <c r="B172" s="77"/>
      <c r="C172" s="77"/>
      <c r="D172" s="77"/>
      <c r="E172" s="77"/>
      <c r="F172" s="77"/>
      <c r="G172" s="77"/>
    </row>
    <row r="173">
      <c r="A173" s="12"/>
      <c r="B173" s="77"/>
      <c r="C173" s="77"/>
      <c r="D173" s="77"/>
      <c r="E173" s="77"/>
      <c r="F173" s="77"/>
      <c r="G173" s="77"/>
    </row>
    <row r="174">
      <c r="A174" s="12"/>
      <c r="B174" s="77"/>
      <c r="C174" s="77"/>
      <c r="D174" s="77"/>
      <c r="E174" s="77"/>
      <c r="F174" s="77"/>
      <c r="G174" s="77"/>
    </row>
    <row r="175">
      <c r="A175" s="12"/>
      <c r="B175" s="77"/>
      <c r="C175" s="77"/>
      <c r="D175" s="77"/>
      <c r="E175" s="77"/>
      <c r="F175" s="77"/>
      <c r="G175" s="77"/>
    </row>
    <row r="176">
      <c r="A176" s="12"/>
      <c r="B176" s="77"/>
      <c r="C176" s="77"/>
      <c r="D176" s="77"/>
      <c r="E176" s="77"/>
      <c r="F176" s="77"/>
      <c r="G176" s="77"/>
    </row>
    <row r="177">
      <c r="A177" s="12"/>
      <c r="B177" s="77"/>
      <c r="C177" s="77"/>
      <c r="D177" s="77"/>
      <c r="E177" s="77"/>
      <c r="F177" s="77"/>
      <c r="G177" s="77"/>
    </row>
    <row r="178">
      <c r="A178" s="12"/>
      <c r="B178" s="77"/>
      <c r="C178" s="77"/>
      <c r="D178" s="77"/>
      <c r="E178" s="77"/>
      <c r="F178" s="77"/>
      <c r="G178" s="77"/>
    </row>
    <row r="179">
      <c r="A179" s="12"/>
      <c r="B179" s="77"/>
      <c r="C179" s="77"/>
      <c r="D179" s="77"/>
      <c r="E179" s="77"/>
      <c r="F179" s="77"/>
      <c r="G179" s="77"/>
    </row>
    <row r="180">
      <c r="A180" s="12"/>
      <c r="B180" s="77"/>
      <c r="C180" s="77"/>
      <c r="D180" s="77"/>
      <c r="E180" s="77"/>
      <c r="F180" s="77"/>
      <c r="G180" s="77"/>
    </row>
    <row r="181">
      <c r="A181" s="12"/>
      <c r="B181" s="77"/>
      <c r="C181" s="77"/>
      <c r="D181" s="77"/>
      <c r="E181" s="77"/>
      <c r="F181" s="77"/>
      <c r="G181" s="77"/>
    </row>
    <row r="182">
      <c r="A182" s="12"/>
      <c r="B182" s="77"/>
      <c r="C182" s="77"/>
      <c r="D182" s="77"/>
      <c r="E182" s="77"/>
      <c r="F182" s="77"/>
      <c r="G182" s="77"/>
    </row>
    <row r="183">
      <c r="A183" s="12"/>
      <c r="B183" s="77"/>
      <c r="C183" s="77"/>
      <c r="D183" s="77"/>
      <c r="E183" s="77"/>
      <c r="F183" s="77"/>
      <c r="G183" s="77"/>
    </row>
    <row r="184">
      <c r="A184" s="12"/>
      <c r="B184" s="77"/>
      <c r="C184" s="77"/>
      <c r="D184" s="77"/>
      <c r="E184" s="77"/>
      <c r="F184" s="77"/>
      <c r="G184" s="77"/>
    </row>
    <row r="185">
      <c r="A185" s="12"/>
      <c r="B185" s="77"/>
      <c r="C185" s="77"/>
      <c r="D185" s="77"/>
      <c r="E185" s="77"/>
      <c r="F185" s="77"/>
      <c r="G185" s="77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d5f6f2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1"/>
    <col collapsed="false" customWidth="true" hidden="false" max="4" min="4" style="0" width="11"/>
    <col collapsed="false" hidden="false" max="5" min="5" style="0" width="11"/>
    <col collapsed="false" customWidth="true" hidden="false" max="6" min="6" outlineLevel="1" style="0" width="11"/>
    <col collapsed="false" customWidth="true" hidden="false" max="7" min="7" outlineLevel="1" style="0" width="11"/>
    <col collapsed="false" customWidth="true" hidden="false" max="8" min="8" outlineLevel="1" style="0" width="8"/>
    <col collapsed="false" customWidth="true" hidden="false" max="9" min="9" outlineLevel="1" style="0" width="11"/>
    <col collapsed="false" customWidth="true" hidden="false" max="10" min="10" outlineLevel="1" style="0" width="9"/>
    <col collapsed="false" hidden="false" max="11" min="11" style="0" width="11"/>
    <col collapsed="false" customWidth="true" hidden="false" max="12" min="12" outlineLevel="1" style="0" width="11"/>
    <col collapsed="false" customWidth="true" hidden="false" max="13" min="13" outlineLevel="1" style="0" width="11"/>
    <col collapsed="false" customWidth="true" hidden="false" max="14" min="14" outlineLevel="1" style="0" width="8"/>
    <col collapsed="false" customWidth="true" hidden="false" max="15" min="15" outlineLevel="1" style="0" width="11"/>
    <col collapsed="false" customWidth="true" hidden="false" max="16" min="16" outlineLevel="1" style="0" width="9"/>
    <col collapsed="false" customWidth="true" hidden="false" max="17" min="17" style="0" width="8"/>
    <col collapsed="false" customWidth="true" hidden="false" max="18" min="18" style="0" width="8"/>
    <col collapsed="false" customWidth="true" hidden="false" max="19" min="19" style="0" width="10"/>
    <col collapsed="false" customWidth="true" hidden="false" max="20" min="20" style="0" width="8"/>
    <col collapsed="false" customWidth="true" hidden="false" max="21" min="21" style="0" width="27"/>
    <col collapsed="false" customWidth="true" hidden="false" max="22" min="22" style="0" width="27"/>
    <col collapsed="false" customWidth="true" hidden="false" max="23" min="23" style="0" width="25"/>
    <col collapsed="false" customWidth="true" hidden="false" max="24" min="24" style="0" width="28"/>
    <col collapsed="false" customWidth="true" hidden="false" max="25" min="25" style="0" width="1"/>
    <col collapsed="false" customWidth="true" hidden="false" max="26" min="26" style="0" width="8"/>
    <col collapsed="false" customWidth="true" hidden="false" max="27" min="27" style="0" width="11"/>
    <col collapsed="false" customWidth="true" hidden="false" max="28" min="28" style="0" width="11"/>
  </cols>
  <sheetData>
    <row r="1">
      <c r="A1" s="101" t="str">
        <v>武器等级</v>
      </c>
      <c r="B1" s="101" t="str">
        <v>升到下一级成本</v>
      </c>
      <c r="C1" s="103" t="str">
        <v>累计升级成本</v>
      </c>
      <c r="D1" s="103"/>
      <c r="E1" s="23" t="str" xml:space="preserve">
        <v> </v>
      </c>
      <c r="F1" s="102" t="str">
        <v>期望平衡成本</v>
      </c>
      <c r="G1" s="102" t="str">
        <v>期望平衡掉率</v>
      </c>
      <c r="H1" s="105" t="str">
        <v>平衡掉率</v>
      </c>
      <c r="I1" s="104" t="str">
        <v>平衡刷新成本</v>
      </c>
      <c r="J1" s="102" t="str">
        <v>刷新/升级</v>
      </c>
      <c r="K1" s="23" t="str" xml:space="preserve">
        <v> </v>
      </c>
      <c r="L1" s="102" t="str">
        <v>期望边际成本</v>
      </c>
      <c r="M1" s="102" t="str">
        <v>期望边际掉率</v>
      </c>
      <c r="N1" s="105" t="str">
        <v>边际掉率</v>
      </c>
      <c r="O1" s="104" t="str">
        <v>边际刷新成本</v>
      </c>
      <c r="P1" s="103" t="str">
        <v>刷新/升级</v>
      </c>
      <c r="Q1" s="101" t="str">
        <v>商人买入</v>
      </c>
      <c r="R1" s="101" t="str">
        <v>商人卖出</v>
      </c>
      <c r="S1" s="101" t="str">
        <v>无人机运回</v>
      </c>
      <c r="T1" s="101" t="str">
        <v>走私成本</v>
      </c>
      <c r="U1" s="103" t="str">
        <v>卖武器收益 (一发入魂/肉身带回)</v>
      </c>
      <c r="V1" s="103" t="str">
        <v>卖武器收益 (边际刷新/肉身带回)</v>
      </c>
      <c r="W1" s="103" t="str">
        <v>卖武器收益 (升级/无人机带回)</v>
      </c>
      <c r="X1" s="103" t="str">
        <v>卖武器收益 (期望刷新/无人机带回)</v>
      </c>
      <c r="Y1" s="7" t="str" xml:space="preserve">
        <v> </v>
      </c>
      <c r="Z1" s="103" t="str">
        <v>刷新次数</v>
      </c>
      <c r="AA1" s="101" t="str">
        <v>单次刷新费用</v>
      </c>
      <c r="AB1" s="103" t="str">
        <v>累计刷新费用</v>
      </c>
      <c r="AC1" s="7"/>
      <c r="AD1" s="7"/>
      <c r="AE1" s="7"/>
      <c r="AF1" s="7"/>
      <c r="AG1" s="7"/>
      <c r="AH1" s="7"/>
      <c r="AI1" s="7"/>
    </row>
    <row r="2">
      <c r="A2" s="84">
        <v>1</v>
      </c>
      <c r="B2" s="84">
        <v>100</v>
      </c>
      <c r="C2" s="86">
        <f>SUM($B1:B$1)</f>
      </c>
      <c r="D2" s="86"/>
      <c r="E2" s="74"/>
      <c r="F2" s="90">
        <f>C2*(1+0.1*A2)</f>
      </c>
      <c r="G2" s="91">
        <f>SQRT(15 / (15 + F2))</f>
      </c>
      <c r="H2" s="92">
        <v>0.9633</v>
      </c>
      <c r="I2" s="93">
        <f>(30 * (1 - H2) / H2) + (15 * (1 - H2)^2 / H2^2)</f>
      </c>
      <c r="J2" s="99">
        <f>1/H2</f>
      </c>
      <c r="K2" s="100"/>
      <c r="L2" s="98">
        <v>0</v>
      </c>
      <c r="M2" s="91">
        <f>SQRT(15 / (15 + L2))</f>
      </c>
      <c r="N2" s="92">
        <v>0.9633</v>
      </c>
      <c r="O2" s="93">
        <f>(30 * (1 - N2) / N2) + (15 * (1 - N2)^2 / N2^2)</f>
      </c>
      <c r="P2" s="85"/>
      <c r="Q2" s="84">
        <f>ROUND(I2*0.9/10,0)*10</f>
      </c>
      <c r="R2" s="84">
        <v>0</v>
      </c>
      <c r="S2" s="84">
        <v>100</v>
      </c>
      <c r="T2" s="84">
        <v>0</v>
      </c>
      <c r="U2" s="94">
        <f>R2-T2</f>
      </c>
      <c r="V2" s="94">
        <f>R2-L2-T2</f>
      </c>
      <c r="W2" s="94">
        <f>R2-T2-C2-S2</f>
      </c>
      <c r="X2" s="94">
        <f>R2-T2-I2-S2</f>
      </c>
      <c r="Z2" s="85">
        <v>1</v>
      </c>
      <c r="AA2" s="84">
        <f>ROUND(30 * 1.4^(Z2-1),0)</f>
      </c>
      <c r="AB2" s="85">
        <f>SUM($AA$2:AA2)</f>
      </c>
    </row>
    <row r="3">
      <c r="A3" s="84">
        <v>2</v>
      </c>
      <c r="B3" s="84">
        <f>ROUND((B2*(2-A3*0.1)/10),0)*10</f>
      </c>
      <c r="C3" s="86">
        <f>SUM($B$1:B2)</f>
      </c>
      <c r="D3" s="86">
        <f>C3+C3</f>
      </c>
      <c r="E3" s="89"/>
      <c r="F3" s="90">
        <f>C3*(1+0.1*A3)</f>
      </c>
      <c r="G3" s="91">
        <f>SQRT(15 / (15 + F3))</f>
      </c>
      <c r="H3" s="92">
        <v>0.33</v>
      </c>
      <c r="I3" s="93">
        <f>(30 * (1 - H3) / H3) + (15 * (1 - H3)^2 / H3^2)</f>
      </c>
      <c r="J3" s="95">
        <f>I3/C3</f>
      </c>
      <c r="K3" s="89"/>
      <c r="L3" s="90">
        <f>C3*0.8</f>
      </c>
      <c r="M3" s="91">
        <f>SQRT(15 / (15 + L3))</f>
      </c>
      <c r="N3" s="96">
        <v>0.4</v>
      </c>
      <c r="O3" s="93">
        <f>(30 * (1 - N3) / N3) + (15 * (1 - N3)^2 / N3^2)</f>
      </c>
      <c r="P3" s="97">
        <f>O3/C3</f>
      </c>
      <c r="Q3" s="84">
        <f>ROUND(I3*0.9/10,0)*10</f>
      </c>
      <c r="R3" s="84">
        <f>Q3/2</f>
      </c>
      <c r="S3" s="84">
        <v>100</v>
      </c>
      <c r="T3" s="84">
        <f>C3*0.3</f>
      </c>
      <c r="U3" s="94">
        <f>R3-T3</f>
      </c>
      <c r="V3" s="94">
        <f>R3-L3-T3</f>
      </c>
      <c r="W3" s="94">
        <f>R3-T3-C3-S3</f>
      </c>
      <c r="X3" s="94">
        <f>R3-T3-I3-S3</f>
      </c>
      <c r="Z3" s="85">
        <v>2</v>
      </c>
      <c r="AA3" s="84">
        <f>AA2+15</f>
      </c>
      <c r="AB3" s="85">
        <f>SUM($AA$2:AA3)</f>
      </c>
    </row>
    <row r="4">
      <c r="A4" s="84">
        <v>3</v>
      </c>
      <c r="B4" s="84">
        <f>ROUND((B3*(2-A4*0.1)/10),0)*10</f>
      </c>
      <c r="C4" s="86">
        <f>SUM($B$1:B3)</f>
      </c>
      <c r="D4" s="86">
        <f>C4+C4</f>
      </c>
      <c r="E4" s="89"/>
      <c r="F4" s="90">
        <f>C4*(1+0.1*A4)</f>
      </c>
      <c r="G4" s="91">
        <f>SQRT(15 / (15 + F4))</f>
      </c>
      <c r="H4" s="92">
        <v>0.2</v>
      </c>
      <c r="I4" s="93">
        <f>(30 * (1 - H4) / H4) + (15 * (1 - H4)^2 / H4^2)</f>
      </c>
      <c r="J4" s="95">
        <f>I4/C4</f>
      </c>
      <c r="K4" s="89"/>
      <c r="L4" s="90">
        <f>C4*0.8</f>
      </c>
      <c r="M4" s="91">
        <f>SQRT(15 / (15 + L4))</f>
      </c>
      <c r="N4" s="96">
        <v>0.25</v>
      </c>
      <c r="O4" s="93">
        <f>(30 * (1 - N4) / N4) + (15 * (1 - N4)^2 / N4^2)</f>
      </c>
      <c r="P4" s="97">
        <f>O4/C4</f>
      </c>
      <c r="Q4" s="84">
        <f>ROUND(I4*0.9/10,0)*10</f>
      </c>
      <c r="R4" s="84">
        <f>Q4/2</f>
      </c>
      <c r="S4" s="84">
        <v>100</v>
      </c>
      <c r="T4" s="84">
        <f>C4*0.3</f>
      </c>
      <c r="U4" s="94">
        <f>R4-T4</f>
      </c>
      <c r="V4" s="94">
        <f>R4-L4-T4</f>
      </c>
      <c r="W4" s="94">
        <f>R4-T4-C4-S4</f>
      </c>
      <c r="X4" s="94">
        <f>R4-T4-I4-S4</f>
      </c>
      <c r="Z4" s="85">
        <v>3</v>
      </c>
      <c r="AA4" s="84">
        <f>AA3+15</f>
      </c>
      <c r="AB4" s="85">
        <f>SUM($AA$2:AA4)</f>
      </c>
    </row>
    <row r="5">
      <c r="A5" s="84">
        <v>4</v>
      </c>
      <c r="B5" s="84">
        <f>ROUND((B4*(2-A5*0.1)/10),0)*10</f>
      </c>
      <c r="C5" s="86">
        <f>SUM($B$1:B4)</f>
      </c>
      <c r="D5" s="86">
        <f>C5+C5</f>
      </c>
      <c r="E5" s="89"/>
      <c r="F5" s="90">
        <f>C5*(1+0.1*A5)</f>
      </c>
      <c r="G5" s="91">
        <f>SQRT(15 / (15 + F5))</f>
      </c>
      <c r="H5" s="92">
        <v>0.13</v>
      </c>
      <c r="I5" s="93">
        <f>(30 * (1 - H5) / H5) + (15 * (1 - H5)^2 / H5^2)</f>
      </c>
      <c r="J5" s="95">
        <f>I5/C5</f>
      </c>
      <c r="K5" s="89"/>
      <c r="L5" s="90">
        <f>C5*0.8</f>
      </c>
      <c r="M5" s="91">
        <f>SQRT(15 / (15 + L5))</f>
      </c>
      <c r="N5" s="96">
        <v>0.18</v>
      </c>
      <c r="O5" s="93">
        <f>(30 * (1 - N5) / N5) + (15 * (1 - N5)^2 / N5^2)</f>
      </c>
      <c r="P5" s="97">
        <f>O5/C5</f>
      </c>
      <c r="Q5" s="84">
        <f>ROUND(I5*0.9/10,0)*10</f>
      </c>
      <c r="R5" s="84">
        <f>Q5/2</f>
      </c>
      <c r="S5" s="84">
        <v>100</v>
      </c>
      <c r="T5" s="84">
        <f>C5*0.3</f>
      </c>
      <c r="U5" s="94">
        <f>R5-T5</f>
      </c>
      <c r="V5" s="94">
        <f>R5-L5-T5</f>
      </c>
      <c r="W5" s="94">
        <f>R5-T5-C5-S5</f>
      </c>
      <c r="X5" s="94">
        <f>R5-T5-I5-S5</f>
      </c>
      <c r="Z5" s="85">
        <v>4</v>
      </c>
      <c r="AA5" s="84">
        <f>AA4+15</f>
      </c>
      <c r="AB5" s="85">
        <f>SUM($AA$2:AA5)</f>
      </c>
    </row>
    <row r="6">
      <c r="A6" s="84">
        <v>5</v>
      </c>
      <c r="B6" s="84">
        <f>ROUND((B5*(2-A6*0.1)/10),0)*10</f>
      </c>
      <c r="C6" s="86">
        <f>SUM($B$1:B5)</f>
      </c>
      <c r="D6" s="86"/>
      <c r="E6" s="89"/>
      <c r="F6" s="90">
        <f>C6*(1+0.1*A6)</f>
      </c>
      <c r="G6" s="91">
        <f>SQRT(15 / (15 + F6))</f>
      </c>
      <c r="H6" s="92">
        <v>0.1</v>
      </c>
      <c r="I6" s="93">
        <f>(30 * (1 - H6) / H6) + (15 * (1 - H6)^2 / H6^2)</f>
      </c>
      <c r="J6" s="95">
        <f>I6/C6</f>
      </c>
      <c r="K6" s="89"/>
      <c r="L6" s="90">
        <f>C6*0.8</f>
      </c>
      <c r="M6" s="91">
        <f>SQRT(15 / (15 + L6))</f>
      </c>
      <c r="N6" s="96">
        <v>0.13</v>
      </c>
      <c r="O6" s="93">
        <f>(30 * (1 - N6) / N6) + (15 * (1 - N6)^2 / N6^2)</f>
      </c>
      <c r="P6" s="97" t="str" xml:space="preserve">
        <v> </v>
      </c>
      <c r="Q6" s="84">
        <f>ROUND(I6*0.9/10,0)*10</f>
      </c>
      <c r="R6" s="84">
        <f>Q6/2</f>
      </c>
      <c r="S6" s="84">
        <v>100</v>
      </c>
      <c r="T6" s="84">
        <f>C6*0.3</f>
      </c>
      <c r="U6" s="94">
        <f>R6-T6</f>
      </c>
      <c r="V6" s="94">
        <f>R6-L6-T6</f>
      </c>
      <c r="W6" s="94">
        <f>R6-T6-C6-S6</f>
      </c>
      <c r="X6" s="94">
        <f>R6-T6-I6-S6</f>
      </c>
      <c r="Z6" s="85">
        <v>5</v>
      </c>
      <c r="AA6" s="84">
        <f>AA5+15</f>
      </c>
      <c r="AB6" s="85">
        <f>SUM($AA$2:AA6)</f>
      </c>
    </row>
    <row r="7">
      <c r="A7" s="84"/>
      <c r="B7" s="84"/>
      <c r="C7" s="86"/>
      <c r="D7" s="86"/>
      <c r="E7" s="89"/>
      <c r="F7" s="90"/>
      <c r="G7" s="91"/>
      <c r="H7" s="92"/>
      <c r="I7" s="88"/>
      <c r="J7" s="86"/>
      <c r="K7" s="89"/>
      <c r="L7" s="90"/>
      <c r="M7" s="91"/>
      <c r="N7" s="87"/>
      <c r="O7" s="88"/>
      <c r="P7" s="85"/>
      <c r="Q7" s="84"/>
      <c r="R7" s="84"/>
      <c r="S7" s="84"/>
      <c r="T7" s="84"/>
      <c r="U7" s="85"/>
      <c r="V7" s="85"/>
      <c r="W7" s="85"/>
      <c r="X7" s="85"/>
      <c r="Z7" s="85"/>
      <c r="AA7" s="84"/>
      <c r="AB7" s="85"/>
    </row>
    <row r="8">
      <c r="A8" s="84"/>
      <c r="B8" s="84"/>
      <c r="C8" s="86"/>
      <c r="D8" s="86"/>
      <c r="E8" s="89"/>
      <c r="F8" s="90"/>
      <c r="G8" s="91"/>
      <c r="H8" s="92"/>
      <c r="I8" s="88"/>
      <c r="J8" s="86"/>
      <c r="K8" s="89"/>
      <c r="L8" s="90"/>
      <c r="M8" s="91"/>
      <c r="N8" s="87"/>
      <c r="O8" s="88"/>
      <c r="P8" s="85"/>
      <c r="Q8" s="84"/>
      <c r="R8" s="84"/>
      <c r="S8" s="84"/>
      <c r="T8" s="84"/>
      <c r="U8" s="85"/>
      <c r="V8" s="85"/>
      <c r="W8" s="85"/>
      <c r="X8" s="85"/>
      <c r="Z8" s="85"/>
      <c r="AA8" s="84"/>
      <c r="AB8" s="85"/>
    </row>
    <row r="9">
      <c r="A9" s="84"/>
      <c r="B9" s="84"/>
      <c r="C9" s="86"/>
      <c r="D9" s="86"/>
      <c r="E9" s="89"/>
      <c r="F9" s="90"/>
      <c r="G9" s="91"/>
      <c r="H9" s="92"/>
      <c r="I9" s="88"/>
      <c r="J9" s="86"/>
      <c r="K9" s="89"/>
      <c r="L9" s="90"/>
      <c r="M9" s="91"/>
      <c r="N9" s="87"/>
      <c r="O9" s="88"/>
      <c r="P9" s="85"/>
      <c r="Q9" s="84"/>
      <c r="R9" s="84"/>
      <c r="S9" s="84"/>
      <c r="T9" s="84"/>
      <c r="U9" s="85"/>
      <c r="V9" s="85"/>
      <c r="W9" s="85"/>
      <c r="X9" s="85"/>
      <c r="Z9" s="85"/>
      <c r="AA9" s="84"/>
      <c r="AB9" s="85"/>
    </row>
    <row r="10">
      <c r="A10" s="84"/>
      <c r="B10" s="84"/>
      <c r="C10" s="86"/>
      <c r="D10" s="86"/>
      <c r="E10" s="89"/>
      <c r="F10" s="90"/>
      <c r="G10" s="91"/>
      <c r="H10" s="92"/>
      <c r="I10" s="88"/>
      <c r="J10" s="86"/>
      <c r="K10" s="89"/>
      <c r="L10" s="90"/>
      <c r="M10" s="91"/>
      <c r="N10" s="87"/>
      <c r="O10" s="88"/>
      <c r="P10" s="85"/>
      <c r="Q10" s="84"/>
      <c r="R10" s="84"/>
      <c r="S10" s="84"/>
      <c r="T10" s="84"/>
      <c r="U10" s="85"/>
      <c r="V10" s="85"/>
      <c r="W10" s="85"/>
      <c r="X10" s="85"/>
      <c r="Z10" s="85"/>
      <c r="AA10" s="84"/>
      <c r="AB10" s="85"/>
    </row>
    <row r="11">
      <c r="A11" s="84"/>
      <c r="B11" s="84"/>
      <c r="C11" s="85"/>
      <c r="D11" s="85"/>
      <c r="E11" s="12"/>
      <c r="F11" s="86"/>
      <c r="G11" s="86"/>
      <c r="H11" s="87"/>
      <c r="I11" s="88"/>
      <c r="J11" s="86"/>
      <c r="K11" s="12"/>
      <c r="L11" s="86"/>
      <c r="M11" s="86"/>
      <c r="N11" s="87"/>
      <c r="O11" s="88"/>
      <c r="P11" s="85"/>
      <c r="Q11" s="84"/>
      <c r="R11" s="84"/>
      <c r="S11" s="84"/>
      <c r="T11" s="84"/>
      <c r="U11" s="85"/>
      <c r="V11" s="85"/>
      <c r="W11" s="85"/>
      <c r="X11" s="85"/>
      <c r="Z11" s="85"/>
      <c r="AA11" s="84"/>
      <c r="AB11" s="85"/>
    </row>
    <row r="12">
      <c r="A12" s="84"/>
      <c r="B12" s="84"/>
      <c r="C12" s="85"/>
      <c r="D12" s="85"/>
      <c r="E12" s="12"/>
      <c r="F12" s="86"/>
      <c r="G12" s="86"/>
      <c r="H12" s="87"/>
      <c r="I12" s="88"/>
      <c r="J12" s="86"/>
      <c r="K12" s="12"/>
      <c r="L12" s="86"/>
      <c r="M12" s="86"/>
      <c r="N12" s="87"/>
      <c r="O12" s="88"/>
      <c r="P12" s="85"/>
      <c r="Q12" s="84"/>
      <c r="R12" s="84"/>
      <c r="S12" s="84"/>
      <c r="T12" s="84"/>
      <c r="U12" s="85"/>
      <c r="V12" s="85"/>
      <c r="W12" s="85"/>
      <c r="X12" s="85"/>
      <c r="Z12" s="85"/>
      <c r="AA12" s="84"/>
      <c r="AB12" s="85"/>
    </row>
    <row r="13">
      <c r="A13" s="84"/>
      <c r="B13" s="84"/>
      <c r="C13" s="85"/>
      <c r="D13" s="85"/>
      <c r="E13" s="12"/>
      <c r="F13" s="86"/>
      <c r="G13" s="86"/>
      <c r="H13" s="87"/>
      <c r="I13" s="88"/>
      <c r="J13" s="86"/>
      <c r="K13" s="12"/>
      <c r="L13" s="86"/>
      <c r="M13" s="86"/>
      <c r="N13" s="87"/>
      <c r="O13" s="88"/>
      <c r="P13" s="85"/>
      <c r="Q13" s="84"/>
      <c r="R13" s="84"/>
      <c r="S13" s="84"/>
      <c r="T13" s="84"/>
      <c r="U13" s="85"/>
      <c r="V13" s="85"/>
      <c r="W13" s="85"/>
      <c r="X13" s="85"/>
      <c r="Z13" s="85"/>
      <c r="AA13" s="84"/>
      <c r="AB13" s="85"/>
    </row>
    <row r="14">
      <c r="A14" s="84"/>
      <c r="B14" s="84"/>
      <c r="C14" s="85"/>
      <c r="D14" s="85"/>
      <c r="E14" s="12"/>
      <c r="F14" s="86"/>
      <c r="G14" s="86"/>
      <c r="H14" s="87"/>
      <c r="I14" s="88"/>
      <c r="J14" s="86"/>
      <c r="K14" s="12"/>
      <c r="L14" s="86"/>
      <c r="M14" s="86"/>
      <c r="N14" s="87"/>
      <c r="O14" s="88"/>
      <c r="P14" s="85"/>
      <c r="Q14" s="84"/>
      <c r="R14" s="84"/>
      <c r="S14" s="84"/>
      <c r="T14" s="84"/>
      <c r="U14" s="85"/>
      <c r="V14" s="85"/>
      <c r="W14" s="85"/>
      <c r="X14" s="85"/>
      <c r="Z14" s="85"/>
      <c r="AA14" s="84"/>
      <c r="AB14" s="85"/>
    </row>
    <row r="15">
      <c r="A15" s="84"/>
      <c r="B15" s="84"/>
      <c r="C15" s="85"/>
      <c r="D15" s="85"/>
      <c r="E15" s="12"/>
      <c r="F15" s="86"/>
      <c r="G15" s="86"/>
      <c r="H15" s="87"/>
      <c r="I15" s="88"/>
      <c r="J15" s="86"/>
      <c r="K15" s="12"/>
      <c r="L15" s="86"/>
      <c r="M15" s="86"/>
      <c r="N15" s="87"/>
      <c r="O15" s="88"/>
      <c r="P15" s="85"/>
      <c r="Q15" s="84"/>
      <c r="R15" s="84"/>
      <c r="S15" s="84"/>
      <c r="T15" s="84"/>
      <c r="U15" s="85"/>
      <c r="V15" s="85"/>
      <c r="W15" s="85"/>
      <c r="X15" s="85"/>
      <c r="Z15" s="85"/>
      <c r="AA15" s="84"/>
      <c r="AB15" s="85"/>
    </row>
    <row r="16">
      <c r="A16" s="84"/>
      <c r="B16" s="84"/>
      <c r="C16" s="85"/>
      <c r="D16" s="85"/>
      <c r="E16" s="12"/>
      <c r="F16" s="86"/>
      <c r="G16" s="86"/>
      <c r="H16" s="87"/>
      <c r="I16" s="88"/>
      <c r="J16" s="86"/>
      <c r="K16" s="12"/>
      <c r="L16" s="86"/>
      <c r="M16" s="86"/>
      <c r="N16" s="87"/>
      <c r="O16" s="88"/>
      <c r="P16" s="85"/>
      <c r="Q16" s="84"/>
      <c r="R16" s="84"/>
      <c r="S16" s="84"/>
      <c r="T16" s="84"/>
      <c r="U16" s="85"/>
      <c r="V16" s="85"/>
      <c r="W16" s="85"/>
      <c r="X16" s="85"/>
      <c r="Z16" s="85"/>
      <c r="AA16" s="84"/>
      <c r="AB16" s="85"/>
    </row>
    <row r="17">
      <c r="A17" s="84"/>
      <c r="B17" s="84"/>
      <c r="C17" s="85"/>
      <c r="D17" s="85"/>
      <c r="E17" s="12"/>
      <c r="F17" s="86"/>
      <c r="G17" s="86"/>
      <c r="H17" s="87"/>
      <c r="I17" s="88"/>
      <c r="J17" s="86"/>
      <c r="K17" s="12"/>
      <c r="L17" s="86"/>
      <c r="M17" s="86"/>
      <c r="N17" s="87"/>
      <c r="O17" s="88"/>
      <c r="P17" s="85"/>
      <c r="Q17" s="84"/>
      <c r="R17" s="84"/>
      <c r="S17" s="84"/>
      <c r="T17" s="84"/>
      <c r="U17" s="85"/>
      <c r="V17" s="85"/>
      <c r="W17" s="85"/>
      <c r="X17" s="85"/>
      <c r="Z17" s="85"/>
      <c r="AA17" s="84"/>
      <c r="AB17" s="85"/>
    </row>
    <row r="18">
      <c r="A18" s="84"/>
      <c r="B18" s="84"/>
      <c r="C18" s="85"/>
      <c r="D18" s="85"/>
      <c r="E18" s="12"/>
      <c r="F18" s="86"/>
      <c r="G18" s="86"/>
      <c r="H18" s="87"/>
      <c r="I18" s="88"/>
      <c r="J18" s="86"/>
      <c r="K18" s="12"/>
      <c r="L18" s="86"/>
      <c r="M18" s="86"/>
      <c r="N18" s="87"/>
      <c r="O18" s="88"/>
      <c r="P18" s="85"/>
      <c r="Q18" s="84"/>
      <c r="R18" s="84"/>
      <c r="S18" s="84"/>
      <c r="T18" s="84"/>
      <c r="U18" s="85"/>
      <c r="V18" s="85"/>
      <c r="W18" s="85"/>
      <c r="X18" s="85"/>
      <c r="Z18" s="85"/>
      <c r="AA18" s="84"/>
      <c r="AB18" s="85"/>
    </row>
    <row r="19">
      <c r="A19" s="84"/>
      <c r="B19" s="84"/>
      <c r="C19" s="85"/>
      <c r="D19" s="85"/>
      <c r="E19" s="12"/>
      <c r="F19" s="86"/>
      <c r="G19" s="86"/>
      <c r="H19" s="87"/>
      <c r="I19" s="88"/>
      <c r="J19" s="86"/>
      <c r="K19" s="12"/>
      <c r="L19" s="86"/>
      <c r="M19" s="86"/>
      <c r="N19" s="87"/>
      <c r="O19" s="88"/>
      <c r="P19" s="85"/>
      <c r="Q19" s="84"/>
      <c r="R19" s="84"/>
      <c r="S19" s="84"/>
      <c r="T19" s="84"/>
      <c r="U19" s="85"/>
      <c r="V19" s="85"/>
      <c r="W19" s="85"/>
      <c r="X19" s="85"/>
      <c r="Z19" s="85"/>
      <c r="AA19" s="84"/>
      <c r="AB19" s="85"/>
    </row>
    <row r="20">
      <c r="A20" s="84"/>
      <c r="B20" s="84"/>
      <c r="C20" s="85"/>
      <c r="D20" s="85"/>
      <c r="E20" s="12"/>
      <c r="F20" s="86"/>
      <c r="G20" s="86"/>
      <c r="H20" s="87"/>
      <c r="I20" s="88"/>
      <c r="J20" s="86"/>
      <c r="K20" s="12"/>
      <c r="L20" s="86"/>
      <c r="M20" s="86"/>
      <c r="N20" s="87"/>
      <c r="O20" s="88"/>
      <c r="P20" s="85"/>
      <c r="Q20" s="84"/>
      <c r="R20" s="84"/>
      <c r="S20" s="84"/>
      <c r="T20" s="84"/>
      <c r="U20" s="85"/>
      <c r="V20" s="85"/>
      <c r="W20" s="85"/>
      <c r="X20" s="85"/>
      <c r="Z20" s="85"/>
      <c r="AA20" s="84"/>
      <c r="AB20" s="85"/>
    </row>
    <row r="21">
      <c r="A21" s="84"/>
      <c r="B21" s="84"/>
      <c r="C21" s="85"/>
      <c r="D21" s="85"/>
      <c r="E21" s="12"/>
      <c r="F21" s="86"/>
      <c r="G21" s="86"/>
      <c r="H21" s="87"/>
      <c r="I21" s="88"/>
      <c r="J21" s="86"/>
      <c r="K21" s="12"/>
      <c r="L21" s="86"/>
      <c r="M21" s="86"/>
      <c r="N21" s="87"/>
      <c r="O21" s="88"/>
      <c r="P21" s="85"/>
      <c r="Q21" s="84"/>
      <c r="R21" s="84"/>
      <c r="S21" s="84"/>
      <c r="T21" s="84"/>
      <c r="U21" s="85"/>
      <c r="V21" s="85"/>
      <c r="W21" s="85"/>
      <c r="X21" s="85"/>
      <c r="Z21" s="85"/>
      <c r="AA21" s="84"/>
      <c r="AB21" s="85"/>
    </row>
    <row r="22">
      <c r="A22" s="84"/>
      <c r="B22" s="84"/>
      <c r="C22" s="85"/>
      <c r="D22" s="85"/>
      <c r="E22" s="12"/>
      <c r="F22" s="86"/>
      <c r="G22" s="86"/>
      <c r="H22" s="87"/>
      <c r="I22" s="88"/>
      <c r="J22" s="86"/>
      <c r="K22" s="12"/>
      <c r="L22" s="86"/>
      <c r="M22" s="86"/>
      <c r="N22" s="87"/>
      <c r="O22" s="88"/>
      <c r="P22" s="85"/>
      <c r="Q22" s="84"/>
      <c r="R22" s="84"/>
      <c r="S22" s="84"/>
      <c r="T22" s="84"/>
      <c r="U22" s="85"/>
      <c r="V22" s="85"/>
      <c r="W22" s="85"/>
      <c r="X22" s="85"/>
      <c r="Z22" s="85"/>
      <c r="AA22" s="84"/>
      <c r="AB22" s="85"/>
    </row>
    <row r="23">
      <c r="A23" s="84"/>
      <c r="B23" s="84"/>
      <c r="C23" s="85"/>
      <c r="D23" s="85"/>
      <c r="E23" s="12"/>
      <c r="F23" s="86"/>
      <c r="G23" s="86"/>
      <c r="H23" s="87"/>
      <c r="I23" s="88"/>
      <c r="J23" s="86"/>
      <c r="K23" s="12"/>
      <c r="L23" s="86"/>
      <c r="M23" s="86"/>
      <c r="N23" s="87"/>
      <c r="O23" s="88"/>
      <c r="P23" s="85"/>
      <c r="Q23" s="84"/>
      <c r="R23" s="84"/>
      <c r="S23" s="84"/>
      <c r="T23" s="84"/>
      <c r="U23" s="85"/>
      <c r="V23" s="85"/>
      <c r="W23" s="85"/>
      <c r="X23" s="85"/>
      <c r="Z23" s="85"/>
      <c r="AA23" s="84"/>
      <c r="AB23" s="85"/>
    </row>
    <row r="24">
      <c r="A24" s="84"/>
      <c r="B24" s="84"/>
      <c r="C24" s="85"/>
      <c r="D24" s="85"/>
      <c r="E24" s="12"/>
      <c r="F24" s="86"/>
      <c r="G24" s="86"/>
      <c r="H24" s="87"/>
      <c r="I24" s="88"/>
      <c r="J24" s="86"/>
      <c r="K24" s="12"/>
      <c r="L24" s="86"/>
      <c r="M24" s="86"/>
      <c r="N24" s="87"/>
      <c r="O24" s="88"/>
      <c r="P24" s="85"/>
      <c r="Q24" s="84"/>
      <c r="R24" s="84"/>
      <c r="S24" s="84"/>
      <c r="T24" s="84"/>
      <c r="U24" s="85"/>
      <c r="V24" s="85"/>
      <c r="W24" s="85"/>
      <c r="X24" s="85"/>
      <c r="Z24" s="85"/>
      <c r="AA24" s="84"/>
      <c r="AB24" s="85"/>
    </row>
    <row r="25">
      <c r="A25" s="84"/>
      <c r="B25" s="84"/>
      <c r="C25" s="85"/>
      <c r="D25" s="85"/>
      <c r="E25" s="12"/>
      <c r="F25" s="86"/>
      <c r="G25" s="86"/>
      <c r="H25" s="87"/>
      <c r="I25" s="88"/>
      <c r="J25" s="86"/>
      <c r="K25" s="12"/>
      <c r="L25" s="86"/>
      <c r="M25" s="86"/>
      <c r="N25" s="87"/>
      <c r="O25" s="88"/>
      <c r="P25" s="85"/>
      <c r="Q25" s="84"/>
      <c r="R25" s="84"/>
      <c r="S25" s="84"/>
      <c r="T25" s="84"/>
      <c r="U25" s="85"/>
      <c r="V25" s="85"/>
      <c r="W25" s="85"/>
      <c r="X25" s="85"/>
      <c r="Z25" s="85"/>
      <c r="AA25" s="84"/>
      <c r="AB25" s="85"/>
    </row>
    <row r="26">
      <c r="A26" s="84"/>
      <c r="B26" s="84"/>
      <c r="C26" s="85"/>
      <c r="D26" s="85"/>
      <c r="E26" s="12"/>
      <c r="F26" s="86"/>
      <c r="G26" s="86"/>
      <c r="H26" s="87"/>
      <c r="I26" s="88"/>
      <c r="J26" s="86"/>
      <c r="K26" s="12"/>
      <c r="L26" s="86"/>
      <c r="M26" s="86"/>
      <c r="N26" s="87"/>
      <c r="O26" s="88"/>
      <c r="P26" s="85"/>
      <c r="Q26" s="84"/>
      <c r="R26" s="84"/>
      <c r="S26" s="84"/>
      <c r="T26" s="84"/>
      <c r="U26" s="85"/>
      <c r="V26" s="85"/>
      <c r="W26" s="85"/>
      <c r="X26" s="85"/>
      <c r="Z26" s="85"/>
      <c r="AA26" s="84"/>
      <c r="AB26" s="85"/>
    </row>
    <row r="27">
      <c r="A27" s="84"/>
      <c r="B27" s="84"/>
      <c r="C27" s="85"/>
      <c r="D27" s="85"/>
      <c r="E27" s="12"/>
      <c r="F27" s="86"/>
      <c r="G27" s="86"/>
      <c r="H27" s="87"/>
      <c r="I27" s="88"/>
      <c r="J27" s="86"/>
      <c r="K27" s="12"/>
      <c r="L27" s="86"/>
      <c r="M27" s="86"/>
      <c r="N27" s="87"/>
      <c r="O27" s="88"/>
      <c r="P27" s="85"/>
      <c r="Q27" s="84"/>
      <c r="R27" s="84"/>
      <c r="S27" s="84"/>
      <c r="T27" s="84"/>
      <c r="U27" s="85"/>
      <c r="V27" s="85"/>
      <c r="W27" s="85"/>
      <c r="X27" s="85"/>
      <c r="Z27" s="85"/>
      <c r="AA27" s="84"/>
      <c r="AB27" s="85"/>
    </row>
    <row r="28">
      <c r="A28" s="84"/>
      <c r="B28" s="84"/>
      <c r="C28" s="85"/>
      <c r="D28" s="85"/>
      <c r="E28" s="12"/>
      <c r="F28" s="86"/>
      <c r="G28" s="86"/>
      <c r="H28" s="87"/>
      <c r="I28" s="88"/>
      <c r="J28" s="86"/>
      <c r="K28" s="12"/>
      <c r="L28" s="86"/>
      <c r="M28" s="86"/>
      <c r="N28" s="87"/>
      <c r="O28" s="88"/>
      <c r="P28" s="85"/>
      <c r="Q28" s="84"/>
      <c r="R28" s="84"/>
      <c r="S28" s="84"/>
      <c r="T28" s="84" t="str">
        <v>-</v>
      </c>
      <c r="U28" s="85"/>
      <c r="V28" s="85"/>
      <c r="W28" s="85"/>
      <c r="X28" s="85"/>
      <c r="Z28" s="85"/>
      <c r="AA28" s="84"/>
      <c r="AB28" s="85"/>
      <c r="AI28" s="2" t="str">
        <v>/</v>
      </c>
    </row>
    <row r="29">
      <c r="A29" s="84"/>
      <c r="B29" s="84"/>
      <c r="C29" s="85"/>
      <c r="D29" s="85"/>
      <c r="E29" s="12"/>
      <c r="F29" s="86"/>
      <c r="G29" s="86"/>
      <c r="H29" s="87"/>
      <c r="I29" s="88"/>
      <c r="J29" s="86"/>
      <c r="K29" s="12"/>
      <c r="L29" s="86"/>
      <c r="M29" s="86"/>
      <c r="N29" s="87"/>
      <c r="O29" s="88"/>
      <c r="P29" s="85"/>
      <c r="Q29" s="84"/>
      <c r="R29" s="84"/>
      <c r="S29" s="84"/>
      <c r="T29" s="84"/>
      <c r="U29" s="85"/>
      <c r="V29" s="85"/>
      <c r="W29" s="85"/>
      <c r="X29" s="85"/>
      <c r="Z29" s="85"/>
      <c r="AA29" s="84"/>
      <c r="AB29" s="85"/>
    </row>
    <row r="30">
      <c r="A30" s="84"/>
      <c r="B30" s="84"/>
      <c r="C30" s="85"/>
      <c r="D30" s="85"/>
      <c r="E30" s="12"/>
      <c r="F30" s="86"/>
      <c r="G30" s="86"/>
      <c r="H30" s="87"/>
      <c r="I30" s="88"/>
      <c r="J30" s="86"/>
      <c r="K30" s="12"/>
      <c r="L30" s="86"/>
      <c r="M30" s="86"/>
      <c r="N30" s="87"/>
      <c r="O30" s="88"/>
      <c r="P30" s="85"/>
      <c r="Q30" s="84"/>
      <c r="R30" s="84"/>
      <c r="S30" s="84"/>
      <c r="T30" s="84"/>
      <c r="U30" s="85"/>
      <c r="V30" s="85"/>
      <c r="W30" s="85"/>
      <c r="X30" s="85"/>
      <c r="Z30" s="85"/>
      <c r="AA30" s="84"/>
      <c r="AB30" s="85"/>
    </row>
    <row r="31">
      <c r="A31" s="84"/>
      <c r="B31" s="84"/>
      <c r="C31" s="85"/>
      <c r="D31" s="85"/>
      <c r="E31" s="12"/>
      <c r="F31" s="86"/>
      <c r="G31" s="86"/>
      <c r="H31" s="87"/>
      <c r="I31" s="88"/>
      <c r="J31" s="86"/>
      <c r="K31" s="12"/>
      <c r="L31" s="86"/>
      <c r="M31" s="86"/>
      <c r="N31" s="87"/>
      <c r="O31" s="88"/>
      <c r="P31" s="85"/>
      <c r="Q31" s="84"/>
      <c r="R31" s="84"/>
      <c r="S31" s="84"/>
      <c r="T31" s="84"/>
      <c r="U31" s="85"/>
      <c r="V31" s="85"/>
      <c r="W31" s="85"/>
      <c r="X31" s="85"/>
      <c r="Z31" s="85"/>
      <c r="AA31" s="84"/>
      <c r="AB31" s="85"/>
    </row>
    <row r="32">
      <c r="A32" s="84"/>
      <c r="B32" s="84"/>
      <c r="C32" s="85"/>
      <c r="D32" s="85"/>
      <c r="E32" s="12"/>
      <c r="F32" s="86"/>
      <c r="G32" s="86"/>
      <c r="H32" s="87"/>
      <c r="I32" s="88"/>
      <c r="J32" s="86"/>
      <c r="K32" s="12"/>
      <c r="L32" s="86"/>
      <c r="M32" s="86"/>
      <c r="N32" s="87"/>
      <c r="O32" s="88"/>
      <c r="P32" s="85"/>
      <c r="Q32" s="84"/>
      <c r="R32" s="84"/>
      <c r="S32" s="84"/>
      <c r="T32" s="84"/>
      <c r="U32" s="85"/>
      <c r="V32" s="85"/>
      <c r="W32" s="85"/>
      <c r="X32" s="85"/>
      <c r="Z32" s="85"/>
      <c r="AA32" s="84"/>
      <c r="AB32" s="85"/>
    </row>
    <row r="33">
      <c r="A33" s="84"/>
      <c r="B33" s="84"/>
      <c r="C33" s="85"/>
      <c r="D33" s="85"/>
      <c r="E33" s="12"/>
      <c r="F33" s="86"/>
      <c r="G33" s="86"/>
      <c r="H33" s="87"/>
      <c r="I33" s="88"/>
      <c r="J33" s="86"/>
      <c r="K33" s="12"/>
      <c r="L33" s="86"/>
      <c r="M33" s="86"/>
      <c r="N33" s="87"/>
      <c r="O33" s="88"/>
      <c r="P33" s="85"/>
      <c r="Q33" s="84"/>
      <c r="R33" s="84"/>
      <c r="S33" s="84"/>
      <c r="T33" s="84"/>
      <c r="U33" s="85"/>
      <c r="V33" s="85"/>
      <c r="W33" s="85"/>
      <c r="X33" s="85"/>
      <c r="Z33" s="85"/>
      <c r="AA33" s="84"/>
      <c r="AB33" s="85"/>
    </row>
    <row r="34">
      <c r="A34" s="84"/>
      <c r="B34" s="84"/>
      <c r="C34" s="85"/>
      <c r="D34" s="85"/>
      <c r="E34" s="12"/>
      <c r="F34" s="86"/>
      <c r="G34" s="86"/>
      <c r="H34" s="87"/>
      <c r="I34" s="88"/>
      <c r="J34" s="86"/>
      <c r="K34" s="12"/>
      <c r="L34" s="86"/>
      <c r="M34" s="86"/>
      <c r="N34" s="87"/>
      <c r="O34" s="88"/>
      <c r="P34" s="85"/>
      <c r="Q34" s="84"/>
      <c r="R34" s="84"/>
      <c r="S34" s="84"/>
      <c r="T34" s="84"/>
      <c r="U34" s="85"/>
      <c r="V34" s="85"/>
      <c r="W34" s="85"/>
      <c r="X34" s="85"/>
      <c r="Z34" s="85"/>
      <c r="AA34" s="84"/>
      <c r="AB34" s="85"/>
    </row>
    <row r="35">
      <c r="A35" s="84"/>
      <c r="B35" s="84"/>
      <c r="C35" s="85"/>
      <c r="D35" s="85"/>
      <c r="E35" s="12"/>
      <c r="F35" s="86"/>
      <c r="G35" s="86"/>
      <c r="H35" s="87"/>
      <c r="I35" s="88"/>
      <c r="J35" s="86"/>
      <c r="K35" s="12"/>
      <c r="L35" s="86"/>
      <c r="M35" s="86"/>
      <c r="N35" s="87"/>
      <c r="O35" s="88"/>
      <c r="P35" s="85"/>
      <c r="Q35" s="84"/>
      <c r="R35" s="84"/>
      <c r="S35" s="84"/>
      <c r="T35" s="84"/>
      <c r="U35" s="85"/>
      <c r="V35" s="85"/>
      <c r="W35" s="85"/>
      <c r="X35" s="85"/>
      <c r="Z35" s="85"/>
      <c r="AA35" s="84"/>
      <c r="AB35" s="85"/>
    </row>
    <row r="36">
      <c r="A36" s="84"/>
      <c r="B36" s="84"/>
      <c r="C36" s="85"/>
      <c r="D36" s="85"/>
      <c r="E36" s="12"/>
      <c r="F36" s="86"/>
      <c r="G36" s="86"/>
      <c r="H36" s="87"/>
      <c r="I36" s="88"/>
      <c r="J36" s="86"/>
      <c r="K36" s="12"/>
      <c r="L36" s="86"/>
      <c r="M36" s="86"/>
      <c r="N36" s="87"/>
      <c r="O36" s="88"/>
      <c r="P36" s="85"/>
      <c r="Q36" s="84"/>
      <c r="R36" s="84"/>
      <c r="S36" s="84"/>
      <c r="T36" s="84"/>
      <c r="U36" s="85"/>
      <c r="V36" s="85"/>
      <c r="W36" s="85"/>
      <c r="X36" s="85"/>
      <c r="Z36" s="85"/>
      <c r="AA36" s="84"/>
      <c r="AB36" s="85"/>
    </row>
    <row r="37">
      <c r="A37" s="84"/>
      <c r="B37" s="84"/>
      <c r="C37" s="85"/>
      <c r="D37" s="85"/>
      <c r="E37" s="12"/>
      <c r="F37" s="86"/>
      <c r="G37" s="86"/>
      <c r="H37" s="87"/>
      <c r="I37" s="88"/>
      <c r="J37" s="86"/>
      <c r="K37" s="12"/>
      <c r="L37" s="86"/>
      <c r="M37" s="86"/>
      <c r="N37" s="87"/>
      <c r="O37" s="88"/>
      <c r="P37" s="85"/>
      <c r="Q37" s="84"/>
      <c r="R37" s="84"/>
      <c r="S37" s="84"/>
      <c r="T37" s="84"/>
      <c r="U37" s="85"/>
      <c r="V37" s="85"/>
      <c r="W37" s="85"/>
      <c r="X37" s="85"/>
      <c r="Z37" s="85"/>
      <c r="AA37" s="84"/>
      <c r="AB37" s="85"/>
    </row>
    <row r="38">
      <c r="A38" s="84"/>
      <c r="B38" s="84"/>
      <c r="C38" s="85"/>
      <c r="D38" s="85"/>
      <c r="E38" s="12"/>
      <c r="F38" s="86"/>
      <c r="G38" s="86"/>
      <c r="H38" s="87"/>
      <c r="I38" s="88"/>
      <c r="J38" s="86"/>
      <c r="K38" s="12"/>
      <c r="L38" s="86"/>
      <c r="M38" s="86"/>
      <c r="N38" s="87"/>
      <c r="O38" s="88"/>
      <c r="P38" s="85"/>
      <c r="Q38" s="84"/>
      <c r="R38" s="84"/>
      <c r="S38" s="84"/>
      <c r="T38" s="84"/>
      <c r="U38" s="85"/>
      <c r="V38" s="85"/>
      <c r="W38" s="85"/>
      <c r="X38" s="85"/>
      <c r="Z38" s="85"/>
      <c r="AA38" s="84"/>
      <c r="AB38" s="85"/>
    </row>
    <row r="39">
      <c r="A39" s="84"/>
      <c r="B39" s="84"/>
      <c r="C39" s="85"/>
      <c r="D39" s="85"/>
      <c r="E39" s="12"/>
      <c r="F39" s="86"/>
      <c r="G39" s="86"/>
      <c r="H39" s="87"/>
      <c r="I39" s="88"/>
      <c r="J39" s="86"/>
      <c r="K39" s="12"/>
      <c r="L39" s="86"/>
      <c r="M39" s="86"/>
      <c r="N39" s="87"/>
      <c r="O39" s="88"/>
      <c r="P39" s="85"/>
      <c r="Q39" s="84"/>
      <c r="R39" s="84"/>
      <c r="S39" s="84"/>
      <c r="T39" s="84"/>
      <c r="U39" s="85"/>
      <c r="V39" s="85"/>
      <c r="W39" s="85"/>
      <c r="X39" s="85"/>
      <c r="Z39" s="85"/>
      <c r="AA39" s="84"/>
      <c r="AB39" s="85"/>
    </row>
    <row r="40">
      <c r="A40" s="84"/>
      <c r="B40" s="84"/>
      <c r="C40" s="85"/>
      <c r="D40" s="85"/>
      <c r="E40" s="12"/>
      <c r="F40" s="86"/>
      <c r="G40" s="86"/>
      <c r="H40" s="87"/>
      <c r="I40" s="88"/>
      <c r="J40" s="86"/>
      <c r="K40" s="12"/>
      <c r="L40" s="86"/>
      <c r="M40" s="86"/>
      <c r="N40" s="87"/>
      <c r="O40" s="88"/>
      <c r="P40" s="85"/>
      <c r="Q40" s="84"/>
      <c r="R40" s="84"/>
      <c r="S40" s="84"/>
      <c r="T40" s="84"/>
      <c r="U40" s="85"/>
      <c r="V40" s="85"/>
      <c r="W40" s="85"/>
      <c r="X40" s="85"/>
      <c r="Z40" s="85"/>
      <c r="AA40" s="84"/>
      <c r="AB40" s="85"/>
    </row>
    <row r="41">
      <c r="A41" s="84"/>
      <c r="B41" s="84"/>
      <c r="C41" s="85"/>
      <c r="D41" s="85"/>
      <c r="E41" s="12"/>
      <c r="F41" s="86"/>
      <c r="G41" s="86"/>
      <c r="H41" s="87"/>
      <c r="I41" s="88"/>
      <c r="J41" s="86"/>
      <c r="K41" s="12"/>
      <c r="L41" s="86"/>
      <c r="M41" s="86"/>
      <c r="N41" s="87"/>
      <c r="O41" s="88"/>
      <c r="P41" s="85"/>
      <c r="Q41" s="84"/>
      <c r="R41" s="84"/>
      <c r="S41" s="84"/>
      <c r="T41" s="84"/>
      <c r="U41" s="85"/>
      <c r="V41" s="85"/>
      <c r="W41" s="85"/>
      <c r="X41" s="85"/>
      <c r="Z41" s="85"/>
      <c r="AA41" s="84"/>
      <c r="AB41" s="85"/>
    </row>
    <row r="42">
      <c r="A42" s="84"/>
      <c r="B42" s="84"/>
      <c r="C42" s="85"/>
      <c r="D42" s="85"/>
      <c r="E42" s="12"/>
      <c r="F42" s="86"/>
      <c r="G42" s="86"/>
      <c r="H42" s="87"/>
      <c r="I42" s="88"/>
      <c r="J42" s="86"/>
      <c r="K42" s="12"/>
      <c r="L42" s="86"/>
      <c r="M42" s="86"/>
      <c r="N42" s="87"/>
      <c r="O42" s="88"/>
      <c r="P42" s="85"/>
      <c r="Q42" s="84"/>
      <c r="R42" s="84"/>
      <c r="S42" s="84"/>
      <c r="T42" s="84"/>
      <c r="U42" s="85"/>
      <c r="V42" s="85"/>
      <c r="W42" s="85"/>
      <c r="X42" s="85"/>
      <c r="Z42" s="85"/>
      <c r="AA42" s="84"/>
      <c r="AB42" s="85"/>
    </row>
    <row r="43">
      <c r="A43" s="84"/>
      <c r="B43" s="84"/>
      <c r="C43" s="85"/>
      <c r="D43" s="85"/>
      <c r="E43" s="12"/>
      <c r="F43" s="86"/>
      <c r="G43" s="86"/>
      <c r="H43" s="87"/>
      <c r="I43" s="88"/>
      <c r="J43" s="86"/>
      <c r="K43" s="12"/>
      <c r="L43" s="86"/>
      <c r="M43" s="86"/>
      <c r="N43" s="87"/>
      <c r="O43" s="88"/>
      <c r="P43" s="85"/>
      <c r="Q43" s="84"/>
      <c r="R43" s="84"/>
      <c r="S43" s="84"/>
      <c r="T43" s="84"/>
      <c r="U43" s="85"/>
      <c r="V43" s="85"/>
      <c r="W43" s="85"/>
      <c r="X43" s="85"/>
      <c r="Z43" s="85"/>
      <c r="AA43" s="84"/>
      <c r="AB43" s="85"/>
    </row>
    <row r="44">
      <c r="A44" s="84"/>
      <c r="B44" s="84"/>
      <c r="C44" s="85"/>
      <c r="D44" s="85"/>
      <c r="E44" s="12"/>
      <c r="F44" s="86"/>
      <c r="G44" s="86"/>
      <c r="H44" s="87"/>
      <c r="I44" s="88"/>
      <c r="J44" s="86"/>
      <c r="K44" s="12"/>
      <c r="L44" s="86"/>
      <c r="M44" s="86"/>
      <c r="N44" s="87"/>
      <c r="O44" s="88"/>
      <c r="P44" s="85"/>
      <c r="Q44" s="84"/>
      <c r="R44" s="84"/>
      <c r="S44" s="84"/>
      <c r="T44" s="84"/>
      <c r="U44" s="85"/>
      <c r="V44" s="85"/>
      <c r="W44" s="85"/>
      <c r="X44" s="85"/>
      <c r="Z44" s="85"/>
      <c r="AA44" s="84"/>
      <c r="AB44" s="85"/>
    </row>
    <row r="45">
      <c r="A45" s="84"/>
      <c r="B45" s="84"/>
      <c r="C45" s="85"/>
      <c r="D45" s="85"/>
      <c r="E45" s="12"/>
      <c r="F45" s="86"/>
      <c r="G45" s="86"/>
      <c r="H45" s="87"/>
      <c r="I45" s="88"/>
      <c r="J45" s="86"/>
      <c r="K45" s="12"/>
      <c r="L45" s="86"/>
      <c r="M45" s="86"/>
      <c r="N45" s="87"/>
      <c r="O45" s="88"/>
      <c r="P45" s="85"/>
      <c r="Q45" s="84"/>
      <c r="R45" s="84"/>
      <c r="S45" s="84"/>
      <c r="T45" s="84"/>
      <c r="U45" s="85"/>
      <c r="V45" s="85"/>
      <c r="W45" s="85"/>
      <c r="X45" s="85"/>
      <c r="Z45" s="85"/>
      <c r="AA45" s="84"/>
      <c r="AB45" s="85"/>
    </row>
    <row r="46">
      <c r="A46" s="84"/>
      <c r="B46" s="84"/>
      <c r="C46" s="85"/>
      <c r="D46" s="85"/>
      <c r="E46" s="12"/>
      <c r="F46" s="86"/>
      <c r="G46" s="86"/>
      <c r="H46" s="87"/>
      <c r="I46" s="88"/>
      <c r="J46" s="86"/>
      <c r="K46" s="12"/>
      <c r="L46" s="86"/>
      <c r="M46" s="86"/>
      <c r="N46" s="87"/>
      <c r="O46" s="88"/>
      <c r="P46" s="85"/>
      <c r="Q46" s="84"/>
      <c r="R46" s="84"/>
      <c r="S46" s="84"/>
      <c r="T46" s="84"/>
      <c r="U46" s="85"/>
      <c r="V46" s="85"/>
      <c r="W46" s="85"/>
      <c r="X46" s="85"/>
      <c r="Z46" s="85"/>
      <c r="AA46" s="84"/>
      <c r="AB46" s="85"/>
    </row>
    <row r="47">
      <c r="A47" s="84"/>
      <c r="B47" s="84"/>
      <c r="C47" s="85"/>
      <c r="D47" s="85"/>
      <c r="E47" s="12"/>
      <c r="F47" s="86"/>
      <c r="G47" s="86"/>
      <c r="H47" s="87"/>
      <c r="I47" s="88"/>
      <c r="J47" s="86"/>
      <c r="K47" s="12"/>
      <c r="L47" s="86"/>
      <c r="M47" s="86"/>
      <c r="N47" s="87"/>
      <c r="O47" s="88"/>
      <c r="P47" s="85"/>
      <c r="Q47" s="84"/>
      <c r="R47" s="84"/>
      <c r="S47" s="84"/>
      <c r="T47" s="84"/>
      <c r="U47" s="85"/>
      <c r="V47" s="85"/>
      <c r="W47" s="85"/>
      <c r="X47" s="85"/>
      <c r="Z47" s="85"/>
      <c r="AA47" s="84"/>
      <c r="AB47" s="85"/>
    </row>
    <row r="48">
      <c r="A48" s="84"/>
      <c r="B48" s="84"/>
      <c r="C48" s="85"/>
      <c r="D48" s="85"/>
      <c r="E48" s="12"/>
      <c r="F48" s="86"/>
      <c r="G48" s="86"/>
      <c r="H48" s="87"/>
      <c r="I48" s="88"/>
      <c r="J48" s="86"/>
      <c r="K48" s="12"/>
      <c r="L48" s="86"/>
      <c r="M48" s="86"/>
      <c r="N48" s="87"/>
      <c r="O48" s="88"/>
      <c r="P48" s="85"/>
      <c r="Q48" s="84"/>
      <c r="R48" s="84"/>
      <c r="S48" s="84"/>
      <c r="T48" s="84"/>
      <c r="U48" s="85"/>
      <c r="V48" s="85"/>
      <c r="W48" s="85"/>
      <c r="X48" s="85"/>
      <c r="Z48" s="85"/>
      <c r="AA48" s="84"/>
      <c r="AB48" s="85"/>
    </row>
    <row r="49">
      <c r="A49" s="84"/>
      <c r="B49" s="84"/>
      <c r="C49" s="85"/>
      <c r="D49" s="85"/>
      <c r="E49" s="12"/>
      <c r="F49" s="86"/>
      <c r="G49" s="86"/>
      <c r="H49" s="87"/>
      <c r="I49" s="88"/>
      <c r="J49" s="86"/>
      <c r="K49" s="12"/>
      <c r="L49" s="86"/>
      <c r="M49" s="86"/>
      <c r="N49" s="87"/>
      <c r="O49" s="88"/>
      <c r="P49" s="85"/>
      <c r="Q49" s="84"/>
      <c r="R49" s="84"/>
      <c r="S49" s="84"/>
      <c r="T49" s="84"/>
      <c r="U49" s="85"/>
      <c r="V49" s="85"/>
      <c r="W49" s="85"/>
      <c r="X49" s="85"/>
      <c r="Z49" s="85"/>
      <c r="AA49" s="84"/>
      <c r="AB49" s="85"/>
    </row>
    <row r="50">
      <c r="A50" s="84"/>
      <c r="B50" s="84"/>
      <c r="C50" s="85"/>
      <c r="D50" s="85"/>
      <c r="E50" s="12"/>
      <c r="F50" s="86"/>
      <c r="G50" s="86"/>
      <c r="H50" s="87"/>
      <c r="I50" s="88"/>
      <c r="J50" s="86"/>
      <c r="K50" s="12"/>
      <c r="L50" s="86"/>
      <c r="M50" s="86"/>
      <c r="N50" s="87"/>
      <c r="O50" s="88"/>
      <c r="P50" s="85"/>
      <c r="Q50" s="84"/>
      <c r="R50" s="84"/>
      <c r="S50" s="84"/>
      <c r="T50" s="84"/>
      <c r="U50" s="85"/>
      <c r="V50" s="85"/>
      <c r="W50" s="85"/>
      <c r="X50" s="85"/>
      <c r="Z50" s="85"/>
      <c r="AA50" s="84"/>
      <c r="AB50" s="85"/>
    </row>
    <row r="51">
      <c r="A51" s="84"/>
      <c r="B51" s="84"/>
      <c r="C51" s="85"/>
      <c r="D51" s="85"/>
      <c r="E51" s="12"/>
      <c r="F51" s="86"/>
      <c r="G51" s="86"/>
      <c r="H51" s="87"/>
      <c r="I51" s="88"/>
      <c r="J51" s="86"/>
      <c r="K51" s="12"/>
      <c r="L51" s="86"/>
      <c r="M51" s="86"/>
      <c r="N51" s="87"/>
      <c r="O51" s="88"/>
      <c r="P51" s="85"/>
      <c r="Q51" s="84"/>
      <c r="R51" s="84"/>
      <c r="S51" s="84"/>
      <c r="T51" s="84"/>
      <c r="U51" s="85"/>
      <c r="V51" s="85"/>
      <c r="W51" s="85"/>
      <c r="X51" s="85"/>
      <c r="Z51" s="85"/>
      <c r="AA51" s="84"/>
      <c r="AB51" s="85"/>
    </row>
    <row r="52">
      <c r="A52" s="84"/>
      <c r="B52" s="84"/>
      <c r="C52" s="85"/>
      <c r="D52" s="85"/>
      <c r="E52" s="12"/>
      <c r="F52" s="86"/>
      <c r="G52" s="86"/>
      <c r="H52" s="87"/>
      <c r="I52" s="88"/>
      <c r="J52" s="86"/>
      <c r="K52" s="12"/>
      <c r="L52" s="86"/>
      <c r="M52" s="86"/>
      <c r="N52" s="87"/>
      <c r="O52" s="88"/>
      <c r="P52" s="85"/>
      <c r="Q52" s="84"/>
      <c r="R52" s="84"/>
      <c r="S52" s="84"/>
      <c r="T52" s="84"/>
      <c r="U52" s="85"/>
      <c r="V52" s="85"/>
      <c r="W52" s="85"/>
      <c r="X52" s="85"/>
      <c r="Z52" s="85"/>
      <c r="AA52" s="84"/>
      <c r="AB52" s="85"/>
    </row>
    <row r="53">
      <c r="A53" s="84"/>
      <c r="B53" s="84"/>
      <c r="C53" s="85"/>
      <c r="D53" s="85"/>
      <c r="E53" s="12"/>
      <c r="F53" s="86"/>
      <c r="G53" s="86"/>
      <c r="H53" s="87"/>
      <c r="I53" s="88"/>
      <c r="J53" s="86"/>
      <c r="K53" s="12"/>
      <c r="L53" s="86"/>
      <c r="M53" s="86"/>
      <c r="N53" s="87"/>
      <c r="O53" s="88"/>
      <c r="P53" s="85"/>
      <c r="Q53" s="84"/>
      <c r="R53" s="84"/>
      <c r="S53" s="84"/>
      <c r="T53" s="84"/>
      <c r="U53" s="85"/>
      <c r="V53" s="85"/>
      <c r="W53" s="85"/>
      <c r="X53" s="85"/>
      <c r="Z53" s="85"/>
      <c r="AA53" s="84"/>
      <c r="AB53" s="85"/>
    </row>
    <row r="54">
      <c r="A54" s="84"/>
      <c r="B54" s="84"/>
      <c r="C54" s="85"/>
      <c r="D54" s="85"/>
      <c r="E54" s="12"/>
      <c r="F54" s="86"/>
      <c r="G54" s="86"/>
      <c r="H54" s="87"/>
      <c r="I54" s="88"/>
      <c r="J54" s="86"/>
      <c r="K54" s="12"/>
      <c r="L54" s="86"/>
      <c r="M54" s="86"/>
      <c r="N54" s="87"/>
      <c r="O54" s="88"/>
      <c r="P54" s="85"/>
      <c r="Q54" s="84"/>
      <c r="R54" s="84"/>
      <c r="S54" s="84"/>
      <c r="T54" s="84"/>
      <c r="U54" s="85"/>
      <c r="V54" s="85"/>
      <c r="W54" s="85"/>
      <c r="X54" s="85"/>
      <c r="Z54" s="85"/>
      <c r="AA54" s="84"/>
      <c r="AB54" s="85"/>
    </row>
    <row r="55">
      <c r="A55" s="84"/>
      <c r="B55" s="84"/>
      <c r="C55" s="85"/>
      <c r="D55" s="85"/>
      <c r="E55" s="12"/>
      <c r="F55" s="86"/>
      <c r="G55" s="86"/>
      <c r="H55" s="87"/>
      <c r="I55" s="88"/>
      <c r="J55" s="86"/>
      <c r="K55" s="12"/>
      <c r="L55" s="86"/>
      <c r="M55" s="86"/>
      <c r="N55" s="87"/>
      <c r="O55" s="88"/>
      <c r="P55" s="85"/>
      <c r="Q55" s="84"/>
      <c r="R55" s="84"/>
      <c r="S55" s="84"/>
      <c r="T55" s="84"/>
      <c r="U55" s="85"/>
      <c r="V55" s="85"/>
      <c r="W55" s="85"/>
      <c r="X55" s="85"/>
      <c r="Z55" s="85"/>
      <c r="AA55" s="84"/>
      <c r="AB55" s="85"/>
    </row>
    <row r="56">
      <c r="A56" s="84"/>
      <c r="B56" s="84"/>
      <c r="C56" s="85"/>
      <c r="D56" s="85"/>
      <c r="E56" s="12"/>
      <c r="F56" s="86"/>
      <c r="G56" s="86"/>
      <c r="H56" s="87"/>
      <c r="I56" s="88"/>
      <c r="J56" s="86"/>
      <c r="K56" s="12"/>
      <c r="L56" s="86"/>
      <c r="M56" s="86"/>
      <c r="N56" s="87"/>
      <c r="O56" s="88"/>
      <c r="P56" s="85"/>
      <c r="Q56" s="84"/>
      <c r="R56" s="84"/>
      <c r="S56" s="84"/>
      <c r="T56" s="84"/>
      <c r="U56" s="85"/>
      <c r="V56" s="85"/>
      <c r="W56" s="85"/>
      <c r="X56" s="85"/>
      <c r="Z56" s="85"/>
      <c r="AA56" s="84"/>
      <c r="AB56" s="85"/>
    </row>
    <row r="57">
      <c r="A57" s="84"/>
      <c r="B57" s="84"/>
      <c r="C57" s="85"/>
      <c r="D57" s="85"/>
      <c r="E57" s="12"/>
      <c r="F57" s="86"/>
      <c r="G57" s="86"/>
      <c r="H57" s="87"/>
      <c r="I57" s="88"/>
      <c r="J57" s="86"/>
      <c r="K57" s="12"/>
      <c r="L57" s="86"/>
      <c r="M57" s="86" t="str">
        <v>*</v>
      </c>
      <c r="N57" s="87"/>
      <c r="O57" s="88"/>
      <c r="P57" s="85"/>
      <c r="Q57" s="84"/>
      <c r="R57" s="84"/>
      <c r="S57" s="84"/>
      <c r="T57" s="84"/>
      <c r="U57" s="85"/>
      <c r="V57" s="85"/>
      <c r="W57" s="85"/>
      <c r="X57" s="85"/>
      <c r="Z57" s="85"/>
      <c r="AA57" s="84"/>
      <c r="AB57" s="85"/>
    </row>
    <row r="58">
      <c r="A58" s="84"/>
      <c r="B58" s="84"/>
      <c r="C58" s="85"/>
      <c r="D58" s="85"/>
      <c r="E58" s="12"/>
      <c r="F58" s="86"/>
      <c r="G58" s="86"/>
      <c r="H58" s="87"/>
      <c r="I58" s="88"/>
      <c r="J58" s="86"/>
      <c r="K58" s="12"/>
      <c r="L58" s="86"/>
      <c r="M58" s="86"/>
      <c r="N58" s="87"/>
      <c r="O58" s="88"/>
      <c r="P58" s="85"/>
      <c r="Q58" s="84"/>
      <c r="R58" s="84"/>
      <c r="S58" s="84"/>
      <c r="T58" s="84"/>
      <c r="U58" s="85"/>
      <c r="V58" s="85"/>
      <c r="W58" s="85"/>
      <c r="X58" s="85"/>
      <c r="Z58" s="85"/>
      <c r="AA58" s="84"/>
      <c r="AB58" s="85"/>
    </row>
    <row r="59">
      <c r="A59" s="84"/>
      <c r="B59" s="84"/>
      <c r="C59" s="85"/>
      <c r="D59" s="85"/>
      <c r="E59" s="12"/>
      <c r="F59" s="86"/>
      <c r="G59" s="86"/>
      <c r="H59" s="87"/>
      <c r="I59" s="88"/>
      <c r="J59" s="86"/>
      <c r="K59" s="12"/>
      <c r="L59" s="86"/>
      <c r="M59" s="86"/>
      <c r="N59" s="87"/>
      <c r="O59" s="88"/>
      <c r="P59" s="85"/>
      <c r="Q59" s="84"/>
      <c r="R59" s="84"/>
      <c r="S59" s="84"/>
      <c r="T59" s="84"/>
      <c r="U59" s="85"/>
      <c r="V59" s="85"/>
      <c r="W59" s="85"/>
      <c r="X59" s="85"/>
      <c r="Z59" s="85"/>
      <c r="AA59" s="84"/>
      <c r="AB59" s="85"/>
    </row>
    <row r="60">
      <c r="A60" s="84"/>
      <c r="B60" s="84"/>
      <c r="C60" s="85"/>
      <c r="D60" s="85"/>
      <c r="E60" s="12"/>
      <c r="F60" s="86"/>
      <c r="G60" s="86"/>
      <c r="H60" s="87"/>
      <c r="I60" s="88"/>
      <c r="J60" s="86"/>
      <c r="K60" s="12"/>
      <c r="L60" s="86"/>
      <c r="M60" s="86"/>
      <c r="N60" s="87"/>
      <c r="O60" s="88"/>
      <c r="P60" s="85"/>
      <c r="Q60" s="84"/>
      <c r="R60" s="84"/>
      <c r="S60" s="84"/>
      <c r="T60" s="84"/>
      <c r="U60" s="85"/>
      <c r="V60" s="85"/>
      <c r="W60" s="85"/>
      <c r="X60" s="85"/>
      <c r="Z60" s="85"/>
      <c r="AA60" s="84"/>
      <c r="AB60" s="85"/>
    </row>
    <row r="61">
      <c r="A61" s="84"/>
      <c r="B61" s="84"/>
      <c r="C61" s="85"/>
      <c r="D61" s="85"/>
      <c r="E61" s="12"/>
      <c r="F61" s="86"/>
      <c r="G61" s="86"/>
      <c r="H61" s="87"/>
      <c r="I61" s="88"/>
      <c r="J61" s="86"/>
      <c r="K61" s="12"/>
      <c r="L61" s="86"/>
      <c r="M61" s="86"/>
      <c r="N61" s="87"/>
      <c r="O61" s="88"/>
      <c r="P61" s="85"/>
      <c r="Q61" s="84"/>
      <c r="R61" s="84"/>
      <c r="S61" s="84"/>
      <c r="T61" s="84"/>
      <c r="U61" s="85"/>
      <c r="V61" s="85"/>
      <c r="W61" s="85"/>
      <c r="X61" s="85"/>
      <c r="Z61" s="85"/>
      <c r="AA61" s="84"/>
      <c r="AB61" s="85"/>
    </row>
    <row r="62">
      <c r="A62" s="84"/>
      <c r="B62" s="84"/>
      <c r="C62" s="85"/>
      <c r="D62" s="85"/>
      <c r="E62" s="12"/>
      <c r="F62" s="86"/>
      <c r="G62" s="86"/>
      <c r="H62" s="87"/>
      <c r="I62" s="88"/>
      <c r="J62" s="86"/>
      <c r="K62" s="12"/>
      <c r="L62" s="86"/>
      <c r="M62" s="86"/>
      <c r="N62" s="87"/>
      <c r="O62" s="88"/>
      <c r="P62" s="85"/>
      <c r="Q62" s="84"/>
      <c r="R62" s="84"/>
      <c r="S62" s="84"/>
      <c r="T62" s="84"/>
      <c r="U62" s="85"/>
      <c r="V62" s="85"/>
      <c r="W62" s="85"/>
      <c r="X62" s="85"/>
      <c r="Z62" s="85"/>
      <c r="AA62" s="84"/>
      <c r="AB62" s="85"/>
    </row>
    <row r="63">
      <c r="A63" s="84"/>
      <c r="B63" s="84"/>
      <c r="C63" s="85"/>
      <c r="D63" s="85"/>
      <c r="E63" s="12"/>
      <c r="F63" s="86"/>
      <c r="G63" s="86"/>
      <c r="H63" s="87"/>
      <c r="I63" s="88"/>
      <c r="J63" s="86"/>
      <c r="K63" s="12"/>
      <c r="L63" s="86"/>
      <c r="M63" s="86"/>
      <c r="N63" s="87"/>
      <c r="O63" s="88"/>
      <c r="P63" s="85"/>
      <c r="Q63" s="84"/>
      <c r="R63" s="84"/>
      <c r="S63" s="84"/>
      <c r="T63" s="84"/>
      <c r="U63" s="85"/>
      <c r="V63" s="85"/>
      <c r="W63" s="85"/>
      <c r="X63" s="85"/>
      <c r="Z63" s="85"/>
      <c r="AA63" s="84"/>
      <c r="AB63" s="85"/>
    </row>
    <row r="64">
      <c r="A64" s="84"/>
      <c r="B64" s="84"/>
      <c r="C64" s="85"/>
      <c r="D64" s="85"/>
      <c r="E64" s="12"/>
      <c r="F64" s="86"/>
      <c r="G64" s="86"/>
      <c r="H64" s="87"/>
      <c r="I64" s="88"/>
      <c r="J64" s="86"/>
      <c r="K64" s="12"/>
      <c r="L64" s="86"/>
      <c r="M64" s="86"/>
      <c r="N64" s="87"/>
      <c r="O64" s="88"/>
      <c r="P64" s="85"/>
      <c r="Q64" s="84"/>
      <c r="R64" s="84"/>
      <c r="S64" s="84"/>
      <c r="T64" s="84"/>
      <c r="U64" s="85"/>
      <c r="V64" s="85"/>
      <c r="W64" s="85"/>
      <c r="X64" s="85"/>
      <c r="Z64" s="85"/>
      <c r="AA64" s="84"/>
      <c r="AB64" s="85"/>
    </row>
    <row r="65">
      <c r="A65" s="84"/>
      <c r="B65" s="84"/>
      <c r="C65" s="85"/>
      <c r="D65" s="85"/>
      <c r="E65" s="12"/>
      <c r="F65" s="86"/>
      <c r="G65" s="86"/>
      <c r="H65" s="87"/>
      <c r="I65" s="88"/>
      <c r="J65" s="86"/>
      <c r="K65" s="12"/>
      <c r="L65" s="86"/>
      <c r="M65" s="86"/>
      <c r="N65" s="87"/>
      <c r="O65" s="88"/>
      <c r="P65" s="85"/>
      <c r="Q65" s="84"/>
      <c r="R65" s="84"/>
      <c r="S65" s="84"/>
      <c r="T65" s="84"/>
      <c r="U65" s="85"/>
      <c r="V65" s="85"/>
      <c r="W65" s="85"/>
      <c r="X65" s="85"/>
      <c r="Z65" s="85"/>
      <c r="AA65" s="84"/>
      <c r="AB65" s="85"/>
    </row>
    <row r="66">
      <c r="A66" s="84"/>
      <c r="B66" s="84"/>
      <c r="C66" s="85"/>
      <c r="D66" s="85"/>
      <c r="E66" s="12"/>
      <c r="F66" s="86"/>
      <c r="G66" s="86"/>
      <c r="H66" s="87"/>
      <c r="I66" s="88"/>
      <c r="J66" s="86"/>
      <c r="K66" s="12"/>
      <c r="L66" s="86"/>
      <c r="M66" s="86"/>
      <c r="N66" s="87"/>
      <c r="O66" s="88"/>
      <c r="P66" s="85"/>
      <c r="Q66" s="84"/>
      <c r="R66" s="84"/>
      <c r="S66" s="84"/>
      <c r="T66" s="84"/>
      <c r="U66" s="85"/>
      <c r="V66" s="85"/>
      <c r="W66" s="85"/>
      <c r="X66" s="85"/>
      <c r="Z66" s="85"/>
      <c r="AA66" s="84"/>
      <c r="AB66" s="85"/>
    </row>
    <row r="67">
      <c r="A67" s="84"/>
      <c r="B67" s="84"/>
      <c r="C67" s="85"/>
      <c r="D67" s="85"/>
      <c r="E67" s="12"/>
      <c r="F67" s="86"/>
      <c r="G67" s="86"/>
      <c r="H67" s="87"/>
      <c r="I67" s="88"/>
      <c r="J67" s="86"/>
      <c r="K67" s="12"/>
      <c r="L67" s="86"/>
      <c r="M67" s="86"/>
      <c r="N67" s="87"/>
      <c r="O67" s="88"/>
      <c r="P67" s="85"/>
      <c r="Q67" s="84"/>
      <c r="R67" s="84"/>
      <c r="S67" s="84"/>
      <c r="T67" s="84"/>
      <c r="U67" s="85"/>
      <c r="V67" s="85"/>
      <c r="W67" s="85"/>
      <c r="X67" s="85"/>
      <c r="Z67" s="85"/>
      <c r="AA67" s="84"/>
      <c r="AB67" s="85"/>
    </row>
    <row r="68">
      <c r="A68" s="84"/>
      <c r="B68" s="84"/>
      <c r="C68" s="85"/>
      <c r="D68" s="85"/>
      <c r="E68" s="12"/>
      <c r="F68" s="86"/>
      <c r="G68" s="86"/>
      <c r="H68" s="87"/>
      <c r="I68" s="88"/>
      <c r="J68" s="86"/>
      <c r="K68" s="12"/>
      <c r="L68" s="86"/>
      <c r="M68" s="86"/>
      <c r="N68" s="87"/>
      <c r="O68" s="88"/>
      <c r="P68" s="85"/>
      <c r="Q68" s="84"/>
      <c r="R68" s="84"/>
      <c r="S68" s="84"/>
      <c r="T68" s="84"/>
      <c r="U68" s="85"/>
      <c r="V68" s="85"/>
      <c r="W68" s="85"/>
      <c r="X68" s="85"/>
      <c r="Z68" s="85"/>
      <c r="AA68" s="84"/>
      <c r="AB68" s="85"/>
    </row>
    <row r="69">
      <c r="A69" s="84"/>
      <c r="B69" s="84"/>
      <c r="C69" s="85"/>
      <c r="D69" s="85"/>
      <c r="E69" s="12"/>
      <c r="F69" s="86"/>
      <c r="G69" s="86"/>
      <c r="H69" s="87"/>
      <c r="I69" s="88"/>
      <c r="J69" s="86"/>
      <c r="K69" s="12"/>
      <c r="L69" s="86"/>
      <c r="M69" s="86"/>
      <c r="N69" s="87"/>
      <c r="O69" s="88"/>
      <c r="P69" s="85"/>
      <c r="Q69" s="84"/>
      <c r="R69" s="84"/>
      <c r="S69" s="84"/>
      <c r="T69" s="84"/>
      <c r="U69" s="85"/>
      <c r="V69" s="85"/>
      <c r="W69" s="85"/>
      <c r="X69" s="85"/>
      <c r="Z69" s="85"/>
      <c r="AA69" s="84"/>
      <c r="AB69" s="85"/>
    </row>
    <row r="70">
      <c r="A70" s="84"/>
      <c r="B70" s="84"/>
      <c r="C70" s="85"/>
      <c r="D70" s="85"/>
      <c r="E70" s="12"/>
      <c r="F70" s="86"/>
      <c r="G70" s="86"/>
      <c r="H70" s="87"/>
      <c r="I70" s="88"/>
      <c r="J70" s="86"/>
      <c r="K70" s="12"/>
      <c r="L70" s="86"/>
      <c r="M70" s="86"/>
      <c r="N70" s="87"/>
      <c r="O70" s="88"/>
      <c r="P70" s="85"/>
      <c r="Q70" s="84"/>
      <c r="R70" s="84"/>
      <c r="S70" s="84"/>
      <c r="T70" s="84"/>
      <c r="U70" s="85"/>
      <c r="V70" s="85"/>
      <c r="W70" s="85"/>
      <c r="X70" s="85"/>
      <c r="Z70" s="85"/>
      <c r="AA70" s="84"/>
      <c r="AB70" s="85"/>
    </row>
    <row r="71">
      <c r="A71" s="84"/>
      <c r="B71" s="84"/>
      <c r="C71" s="85"/>
      <c r="D71" s="85"/>
      <c r="E71" s="12"/>
      <c r="F71" s="86"/>
      <c r="G71" s="86"/>
      <c r="H71" s="87"/>
      <c r="I71" s="88"/>
      <c r="J71" s="86"/>
      <c r="K71" s="12"/>
      <c r="L71" s="86"/>
      <c r="M71" s="86"/>
      <c r="N71" s="87"/>
      <c r="O71" s="88"/>
      <c r="P71" s="85"/>
      <c r="Q71" s="84"/>
      <c r="R71" s="84"/>
      <c r="S71" s="84"/>
      <c r="T71" s="84"/>
      <c r="U71" s="85"/>
      <c r="V71" s="85"/>
      <c r="W71" s="85"/>
      <c r="X71" s="85"/>
      <c r="Z71" s="85"/>
      <c r="AA71" s="84"/>
      <c r="AB71" s="85"/>
    </row>
    <row r="72">
      <c r="A72" s="84"/>
      <c r="B72" s="84"/>
      <c r="C72" s="85"/>
      <c r="D72" s="85"/>
      <c r="E72" s="12"/>
      <c r="F72" s="86"/>
      <c r="G72" s="86"/>
      <c r="H72" s="87"/>
      <c r="I72" s="88"/>
      <c r="J72" s="86"/>
      <c r="K72" s="12"/>
      <c r="L72" s="86"/>
      <c r="M72" s="86"/>
      <c r="N72" s="87"/>
      <c r="O72" s="88"/>
      <c r="P72" s="85"/>
      <c r="Q72" s="84"/>
      <c r="R72" s="84"/>
      <c r="S72" s="84"/>
      <c r="T72" s="84"/>
      <c r="U72" s="85"/>
      <c r="V72" s="85"/>
      <c r="W72" s="85"/>
      <c r="X72" s="85"/>
      <c r="Z72" s="85"/>
      <c r="AA72" s="84"/>
      <c r="AB72" s="85"/>
    </row>
    <row r="73">
      <c r="A73" s="84"/>
      <c r="B73" s="84"/>
      <c r="C73" s="85"/>
      <c r="D73" s="85"/>
      <c r="E73" s="12"/>
      <c r="F73" s="86"/>
      <c r="G73" s="86"/>
      <c r="H73" s="87"/>
      <c r="I73" s="88"/>
      <c r="J73" s="86"/>
      <c r="K73" s="12"/>
      <c r="L73" s="86"/>
      <c r="M73" s="86"/>
      <c r="N73" s="87"/>
      <c r="O73" s="88"/>
      <c r="P73" s="85"/>
      <c r="Q73" s="84"/>
      <c r="R73" s="84"/>
      <c r="S73" s="84"/>
      <c r="T73" s="84"/>
      <c r="U73" s="85"/>
      <c r="V73" s="85"/>
      <c r="W73" s="85"/>
      <c r="X73" s="85"/>
      <c r="Z73" s="85"/>
      <c r="AA73" s="84"/>
      <c r="AB73" s="85"/>
    </row>
    <row r="74">
      <c r="A74" s="84"/>
      <c r="B74" s="84"/>
      <c r="C74" s="85"/>
      <c r="D74" s="85"/>
      <c r="E74" s="12"/>
      <c r="F74" s="86"/>
      <c r="G74" s="86"/>
      <c r="H74" s="87"/>
      <c r="I74" s="88"/>
      <c r="J74" s="86"/>
      <c r="K74" s="12"/>
      <c r="L74" s="86"/>
      <c r="M74" s="86"/>
      <c r="N74" s="87"/>
      <c r="O74" s="88"/>
      <c r="P74" s="85"/>
      <c r="Q74" s="84"/>
      <c r="R74" s="84"/>
      <c r="S74" s="84"/>
      <c r="T74" s="84"/>
      <c r="U74" s="85"/>
      <c r="V74" s="85"/>
      <c r="W74" s="85"/>
      <c r="X74" s="85"/>
      <c r="Z74" s="85"/>
      <c r="AA74" s="84"/>
      <c r="AB74" s="85"/>
    </row>
    <row r="75">
      <c r="A75" s="84"/>
      <c r="B75" s="84"/>
      <c r="C75" s="85"/>
      <c r="D75" s="85"/>
      <c r="E75" s="12"/>
      <c r="F75" s="86"/>
      <c r="G75" s="86"/>
      <c r="H75" s="87"/>
      <c r="I75" s="88"/>
      <c r="J75" s="86"/>
      <c r="K75" s="12"/>
      <c r="L75" s="86"/>
      <c r="M75" s="86"/>
      <c r="N75" s="87"/>
      <c r="O75" s="88"/>
      <c r="P75" s="85"/>
      <c r="Q75" s="84"/>
      <c r="R75" s="84"/>
      <c r="S75" s="84"/>
      <c r="T75" s="84"/>
      <c r="U75" s="85"/>
      <c r="V75" s="85"/>
      <c r="W75" s="85"/>
      <c r="X75" s="85"/>
      <c r="Z75" s="85"/>
      <c r="AA75" s="84"/>
      <c r="AB75" s="85"/>
    </row>
    <row r="76">
      <c r="A76" s="84"/>
      <c r="B76" s="84"/>
      <c r="C76" s="85"/>
      <c r="D76" s="85"/>
      <c r="E76" s="12"/>
      <c r="F76" s="86"/>
      <c r="G76" s="86"/>
      <c r="H76" s="87"/>
      <c r="I76" s="88"/>
      <c r="J76" s="86"/>
      <c r="K76" s="12"/>
      <c r="L76" s="86"/>
      <c r="M76" s="86"/>
      <c r="N76" s="87"/>
      <c r="O76" s="88"/>
      <c r="P76" s="85"/>
      <c r="Q76" s="84"/>
      <c r="R76" s="84"/>
      <c r="S76" s="84"/>
      <c r="T76" s="84"/>
      <c r="U76" s="85"/>
      <c r="V76" s="85"/>
      <c r="W76" s="85"/>
      <c r="X76" s="85"/>
      <c r="Z76" s="85"/>
      <c r="AA76" s="84"/>
      <c r="AB76" s="85"/>
    </row>
    <row r="77">
      <c r="A77" s="84"/>
      <c r="B77" s="84"/>
      <c r="C77" s="85"/>
      <c r="D77" s="85"/>
      <c r="E77" s="12"/>
      <c r="F77" s="86"/>
      <c r="G77" s="86"/>
      <c r="H77" s="87"/>
      <c r="I77" s="88"/>
      <c r="J77" s="86"/>
      <c r="K77" s="12"/>
      <c r="L77" s="86"/>
      <c r="M77" s="86"/>
      <c r="N77" s="87"/>
      <c r="O77" s="88"/>
      <c r="P77" s="85"/>
      <c r="Q77" s="84"/>
      <c r="R77" s="84"/>
      <c r="S77" s="84"/>
      <c r="T77" s="84"/>
      <c r="U77" s="85"/>
      <c r="V77" s="85"/>
      <c r="W77" s="85"/>
      <c r="X77" s="85"/>
      <c r="Z77" s="85"/>
      <c r="AA77" s="84"/>
      <c r="AB77" s="85"/>
    </row>
    <row r="78">
      <c r="A78" s="84"/>
      <c r="B78" s="84"/>
      <c r="C78" s="85"/>
      <c r="D78" s="85"/>
      <c r="E78" s="12"/>
      <c r="F78" s="86"/>
      <c r="G78" s="86"/>
      <c r="H78" s="87"/>
      <c r="I78" s="88"/>
      <c r="J78" s="86"/>
      <c r="K78" s="12"/>
      <c r="L78" s="86"/>
      <c r="M78" s="86"/>
      <c r="N78" s="87"/>
      <c r="O78" s="88"/>
      <c r="P78" s="85"/>
      <c r="Q78" s="84"/>
      <c r="R78" s="84"/>
      <c r="S78" s="84"/>
      <c r="T78" s="84"/>
      <c r="U78" s="85"/>
      <c r="V78" s="85"/>
      <c r="W78" s="85"/>
      <c r="X78" s="85"/>
      <c r="Z78" s="85"/>
      <c r="AA78" s="84"/>
      <c r="AB78" s="85"/>
    </row>
    <row r="79">
      <c r="A79" s="84"/>
      <c r="B79" s="84"/>
      <c r="C79" s="85"/>
      <c r="D79" s="85"/>
      <c r="E79" s="12"/>
      <c r="F79" s="86"/>
      <c r="G79" s="86"/>
      <c r="H79" s="87"/>
      <c r="I79" s="88"/>
      <c r="J79" s="86"/>
      <c r="K79" s="12"/>
      <c r="L79" s="86"/>
      <c r="M79" s="86"/>
      <c r="N79" s="87"/>
      <c r="O79" s="88"/>
      <c r="P79" s="85"/>
      <c r="Q79" s="84"/>
      <c r="R79" s="84"/>
      <c r="S79" s="84"/>
      <c r="T79" s="84"/>
      <c r="U79" s="85"/>
      <c r="V79" s="85"/>
      <c r="W79" s="85"/>
      <c r="X79" s="85"/>
      <c r="Z79" s="85"/>
      <c r="AA79" s="84"/>
      <c r="AB79" s="85"/>
    </row>
    <row r="80">
      <c r="A80" s="84"/>
      <c r="B80" s="84"/>
      <c r="C80" s="85"/>
      <c r="D80" s="85"/>
      <c r="E80" s="12"/>
      <c r="F80" s="86"/>
      <c r="G80" s="86"/>
      <c r="H80" s="87"/>
      <c r="I80" s="88"/>
      <c r="J80" s="86"/>
      <c r="K80" s="12"/>
      <c r="L80" s="86"/>
      <c r="M80" s="86"/>
      <c r="N80" s="87"/>
      <c r="O80" s="88"/>
      <c r="P80" s="85"/>
      <c r="Q80" s="84"/>
      <c r="R80" s="84"/>
      <c r="S80" s="84"/>
      <c r="T80" s="84"/>
      <c r="U80" s="85"/>
      <c r="V80" s="85"/>
      <c r="W80" s="85"/>
      <c r="X80" s="85"/>
      <c r="Z80" s="85"/>
      <c r="AA80" s="84"/>
      <c r="AB80" s="85"/>
    </row>
    <row r="81">
      <c r="A81" s="84"/>
      <c r="B81" s="84"/>
      <c r="C81" s="85"/>
      <c r="D81" s="85"/>
      <c r="E81" s="12"/>
      <c r="F81" s="86"/>
      <c r="G81" s="86"/>
      <c r="H81" s="87"/>
      <c r="I81" s="88"/>
      <c r="J81" s="86"/>
      <c r="K81" s="12"/>
      <c r="L81" s="86"/>
      <c r="M81" s="86"/>
      <c r="N81" s="87"/>
      <c r="O81" s="88"/>
      <c r="P81" s="85"/>
      <c r="Q81" s="84"/>
      <c r="R81" s="84"/>
      <c r="S81" s="84"/>
      <c r="T81" s="84"/>
      <c r="U81" s="85"/>
      <c r="V81" s="85"/>
      <c r="W81" s="85"/>
      <c r="X81" s="85"/>
      <c r="Z81" s="85"/>
      <c r="AA81" s="84"/>
      <c r="AB81" s="85"/>
    </row>
    <row r="82">
      <c r="A82" s="84"/>
      <c r="B82" s="84"/>
      <c r="C82" s="85"/>
      <c r="D82" s="85"/>
      <c r="E82" s="12"/>
      <c r="F82" s="86"/>
      <c r="G82" s="86"/>
      <c r="H82" s="87"/>
      <c r="I82" s="88"/>
      <c r="J82" s="86"/>
      <c r="K82" s="12"/>
      <c r="L82" s="86"/>
      <c r="M82" s="86"/>
      <c r="N82" s="87"/>
      <c r="O82" s="88"/>
      <c r="P82" s="85"/>
      <c r="Q82" s="84"/>
      <c r="R82" s="84"/>
      <c r="S82" s="84"/>
      <c r="T82" s="84"/>
      <c r="U82" s="85"/>
      <c r="V82" s="85"/>
      <c r="W82" s="85"/>
      <c r="X82" s="85"/>
      <c r="Z82" s="85"/>
      <c r="AA82" s="84"/>
      <c r="AB82" s="85"/>
    </row>
    <row r="83">
      <c r="A83" s="84"/>
      <c r="B83" s="84"/>
      <c r="C83" s="85"/>
      <c r="D83" s="85"/>
      <c r="E83" s="12"/>
      <c r="F83" s="86"/>
      <c r="G83" s="86"/>
      <c r="H83" s="87"/>
      <c r="I83" s="88"/>
      <c r="J83" s="86"/>
      <c r="K83" s="12"/>
      <c r="L83" s="86"/>
      <c r="M83" s="86"/>
      <c r="N83" s="87"/>
      <c r="O83" s="88"/>
      <c r="P83" s="85"/>
      <c r="Q83" s="84"/>
      <c r="R83" s="84"/>
      <c r="S83" s="84"/>
      <c r="T83" s="84"/>
      <c r="U83" s="85"/>
      <c r="V83" s="85"/>
      <c r="W83" s="85"/>
      <c r="X83" s="85"/>
      <c r="Z83" s="85"/>
      <c r="AA83" s="84"/>
      <c r="AB83" s="85"/>
    </row>
    <row r="84">
      <c r="A84" s="84"/>
      <c r="B84" s="84"/>
      <c r="C84" s="85"/>
      <c r="D84" s="85"/>
      <c r="E84" s="12"/>
      <c r="F84" s="86"/>
      <c r="G84" s="86"/>
      <c r="H84" s="87"/>
      <c r="I84" s="88"/>
      <c r="J84" s="86"/>
      <c r="K84" s="12"/>
      <c r="L84" s="86"/>
      <c r="M84" s="86"/>
      <c r="N84" s="87"/>
      <c r="O84" s="88"/>
      <c r="P84" s="85"/>
      <c r="Q84" s="84"/>
      <c r="R84" s="84"/>
      <c r="S84" s="84"/>
      <c r="T84" s="84"/>
      <c r="U84" s="85"/>
      <c r="V84" s="85"/>
      <c r="W84" s="85"/>
      <c r="X84" s="85"/>
      <c r="Z84" s="85"/>
      <c r="AA84" s="84"/>
      <c r="AB84" s="85"/>
    </row>
    <row r="85">
      <c r="A85" s="84"/>
      <c r="B85" s="84"/>
      <c r="C85" s="85"/>
      <c r="D85" s="85"/>
      <c r="E85" s="12"/>
      <c r="F85" s="86"/>
      <c r="G85" s="86"/>
      <c r="H85" s="87"/>
      <c r="I85" s="88"/>
      <c r="J85" s="86"/>
      <c r="K85" s="12"/>
      <c r="L85" s="86"/>
      <c r="M85" s="86"/>
      <c r="N85" s="87"/>
      <c r="O85" s="88"/>
      <c r="P85" s="85"/>
      <c r="Q85" s="84"/>
      <c r="R85" s="84"/>
      <c r="S85" s="84"/>
      <c r="T85" s="84"/>
      <c r="U85" s="85"/>
      <c r="V85" s="85"/>
      <c r="W85" s="85"/>
      <c r="X85" s="85"/>
      <c r="Z85" s="85"/>
      <c r="AA85" s="84"/>
      <c r="AB85" s="85"/>
    </row>
    <row r="86">
      <c r="A86" s="84"/>
      <c r="B86" s="84"/>
      <c r="C86" s="85"/>
      <c r="D86" s="85"/>
      <c r="E86" s="12"/>
      <c r="F86" s="86"/>
      <c r="G86" s="86"/>
      <c r="H86" s="87"/>
      <c r="I86" s="88"/>
      <c r="J86" s="86"/>
      <c r="K86" s="12"/>
      <c r="L86" s="86"/>
      <c r="M86" s="86"/>
      <c r="N86" s="87"/>
      <c r="O86" s="88"/>
      <c r="P86" s="85"/>
      <c r="Q86" s="84"/>
      <c r="R86" s="84"/>
      <c r="S86" s="84"/>
      <c r="T86" s="84"/>
      <c r="U86" s="85"/>
      <c r="V86" s="85"/>
      <c r="W86" s="85"/>
      <c r="X86" s="85"/>
      <c r="Z86" s="85"/>
      <c r="AA86" s="84"/>
      <c r="AB86" s="85"/>
    </row>
    <row r="87">
      <c r="A87" s="84"/>
      <c r="B87" s="84"/>
      <c r="C87" s="85"/>
      <c r="D87" s="85"/>
      <c r="E87" s="12"/>
      <c r="F87" s="86"/>
      <c r="G87" s="86"/>
      <c r="H87" s="87"/>
      <c r="I87" s="88"/>
      <c r="J87" s="86"/>
      <c r="K87" s="12"/>
      <c r="L87" s="86"/>
      <c r="M87" s="86"/>
      <c r="N87" s="87"/>
      <c r="O87" s="88"/>
      <c r="P87" s="85"/>
      <c r="Q87" s="84"/>
      <c r="R87" s="84"/>
      <c r="S87" s="84"/>
      <c r="T87" s="84"/>
      <c r="U87" s="85"/>
      <c r="V87" s="85"/>
      <c r="W87" s="85"/>
      <c r="X87" s="85"/>
      <c r="Z87" s="85"/>
      <c r="AA87" s="84"/>
      <c r="AB87" s="85"/>
    </row>
    <row r="88">
      <c r="A88" s="84"/>
      <c r="B88" s="84"/>
      <c r="C88" s="85"/>
      <c r="D88" s="85"/>
      <c r="E88" s="12"/>
      <c r="F88" s="86"/>
      <c r="G88" s="86"/>
      <c r="H88" s="87"/>
      <c r="I88" s="88"/>
      <c r="J88" s="86"/>
      <c r="K88" s="12"/>
      <c r="L88" s="86"/>
      <c r="M88" s="86"/>
      <c r="N88" s="87"/>
      <c r="O88" s="88"/>
      <c r="P88" s="85"/>
      <c r="Q88" s="84"/>
      <c r="R88" s="84"/>
      <c r="S88" s="84"/>
      <c r="T88" s="84"/>
      <c r="U88" s="85"/>
      <c r="V88" s="85"/>
      <c r="W88" s="85"/>
      <c r="X88" s="85"/>
      <c r="Z88" s="85"/>
      <c r="AA88" s="84"/>
      <c r="AB88" s="85"/>
    </row>
    <row r="89">
      <c r="A89" s="84"/>
      <c r="B89" s="84"/>
      <c r="C89" s="85"/>
      <c r="D89" s="85"/>
      <c r="E89" s="12"/>
      <c r="F89" s="86"/>
      <c r="G89" s="86"/>
      <c r="H89" s="87"/>
      <c r="I89" s="88"/>
      <c r="J89" s="86"/>
      <c r="K89" s="12"/>
      <c r="L89" s="86"/>
      <c r="M89" s="86"/>
      <c r="N89" s="87"/>
      <c r="O89" s="88"/>
      <c r="P89" s="85"/>
      <c r="Q89" s="84"/>
      <c r="R89" s="84"/>
      <c r="S89" s="84"/>
      <c r="T89" s="84"/>
      <c r="U89" s="85"/>
      <c r="V89" s="85"/>
      <c r="W89" s="85"/>
      <c r="X89" s="85"/>
      <c r="Z89" s="85"/>
      <c r="AA89" s="84"/>
      <c r="AB89" s="85"/>
    </row>
    <row r="90">
      <c r="A90" s="84"/>
      <c r="B90" s="84"/>
      <c r="C90" s="85"/>
      <c r="D90" s="85"/>
      <c r="E90" s="12"/>
      <c r="F90" s="86"/>
      <c r="G90" s="86"/>
      <c r="H90" s="87"/>
      <c r="I90" s="88"/>
      <c r="J90" s="86"/>
      <c r="K90" s="12"/>
      <c r="L90" s="86"/>
      <c r="M90" s="86"/>
      <c r="N90" s="87"/>
      <c r="O90" s="88"/>
      <c r="P90" s="85"/>
      <c r="Q90" s="84"/>
      <c r="R90" s="84"/>
      <c r="S90" s="84"/>
      <c r="T90" s="84"/>
      <c r="U90" s="85"/>
      <c r="V90" s="85"/>
      <c r="W90" s="85"/>
      <c r="X90" s="85"/>
      <c r="Z90" s="85"/>
      <c r="AA90" s="84"/>
      <c r="AB90" s="85"/>
    </row>
    <row r="91">
      <c r="A91" s="84"/>
      <c r="B91" s="84"/>
      <c r="C91" s="85"/>
      <c r="D91" s="85"/>
      <c r="E91" s="12"/>
      <c r="F91" s="86"/>
      <c r="G91" s="86"/>
      <c r="H91" s="87"/>
      <c r="I91" s="88"/>
      <c r="J91" s="86"/>
      <c r="K91" s="12"/>
      <c r="L91" s="86"/>
      <c r="M91" s="86"/>
      <c r="N91" s="87"/>
      <c r="O91" s="88"/>
      <c r="P91" s="85"/>
      <c r="Q91" s="84"/>
      <c r="R91" s="84"/>
      <c r="S91" s="84"/>
      <c r="T91" s="84"/>
      <c r="U91" s="85"/>
      <c r="V91" s="85"/>
      <c r="W91" s="85"/>
      <c r="X91" s="85"/>
      <c r="Z91" s="85"/>
      <c r="AA91" s="84"/>
      <c r="AB91" s="85"/>
    </row>
    <row r="92">
      <c r="A92" s="84"/>
      <c r="B92" s="84"/>
      <c r="C92" s="85"/>
      <c r="D92" s="85"/>
      <c r="E92" s="12"/>
      <c r="F92" s="86"/>
      <c r="G92" s="86"/>
      <c r="H92" s="87"/>
      <c r="I92" s="88"/>
      <c r="J92" s="86"/>
      <c r="K92" s="12"/>
      <c r="L92" s="86"/>
      <c r="M92" s="86"/>
      <c r="N92" s="87"/>
      <c r="O92" s="88"/>
      <c r="P92" s="85"/>
      <c r="Q92" s="84"/>
      <c r="R92" s="84"/>
      <c r="S92" s="84"/>
      <c r="T92" s="84"/>
      <c r="U92" s="85"/>
      <c r="V92" s="85"/>
      <c r="W92" s="85"/>
      <c r="X92" s="85"/>
      <c r="Z92" s="85"/>
      <c r="AA92" s="84"/>
      <c r="AB92" s="85"/>
    </row>
    <row r="93">
      <c r="A93" s="84"/>
      <c r="B93" s="84"/>
      <c r="C93" s="85"/>
      <c r="D93" s="85"/>
      <c r="E93" s="12"/>
      <c r="F93" s="86"/>
      <c r="G93" s="86"/>
      <c r="H93" s="87"/>
      <c r="I93" s="88"/>
      <c r="J93" s="86"/>
      <c r="K93" s="12"/>
      <c r="L93" s="86"/>
      <c r="M93" s="86"/>
      <c r="N93" s="87"/>
      <c r="O93" s="88"/>
      <c r="P93" s="85"/>
      <c r="Q93" s="84"/>
      <c r="R93" s="84"/>
      <c r="S93" s="84"/>
      <c r="T93" s="84"/>
      <c r="U93" s="85"/>
      <c r="V93" s="85"/>
      <c r="W93" s="85"/>
      <c r="X93" s="85"/>
      <c r="Z93" s="85"/>
      <c r="AA93" s="84"/>
      <c r="AB93" s="85"/>
    </row>
    <row r="94">
      <c r="A94" s="84"/>
      <c r="B94" s="84"/>
      <c r="C94" s="85"/>
      <c r="D94" s="85"/>
      <c r="E94" s="12"/>
      <c r="F94" s="86"/>
      <c r="G94" s="86"/>
      <c r="H94" s="87"/>
      <c r="I94" s="88"/>
      <c r="J94" s="86"/>
      <c r="K94" s="12"/>
      <c r="L94" s="86"/>
      <c r="M94" s="86"/>
      <c r="N94" s="87"/>
      <c r="O94" s="88"/>
      <c r="P94" s="85"/>
      <c r="Q94" s="84"/>
      <c r="R94" s="84"/>
      <c r="S94" s="84"/>
      <c r="T94" s="84"/>
      <c r="U94" s="85"/>
      <c r="V94" s="85"/>
      <c r="W94" s="85"/>
      <c r="X94" s="85"/>
      <c r="Z94" s="85"/>
      <c r="AA94" s="84"/>
      <c r="AB94" s="85"/>
    </row>
    <row r="95">
      <c r="A95" s="84"/>
      <c r="B95" s="84"/>
      <c r="C95" s="85"/>
      <c r="D95" s="85"/>
      <c r="E95" s="12"/>
      <c r="F95" s="86"/>
      <c r="G95" s="86"/>
      <c r="H95" s="87"/>
      <c r="I95" s="88"/>
      <c r="J95" s="86"/>
      <c r="K95" s="12"/>
      <c r="L95" s="86"/>
      <c r="M95" s="86"/>
      <c r="N95" s="87"/>
      <c r="O95" s="88"/>
      <c r="P95" s="85"/>
      <c r="Q95" s="84"/>
      <c r="R95" s="84"/>
      <c r="S95" s="84"/>
      <c r="T95" s="84"/>
      <c r="U95" s="85"/>
      <c r="V95" s="85"/>
      <c r="W95" s="85"/>
      <c r="X95" s="85"/>
      <c r="Z95" s="85"/>
      <c r="AA95" s="84"/>
      <c r="AB95" s="85"/>
    </row>
    <row r="96">
      <c r="A96" s="84"/>
      <c r="B96" s="84"/>
      <c r="C96" s="85"/>
      <c r="D96" s="85"/>
      <c r="E96" s="12"/>
      <c r="F96" s="86"/>
      <c r="G96" s="86"/>
      <c r="H96" s="87"/>
      <c r="I96" s="88"/>
      <c r="J96" s="86"/>
      <c r="K96" s="12"/>
      <c r="L96" s="86"/>
      <c r="M96" s="86"/>
      <c r="N96" s="87"/>
      <c r="O96" s="88"/>
      <c r="P96" s="85"/>
      <c r="Q96" s="84"/>
      <c r="R96" s="84"/>
      <c r="S96" s="84"/>
      <c r="T96" s="84"/>
      <c r="U96" s="85"/>
      <c r="V96" s="85"/>
      <c r="W96" s="85"/>
      <c r="X96" s="85"/>
      <c r="Z96" s="85"/>
      <c r="AA96" s="84"/>
      <c r="AB96" s="85"/>
    </row>
    <row r="97">
      <c r="A97" s="84"/>
      <c r="B97" s="84"/>
      <c r="C97" s="85"/>
      <c r="D97" s="85"/>
      <c r="E97" s="12"/>
      <c r="F97" s="86"/>
      <c r="G97" s="86"/>
      <c r="H97" s="87"/>
      <c r="I97" s="88"/>
      <c r="J97" s="86"/>
      <c r="K97" s="12"/>
      <c r="L97" s="86"/>
      <c r="M97" s="86"/>
      <c r="N97" s="87"/>
      <c r="O97" s="88"/>
      <c r="P97" s="85"/>
      <c r="Q97" s="84"/>
      <c r="R97" s="84"/>
      <c r="S97" s="84"/>
      <c r="T97" s="84"/>
      <c r="U97" s="85"/>
      <c r="V97" s="85"/>
      <c r="W97" s="85"/>
      <c r="X97" s="85"/>
      <c r="Z97" s="85"/>
      <c r="AA97" s="84"/>
      <c r="AB97" s="85"/>
    </row>
    <row r="98">
      <c r="A98" s="84"/>
      <c r="B98" s="84"/>
      <c r="C98" s="85"/>
      <c r="D98" s="85"/>
      <c r="E98" s="12"/>
      <c r="F98" s="86"/>
      <c r="G98" s="86"/>
      <c r="H98" s="87"/>
      <c r="I98" s="88"/>
      <c r="J98" s="86"/>
      <c r="K98" s="12"/>
      <c r="L98" s="86"/>
      <c r="M98" s="86"/>
      <c r="N98" s="87"/>
      <c r="O98" s="88"/>
      <c r="P98" s="85"/>
      <c r="Q98" s="84"/>
      <c r="R98" s="84"/>
      <c r="S98" s="84"/>
      <c r="T98" s="84"/>
      <c r="U98" s="85"/>
      <c r="V98" s="85"/>
      <c r="W98" s="85"/>
      <c r="X98" s="85"/>
      <c r="Z98" s="85"/>
      <c r="AA98" s="84"/>
      <c r="AB98" s="85"/>
    </row>
    <row r="99">
      <c r="A99" s="84"/>
      <c r="B99" s="84"/>
      <c r="C99" s="85"/>
      <c r="D99" s="85"/>
      <c r="E99" s="12"/>
      <c r="F99" s="86"/>
      <c r="G99" s="86"/>
      <c r="H99" s="87"/>
      <c r="I99" s="88"/>
      <c r="J99" s="86"/>
      <c r="K99" s="12"/>
      <c r="L99" s="86"/>
      <c r="M99" s="86"/>
      <c r="N99" s="87"/>
      <c r="O99" s="88"/>
      <c r="P99" s="85"/>
      <c r="Q99" s="84"/>
      <c r="R99" s="84"/>
      <c r="S99" s="84"/>
      <c r="T99" s="84"/>
      <c r="U99" s="85"/>
      <c r="V99" s="85"/>
      <c r="W99" s="85"/>
      <c r="X99" s="85"/>
      <c r="Z99" s="85"/>
      <c r="AA99" s="84"/>
      <c r="AB99" s="85"/>
    </row>
    <row r="100">
      <c r="A100" s="84"/>
      <c r="B100" s="84"/>
      <c r="C100" s="85"/>
      <c r="D100" s="85"/>
      <c r="E100" s="12"/>
      <c r="F100" s="86"/>
      <c r="G100" s="86"/>
      <c r="H100" s="87"/>
      <c r="I100" s="88"/>
      <c r="J100" s="86"/>
      <c r="K100" s="12"/>
      <c r="L100" s="86"/>
      <c r="M100" s="86"/>
      <c r="N100" s="87"/>
      <c r="O100" s="88"/>
      <c r="P100" s="85"/>
      <c r="Q100" s="84"/>
      <c r="R100" s="84"/>
      <c r="S100" s="84"/>
      <c r="T100" s="84"/>
      <c r="U100" s="85"/>
      <c r="V100" s="85"/>
      <c r="W100" s="85"/>
      <c r="X100" s="85"/>
      <c r="Z100" s="85"/>
      <c r="AA100" s="84"/>
      <c r="AB100" s="85"/>
    </row>
    <row r="101">
      <c r="A101" s="84"/>
      <c r="B101" s="84"/>
      <c r="C101" s="85"/>
      <c r="D101" s="85"/>
      <c r="E101" s="12"/>
      <c r="F101" s="86"/>
      <c r="G101" s="86"/>
      <c r="H101" s="87"/>
      <c r="I101" s="88"/>
      <c r="J101" s="86"/>
      <c r="K101" s="12"/>
      <c r="L101" s="86"/>
      <c r="M101" s="86"/>
      <c r="N101" s="87"/>
      <c r="O101" s="88"/>
      <c r="P101" s="85"/>
      <c r="Q101" s="84"/>
      <c r="R101" s="84"/>
      <c r="S101" s="84"/>
      <c r="T101" s="84"/>
      <c r="U101" s="85"/>
      <c r="V101" s="85"/>
      <c r="W101" s="85"/>
      <c r="X101" s="85"/>
      <c r="Z101" s="85"/>
      <c r="AA101" s="84"/>
      <c r="AB101" s="85"/>
    </row>
    <row r="102">
      <c r="A102" s="84"/>
      <c r="B102" s="84"/>
      <c r="C102" s="85"/>
      <c r="D102" s="85"/>
      <c r="E102" s="12"/>
      <c r="F102" s="86"/>
      <c r="G102" s="86"/>
      <c r="H102" s="87"/>
      <c r="I102" s="88"/>
      <c r="J102" s="86"/>
      <c r="K102" s="12"/>
      <c r="L102" s="86"/>
      <c r="M102" s="86"/>
      <c r="N102" s="87"/>
      <c r="O102" s="88"/>
      <c r="P102" s="85"/>
      <c r="Q102" s="84"/>
      <c r="R102" s="84"/>
      <c r="S102" s="84"/>
      <c r="T102" s="84"/>
      <c r="U102" s="85"/>
      <c r="V102" s="85"/>
      <c r="W102" s="85"/>
      <c r="X102" s="85"/>
      <c r="Z102" s="85"/>
      <c r="AA102" s="84"/>
      <c r="AB102" s="85"/>
    </row>
    <row r="103">
      <c r="A103" s="84"/>
      <c r="B103" s="84"/>
      <c r="C103" s="85"/>
      <c r="D103" s="85"/>
      <c r="E103" s="12"/>
      <c r="F103" s="86"/>
      <c r="G103" s="86"/>
      <c r="H103" s="87"/>
      <c r="I103" s="88"/>
      <c r="J103" s="86"/>
      <c r="K103" s="12"/>
      <c r="L103" s="86"/>
      <c r="M103" s="86"/>
      <c r="N103" s="87"/>
      <c r="O103" s="88"/>
      <c r="P103" s="85"/>
      <c r="Q103" s="84"/>
      <c r="R103" s="84"/>
      <c r="S103" s="84"/>
      <c r="T103" s="84"/>
      <c r="U103" s="85"/>
      <c r="V103" s="85"/>
      <c r="W103" s="85"/>
      <c r="X103" s="85"/>
      <c r="Z103" s="85"/>
      <c r="AA103" s="84"/>
      <c r="AB103" s="85"/>
    </row>
    <row r="104">
      <c r="A104" s="84"/>
      <c r="B104" s="84"/>
      <c r="C104" s="85"/>
      <c r="D104" s="85"/>
      <c r="E104" s="12"/>
      <c r="F104" s="86"/>
      <c r="G104" s="86"/>
      <c r="H104" s="87"/>
      <c r="I104" s="88"/>
      <c r="J104" s="86"/>
      <c r="K104" s="12"/>
      <c r="L104" s="86"/>
      <c r="M104" s="86"/>
      <c r="N104" s="87"/>
      <c r="O104" s="88"/>
      <c r="P104" s="85"/>
      <c r="Q104" s="84"/>
      <c r="R104" s="84"/>
      <c r="S104" s="84"/>
      <c r="T104" s="84"/>
      <c r="U104" s="85"/>
      <c r="V104" s="85"/>
      <c r="W104" s="85"/>
      <c r="X104" s="85"/>
      <c r="Z104" s="85"/>
      <c r="AA104" s="84"/>
      <c r="AB104" s="85"/>
    </row>
    <row r="105">
      <c r="A105" s="84"/>
      <c r="B105" s="84"/>
      <c r="C105" s="85"/>
      <c r="D105" s="85"/>
      <c r="E105" s="12"/>
      <c r="F105" s="86"/>
      <c r="G105" s="86"/>
      <c r="H105" s="87"/>
      <c r="I105" s="88"/>
      <c r="J105" s="86"/>
      <c r="K105" s="12"/>
      <c r="L105" s="86"/>
      <c r="M105" s="86"/>
      <c r="N105" s="87"/>
      <c r="O105" s="88"/>
      <c r="P105" s="85"/>
      <c r="Q105" s="84"/>
      <c r="R105" s="84"/>
      <c r="S105" s="84"/>
      <c r="T105" s="84"/>
      <c r="U105" s="85"/>
      <c r="V105" s="85"/>
      <c r="W105" s="85"/>
      <c r="X105" s="85"/>
      <c r="Z105" s="85"/>
      <c r="AA105" s="84"/>
      <c r="AB105" s="85"/>
    </row>
    <row r="106">
      <c r="A106" s="84"/>
      <c r="B106" s="84"/>
      <c r="C106" s="85"/>
      <c r="D106" s="85"/>
      <c r="E106" s="12"/>
      <c r="F106" s="86"/>
      <c r="G106" s="86"/>
      <c r="H106" s="87"/>
      <c r="I106" s="88"/>
      <c r="J106" s="86"/>
      <c r="K106" s="12"/>
      <c r="L106" s="86"/>
      <c r="M106" s="86"/>
      <c r="N106" s="87"/>
      <c r="O106" s="88"/>
      <c r="P106" s="85"/>
      <c r="Q106" s="84"/>
      <c r="R106" s="84"/>
      <c r="S106" s="84"/>
      <c r="T106" s="84"/>
      <c r="U106" s="85"/>
      <c r="V106" s="85"/>
      <c r="W106" s="85"/>
      <c r="X106" s="85"/>
      <c r="Z106" s="85"/>
      <c r="AA106" s="84"/>
      <c r="AB106" s="85"/>
    </row>
    <row r="107">
      <c r="A107" s="84"/>
      <c r="B107" s="84"/>
      <c r="C107" s="85"/>
      <c r="D107" s="85"/>
      <c r="E107" s="12"/>
      <c r="F107" s="86"/>
      <c r="G107" s="86"/>
      <c r="H107" s="87"/>
      <c r="I107" s="88"/>
      <c r="J107" s="86"/>
      <c r="K107" s="12"/>
      <c r="L107" s="86"/>
      <c r="M107" s="86"/>
      <c r="N107" s="87"/>
      <c r="O107" s="88"/>
      <c r="P107" s="85"/>
      <c r="Q107" s="84"/>
      <c r="R107" s="84"/>
      <c r="S107" s="84"/>
      <c r="T107" s="84"/>
      <c r="U107" s="85"/>
      <c r="V107" s="85"/>
      <c r="W107" s="85"/>
      <c r="X107" s="85"/>
      <c r="Z107" s="85"/>
      <c r="AA107" s="84"/>
      <c r="AB107" s="85"/>
    </row>
    <row r="108">
      <c r="A108" s="84"/>
      <c r="B108" s="84"/>
      <c r="C108" s="85"/>
      <c r="D108" s="85"/>
      <c r="E108" s="12"/>
      <c r="F108" s="86"/>
      <c r="G108" s="86"/>
      <c r="H108" s="87"/>
      <c r="I108" s="88"/>
      <c r="J108" s="86"/>
      <c r="K108" s="12"/>
      <c r="L108" s="86"/>
      <c r="M108" s="86"/>
      <c r="N108" s="87"/>
      <c r="O108" s="88"/>
      <c r="P108" s="85"/>
      <c r="Q108" s="84"/>
      <c r="R108" s="84"/>
      <c r="S108" s="84"/>
      <c r="T108" s="84"/>
      <c r="U108" s="85"/>
      <c r="V108" s="85"/>
      <c r="W108" s="85"/>
      <c r="X108" s="85"/>
      <c r="Z108" s="85"/>
      <c r="AA108" s="84"/>
      <c r="AB108" s="85"/>
    </row>
    <row r="109">
      <c r="A109" s="84"/>
      <c r="B109" s="84"/>
      <c r="C109" s="85"/>
      <c r="D109" s="85"/>
      <c r="E109" s="12"/>
      <c r="F109" s="86"/>
      <c r="G109" s="86"/>
      <c r="H109" s="87"/>
      <c r="I109" s="88"/>
      <c r="J109" s="86"/>
      <c r="K109" s="12"/>
      <c r="L109" s="86"/>
      <c r="M109" s="86"/>
      <c r="N109" s="87"/>
      <c r="O109" s="88"/>
      <c r="P109" s="85"/>
      <c r="Q109" s="84"/>
      <c r="R109" s="84"/>
      <c r="S109" s="84"/>
      <c r="T109" s="84"/>
      <c r="U109" s="85"/>
      <c r="V109" s="85"/>
      <c r="W109" s="85"/>
      <c r="X109" s="85"/>
      <c r="Z109" s="85"/>
      <c r="AA109" s="84"/>
      <c r="AB109" s="85"/>
    </row>
    <row r="110">
      <c r="A110" s="84"/>
      <c r="B110" s="84"/>
      <c r="C110" s="85"/>
      <c r="D110" s="85"/>
      <c r="E110" s="12"/>
      <c r="F110" s="86"/>
      <c r="G110" s="86"/>
      <c r="H110" s="87"/>
      <c r="I110" s="88"/>
      <c r="J110" s="86"/>
      <c r="K110" s="12"/>
      <c r="L110" s="86"/>
      <c r="M110" s="86"/>
      <c r="N110" s="87"/>
      <c r="O110" s="88"/>
      <c r="P110" s="85"/>
      <c r="Q110" s="84"/>
      <c r="R110" s="84"/>
      <c r="S110" s="84"/>
      <c r="T110" s="84"/>
      <c r="U110" s="85"/>
      <c r="V110" s="85"/>
      <c r="W110" s="85"/>
      <c r="X110" s="85"/>
      <c r="Z110" s="85"/>
      <c r="AA110" s="84"/>
      <c r="AB110" s="85"/>
    </row>
    <row r="111">
      <c r="A111" s="84"/>
      <c r="B111" s="84"/>
      <c r="C111" s="85"/>
      <c r="D111" s="85"/>
      <c r="E111" s="12"/>
      <c r="F111" s="86"/>
      <c r="G111" s="86"/>
      <c r="H111" s="87"/>
      <c r="I111" s="88"/>
      <c r="J111" s="86"/>
      <c r="K111" s="12"/>
      <c r="L111" s="86"/>
      <c r="M111" s="86"/>
      <c r="N111" s="87"/>
      <c r="O111" s="88"/>
      <c r="P111" s="85"/>
      <c r="Q111" s="84"/>
      <c r="R111" s="84"/>
      <c r="S111" s="84"/>
      <c r="T111" s="84"/>
      <c r="U111" s="85"/>
      <c r="V111" s="85"/>
      <c r="W111" s="85"/>
      <c r="X111" s="85"/>
      <c r="Z111" s="85"/>
      <c r="AA111" s="84"/>
      <c r="AB111" s="85"/>
    </row>
    <row r="112">
      <c r="A112" s="84"/>
      <c r="B112" s="84"/>
      <c r="C112" s="85"/>
      <c r="D112" s="85"/>
      <c r="E112" s="12"/>
      <c r="F112" s="86"/>
      <c r="G112" s="86"/>
      <c r="H112" s="87"/>
      <c r="I112" s="88"/>
      <c r="J112" s="86"/>
      <c r="K112" s="12"/>
      <c r="L112" s="86"/>
      <c r="M112" s="86"/>
      <c r="N112" s="87"/>
      <c r="O112" s="88"/>
      <c r="P112" s="85"/>
      <c r="Q112" s="84"/>
      <c r="R112" s="84"/>
      <c r="S112" s="84"/>
      <c r="T112" s="84"/>
      <c r="U112" s="85"/>
      <c r="V112" s="85"/>
      <c r="W112" s="85"/>
      <c r="X112" s="85"/>
      <c r="Z112" s="85"/>
      <c r="AA112" s="84"/>
      <c r="AB112" s="85"/>
    </row>
    <row r="113">
      <c r="A113" s="84"/>
      <c r="B113" s="84"/>
      <c r="C113" s="85"/>
      <c r="D113" s="85"/>
      <c r="E113" s="12"/>
      <c r="F113" s="86"/>
      <c r="G113" s="86"/>
      <c r="H113" s="87"/>
      <c r="I113" s="88"/>
      <c r="J113" s="86"/>
      <c r="K113" s="12"/>
      <c r="L113" s="86"/>
      <c r="M113" s="86"/>
      <c r="N113" s="87"/>
      <c r="O113" s="88"/>
      <c r="P113" s="85"/>
      <c r="Q113" s="84"/>
      <c r="R113" s="84"/>
      <c r="S113" s="84"/>
      <c r="T113" s="84"/>
      <c r="U113" s="85"/>
      <c r="V113" s="85"/>
      <c r="W113" s="85"/>
      <c r="X113" s="85"/>
      <c r="Z113" s="85"/>
      <c r="AA113" s="84"/>
      <c r="AB113" s="85"/>
    </row>
    <row r="114">
      <c r="A114" s="84"/>
      <c r="B114" s="84"/>
      <c r="C114" s="85"/>
      <c r="D114" s="85"/>
      <c r="E114" s="12"/>
      <c r="F114" s="86"/>
      <c r="G114" s="86"/>
      <c r="H114" s="87"/>
      <c r="I114" s="88"/>
      <c r="J114" s="86"/>
      <c r="K114" s="12"/>
      <c r="L114" s="86"/>
      <c r="M114" s="86"/>
      <c r="N114" s="87"/>
      <c r="O114" s="88"/>
      <c r="P114" s="85"/>
      <c r="Q114" s="84"/>
      <c r="R114" s="84"/>
      <c r="S114" s="84"/>
      <c r="T114" s="84"/>
      <c r="U114" s="85"/>
      <c r="V114" s="85"/>
      <c r="W114" s="85"/>
      <c r="X114" s="85"/>
      <c r="Z114" s="85"/>
      <c r="AA114" s="84"/>
      <c r="AB114" s="85"/>
    </row>
    <row r="115">
      <c r="A115" s="84"/>
      <c r="B115" s="84"/>
      <c r="C115" s="85"/>
      <c r="D115" s="85"/>
      <c r="E115" s="12"/>
      <c r="F115" s="86"/>
      <c r="G115" s="86"/>
      <c r="H115" s="87"/>
      <c r="I115" s="88"/>
      <c r="J115" s="86"/>
      <c r="K115" s="12"/>
      <c r="L115" s="86"/>
      <c r="M115" s="86"/>
      <c r="N115" s="87"/>
      <c r="O115" s="88"/>
      <c r="P115" s="85"/>
      <c r="Q115" s="84"/>
      <c r="R115" s="84"/>
      <c r="S115" s="84"/>
      <c r="T115" s="84"/>
      <c r="U115" s="85"/>
      <c r="V115" s="85"/>
      <c r="W115" s="85"/>
      <c r="X115" s="85"/>
      <c r="Z115" s="85"/>
      <c r="AA115" s="84"/>
      <c r="AB115" s="85"/>
    </row>
    <row r="116">
      <c r="A116" s="84"/>
      <c r="B116" s="84"/>
      <c r="C116" s="85"/>
      <c r="D116" s="85"/>
      <c r="E116" s="12"/>
      <c r="F116" s="86"/>
      <c r="G116" s="86"/>
      <c r="H116" s="87"/>
      <c r="I116" s="88"/>
      <c r="J116" s="86"/>
      <c r="K116" s="12"/>
      <c r="L116" s="86"/>
      <c r="M116" s="86"/>
      <c r="N116" s="87"/>
      <c r="O116" s="88"/>
      <c r="P116" s="85"/>
      <c r="Q116" s="84"/>
      <c r="R116" s="84"/>
      <c r="S116" s="84"/>
      <c r="T116" s="84"/>
      <c r="U116" s="85"/>
      <c r="V116" s="85"/>
      <c r="W116" s="85"/>
      <c r="X116" s="85"/>
      <c r="Z116" s="85"/>
      <c r="AA116" s="84"/>
      <c r="AB116" s="85"/>
    </row>
    <row r="117">
      <c r="A117" s="84"/>
      <c r="B117" s="84"/>
      <c r="C117" s="85"/>
      <c r="D117" s="85"/>
      <c r="E117" s="12"/>
      <c r="F117" s="86"/>
      <c r="G117" s="86"/>
      <c r="H117" s="87"/>
      <c r="I117" s="88"/>
      <c r="J117" s="86"/>
      <c r="K117" s="12"/>
      <c r="L117" s="86"/>
      <c r="M117" s="86"/>
      <c r="N117" s="87"/>
      <c r="O117" s="88"/>
      <c r="P117" s="85"/>
      <c r="Q117" s="84"/>
      <c r="R117" s="84"/>
      <c r="S117" s="84"/>
      <c r="T117" s="84"/>
      <c r="U117" s="85"/>
      <c r="V117" s="85"/>
      <c r="W117" s="85"/>
      <c r="X117" s="85"/>
      <c r="Z117" s="85"/>
      <c r="AA117" s="84"/>
      <c r="AB117" s="85"/>
    </row>
    <row r="118">
      <c r="A118" s="84"/>
      <c r="B118" s="84"/>
      <c r="C118" s="85"/>
      <c r="D118" s="85"/>
      <c r="E118" s="12"/>
      <c r="F118" s="86"/>
      <c r="G118" s="86"/>
      <c r="H118" s="87"/>
      <c r="I118" s="88"/>
      <c r="J118" s="86"/>
      <c r="K118" s="12"/>
      <c r="L118" s="86"/>
      <c r="M118" s="86"/>
      <c r="N118" s="87"/>
      <c r="O118" s="88"/>
      <c r="P118" s="85"/>
      <c r="Q118" s="84"/>
      <c r="R118" s="84"/>
      <c r="S118" s="84"/>
      <c r="T118" s="84"/>
      <c r="U118" s="85"/>
      <c r="V118" s="85"/>
      <c r="W118" s="85"/>
      <c r="X118" s="85"/>
      <c r="Z118" s="85"/>
      <c r="AA118" s="84"/>
      <c r="AB118" s="85"/>
    </row>
    <row r="119">
      <c r="A119" s="84"/>
      <c r="B119" s="84"/>
      <c r="C119" s="85"/>
      <c r="D119" s="85"/>
      <c r="E119" s="12"/>
      <c r="F119" s="86"/>
      <c r="G119" s="86"/>
      <c r="H119" s="87"/>
      <c r="I119" s="88"/>
      <c r="J119" s="86"/>
      <c r="K119" s="12"/>
      <c r="L119" s="86"/>
      <c r="M119" s="86"/>
      <c r="N119" s="87"/>
      <c r="O119" s="88"/>
      <c r="P119" s="85"/>
      <c r="Q119" s="84"/>
      <c r="R119" s="84"/>
      <c r="S119" s="84"/>
      <c r="T119" s="84"/>
      <c r="U119" s="85"/>
      <c r="V119" s="85"/>
      <c r="W119" s="85"/>
      <c r="X119" s="85"/>
      <c r="Z119" s="85"/>
      <c r="AA119" s="84"/>
      <c r="AB119" s="85"/>
    </row>
    <row r="120">
      <c r="A120" s="84"/>
      <c r="B120" s="84"/>
      <c r="C120" s="85"/>
      <c r="D120" s="85"/>
      <c r="E120" s="12"/>
      <c r="F120" s="86"/>
      <c r="G120" s="86"/>
      <c r="H120" s="87"/>
      <c r="I120" s="88"/>
      <c r="J120" s="86"/>
      <c r="K120" s="12"/>
      <c r="L120" s="86"/>
      <c r="M120" s="86"/>
      <c r="N120" s="87"/>
      <c r="O120" s="88"/>
      <c r="P120" s="85"/>
      <c r="Q120" s="84"/>
      <c r="R120" s="84"/>
      <c r="S120" s="84"/>
      <c r="T120" s="84"/>
      <c r="U120" s="85"/>
      <c r="V120" s="85"/>
      <c r="W120" s="85"/>
      <c r="X120" s="85"/>
      <c r="Z120" s="85"/>
      <c r="AA120" s="84"/>
      <c r="AB120" s="85"/>
    </row>
    <row r="121">
      <c r="A121" s="84"/>
      <c r="B121" s="84"/>
      <c r="C121" s="85"/>
      <c r="D121" s="85"/>
      <c r="E121" s="12"/>
      <c r="F121" s="86"/>
      <c r="G121" s="86"/>
      <c r="H121" s="87"/>
      <c r="I121" s="88"/>
      <c r="J121" s="86"/>
      <c r="K121" s="12"/>
      <c r="L121" s="86"/>
      <c r="M121" s="86"/>
      <c r="N121" s="87"/>
      <c r="O121" s="88"/>
      <c r="P121" s="85"/>
      <c r="Q121" s="84"/>
      <c r="R121" s="84"/>
      <c r="S121" s="84"/>
      <c r="T121" s="84"/>
      <c r="U121" s="85"/>
      <c r="V121" s="85"/>
      <c r="W121" s="85"/>
      <c r="X121" s="85"/>
      <c r="Z121" s="85"/>
      <c r="AA121" s="84"/>
      <c r="AB121" s="85"/>
    </row>
    <row r="122">
      <c r="A122" s="84"/>
      <c r="B122" s="84"/>
      <c r="C122" s="85"/>
      <c r="D122" s="85"/>
      <c r="E122" s="12"/>
      <c r="F122" s="86"/>
      <c r="G122" s="86"/>
      <c r="H122" s="87"/>
      <c r="I122" s="88"/>
      <c r="J122" s="86"/>
      <c r="K122" s="12"/>
      <c r="L122" s="86"/>
      <c r="M122" s="86"/>
      <c r="N122" s="87"/>
      <c r="O122" s="88"/>
      <c r="P122" s="85"/>
      <c r="Q122" s="84"/>
      <c r="R122" s="84"/>
      <c r="S122" s="84"/>
      <c r="T122" s="84"/>
      <c r="U122" s="85"/>
      <c r="V122" s="85"/>
      <c r="W122" s="85"/>
      <c r="X122" s="85"/>
      <c r="Z122" s="85"/>
      <c r="AA122" s="84"/>
      <c r="AB122" s="85"/>
    </row>
    <row r="123">
      <c r="A123" s="84"/>
      <c r="B123" s="84"/>
      <c r="C123" s="85"/>
      <c r="D123" s="85"/>
      <c r="E123" s="12"/>
      <c r="F123" s="86"/>
      <c r="G123" s="86"/>
      <c r="H123" s="87"/>
      <c r="I123" s="88"/>
      <c r="J123" s="86"/>
      <c r="K123" s="12"/>
      <c r="L123" s="86"/>
      <c r="M123" s="86"/>
      <c r="N123" s="87"/>
      <c r="O123" s="88"/>
      <c r="P123" s="85"/>
      <c r="Q123" s="84"/>
      <c r="R123" s="84"/>
      <c r="S123" s="84"/>
      <c r="T123" s="84"/>
      <c r="U123" s="85"/>
      <c r="V123" s="85"/>
      <c r="W123" s="85"/>
      <c r="X123" s="85"/>
      <c r="Z123" s="85"/>
      <c r="AA123" s="84"/>
      <c r="AB123" s="85"/>
    </row>
    <row r="124">
      <c r="A124" s="84"/>
      <c r="B124" s="84"/>
      <c r="C124" s="85"/>
      <c r="D124" s="85"/>
      <c r="E124" s="12"/>
      <c r="F124" s="86"/>
      <c r="G124" s="86"/>
      <c r="H124" s="87"/>
      <c r="I124" s="88"/>
      <c r="J124" s="86"/>
      <c r="K124" s="12"/>
      <c r="L124" s="86"/>
      <c r="M124" s="86"/>
      <c r="N124" s="87"/>
      <c r="O124" s="88"/>
      <c r="P124" s="85"/>
      <c r="Q124" s="84"/>
      <c r="R124" s="84"/>
      <c r="S124" s="84"/>
      <c r="T124" s="84"/>
      <c r="U124" s="85"/>
      <c r="V124" s="85"/>
      <c r="W124" s="85"/>
      <c r="X124" s="85"/>
      <c r="Z124" s="85"/>
      <c r="AA124" s="84"/>
      <c r="AB124" s="85"/>
    </row>
    <row r="125">
      <c r="A125" s="84"/>
      <c r="B125" s="84"/>
      <c r="C125" s="85"/>
      <c r="D125" s="85"/>
      <c r="E125" s="12"/>
      <c r="F125" s="86"/>
      <c r="G125" s="86"/>
      <c r="H125" s="87"/>
      <c r="I125" s="88"/>
      <c r="J125" s="86"/>
      <c r="K125" s="12"/>
      <c r="L125" s="86"/>
      <c r="M125" s="86"/>
      <c r="N125" s="87"/>
      <c r="O125" s="88"/>
      <c r="P125" s="85"/>
      <c r="Q125" s="84"/>
      <c r="R125" s="84"/>
      <c r="S125" s="84"/>
      <c r="T125" s="84"/>
      <c r="U125" s="85"/>
      <c r="V125" s="85"/>
      <c r="W125" s="85"/>
      <c r="X125" s="85"/>
      <c r="Z125" s="85"/>
      <c r="AA125" s="84"/>
      <c r="AB125" s="85"/>
    </row>
    <row r="126">
      <c r="A126" s="84"/>
      <c r="B126" s="84"/>
      <c r="C126" s="85"/>
      <c r="D126" s="85"/>
      <c r="E126" s="12"/>
      <c r="F126" s="86"/>
      <c r="G126" s="86"/>
      <c r="H126" s="87"/>
      <c r="I126" s="88"/>
      <c r="J126" s="86"/>
      <c r="K126" s="12"/>
      <c r="L126" s="86"/>
      <c r="M126" s="86"/>
      <c r="N126" s="87"/>
      <c r="O126" s="88"/>
      <c r="P126" s="85"/>
      <c r="Q126" s="84"/>
      <c r="R126" s="84"/>
      <c r="S126" s="84"/>
      <c r="T126" s="84"/>
      <c r="U126" s="85"/>
      <c r="V126" s="85"/>
      <c r="W126" s="85"/>
      <c r="X126" s="85"/>
      <c r="Z126" s="85"/>
      <c r="AA126" s="84"/>
      <c r="AB126" s="85"/>
    </row>
    <row r="127">
      <c r="A127" s="84"/>
      <c r="B127" s="84"/>
      <c r="C127" s="85"/>
      <c r="D127" s="85"/>
      <c r="E127" s="12"/>
      <c r="F127" s="86"/>
      <c r="G127" s="86"/>
      <c r="H127" s="87"/>
      <c r="I127" s="88"/>
      <c r="J127" s="86"/>
      <c r="K127" s="12"/>
      <c r="L127" s="86"/>
      <c r="M127" s="86"/>
      <c r="N127" s="87"/>
      <c r="O127" s="88"/>
      <c r="P127" s="85"/>
      <c r="Q127" s="84"/>
      <c r="R127" s="84"/>
      <c r="S127" s="84"/>
      <c r="T127" s="84"/>
      <c r="U127" s="85"/>
      <c r="V127" s="85"/>
      <c r="W127" s="85"/>
      <c r="X127" s="85"/>
      <c r="Z127" s="85"/>
      <c r="AA127" s="84"/>
      <c r="AB127" s="85"/>
    </row>
    <row r="128">
      <c r="A128" s="84"/>
      <c r="B128" s="84"/>
      <c r="C128" s="85"/>
      <c r="D128" s="85"/>
      <c r="E128" s="12"/>
      <c r="F128" s="86"/>
      <c r="G128" s="86"/>
      <c r="H128" s="87"/>
      <c r="I128" s="88"/>
      <c r="J128" s="86"/>
      <c r="K128" s="12"/>
      <c r="L128" s="86"/>
      <c r="M128" s="86"/>
      <c r="N128" s="87"/>
      <c r="O128" s="88"/>
      <c r="P128" s="85"/>
      <c r="Q128" s="84"/>
      <c r="R128" s="84"/>
      <c r="S128" s="84"/>
      <c r="T128" s="84"/>
      <c r="U128" s="85"/>
      <c r="V128" s="85"/>
      <c r="W128" s="85"/>
      <c r="X128" s="85"/>
      <c r="Z128" s="85"/>
      <c r="AA128" s="84"/>
      <c r="AB128" s="85"/>
    </row>
    <row r="129">
      <c r="A129" s="84"/>
      <c r="B129" s="84"/>
      <c r="C129" s="85"/>
      <c r="D129" s="85"/>
      <c r="E129" s="12"/>
      <c r="F129" s="86"/>
      <c r="G129" s="86"/>
      <c r="H129" s="87"/>
      <c r="I129" s="88"/>
      <c r="J129" s="86"/>
      <c r="K129" s="12"/>
      <c r="L129" s="86"/>
      <c r="M129" s="86"/>
      <c r="N129" s="87"/>
      <c r="O129" s="88"/>
      <c r="P129" s="85"/>
      <c r="Q129" s="84"/>
      <c r="R129" s="84"/>
      <c r="S129" s="84"/>
      <c r="T129" s="84"/>
      <c r="U129" s="85"/>
      <c r="V129" s="85"/>
      <c r="W129" s="85"/>
      <c r="X129" s="85"/>
      <c r="Z129" s="85"/>
      <c r="AA129" s="84"/>
      <c r="AB129" s="85"/>
    </row>
    <row r="130">
      <c r="A130" s="84"/>
      <c r="B130" s="84"/>
      <c r="C130" s="85"/>
      <c r="D130" s="85"/>
      <c r="E130" s="12"/>
      <c r="F130" s="86"/>
      <c r="G130" s="86"/>
      <c r="H130" s="87"/>
      <c r="I130" s="88"/>
      <c r="J130" s="86"/>
      <c r="K130" s="12"/>
      <c r="L130" s="86"/>
      <c r="M130" s="86"/>
      <c r="N130" s="87"/>
      <c r="O130" s="88"/>
      <c r="P130" s="85"/>
      <c r="Q130" s="84"/>
      <c r="R130" s="84"/>
      <c r="S130" s="84"/>
      <c r="T130" s="84"/>
      <c r="U130" s="85"/>
      <c r="V130" s="85"/>
      <c r="W130" s="85"/>
      <c r="X130" s="85"/>
      <c r="Z130" s="85"/>
      <c r="AA130" s="84"/>
      <c r="AB130" s="85"/>
    </row>
    <row r="131">
      <c r="A131" s="84"/>
      <c r="B131" s="84"/>
      <c r="C131" s="85"/>
      <c r="D131" s="85"/>
      <c r="E131" s="12"/>
      <c r="F131" s="86"/>
      <c r="G131" s="86"/>
      <c r="H131" s="87"/>
      <c r="I131" s="88"/>
      <c r="J131" s="86"/>
      <c r="K131" s="12"/>
      <c r="L131" s="86"/>
      <c r="M131" s="86"/>
      <c r="N131" s="87"/>
      <c r="O131" s="88"/>
      <c r="P131" s="85"/>
      <c r="Q131" s="84"/>
      <c r="R131" s="84"/>
      <c r="S131" s="84"/>
      <c r="T131" s="84"/>
      <c r="U131" s="85"/>
      <c r="V131" s="85"/>
      <c r="W131" s="85"/>
      <c r="X131" s="85"/>
      <c r="Z131" s="85"/>
      <c r="AA131" s="84"/>
      <c r="AB131" s="85"/>
    </row>
    <row r="132">
      <c r="A132" s="84"/>
      <c r="B132" s="84"/>
      <c r="C132" s="85"/>
      <c r="D132" s="85"/>
      <c r="E132" s="12"/>
      <c r="F132" s="86"/>
      <c r="G132" s="86"/>
      <c r="H132" s="87"/>
      <c r="I132" s="88"/>
      <c r="J132" s="86"/>
      <c r="K132" s="12"/>
      <c r="L132" s="86"/>
      <c r="M132" s="86"/>
      <c r="N132" s="87"/>
      <c r="O132" s="88"/>
      <c r="P132" s="85"/>
      <c r="Q132" s="84"/>
      <c r="R132" s="84"/>
      <c r="S132" s="84"/>
      <c r="T132" s="84"/>
      <c r="U132" s="85"/>
      <c r="V132" s="85"/>
      <c r="W132" s="85"/>
      <c r="X132" s="85"/>
      <c r="Z132" s="85"/>
      <c r="AA132" s="84"/>
      <c r="AB132" s="85"/>
    </row>
    <row r="133">
      <c r="A133" s="84"/>
      <c r="B133" s="84"/>
      <c r="C133" s="85"/>
      <c r="D133" s="85"/>
      <c r="E133" s="12"/>
      <c r="F133" s="86"/>
      <c r="G133" s="86"/>
      <c r="H133" s="87"/>
      <c r="I133" s="88"/>
      <c r="J133" s="86"/>
      <c r="K133" s="12"/>
      <c r="L133" s="86"/>
      <c r="M133" s="86"/>
      <c r="N133" s="87"/>
      <c r="O133" s="88"/>
      <c r="P133" s="85"/>
      <c r="Q133" s="84"/>
      <c r="R133" s="84"/>
      <c r="S133" s="84"/>
      <c r="T133" s="84"/>
      <c r="U133" s="85"/>
      <c r="V133" s="85"/>
      <c r="W133" s="85"/>
      <c r="X133" s="85"/>
      <c r="Z133" s="85"/>
      <c r="AA133" s="84"/>
      <c r="AB133" s="85"/>
    </row>
    <row r="134">
      <c r="A134" s="84"/>
      <c r="B134" s="84"/>
      <c r="C134" s="85"/>
      <c r="D134" s="85"/>
      <c r="E134" s="12"/>
      <c r="F134" s="86"/>
      <c r="G134" s="86"/>
      <c r="H134" s="87"/>
      <c r="I134" s="88"/>
      <c r="J134" s="86"/>
      <c r="K134" s="12"/>
      <c r="L134" s="86"/>
      <c r="M134" s="86"/>
      <c r="N134" s="87"/>
      <c r="O134" s="88"/>
      <c r="P134" s="85"/>
      <c r="Q134" s="84"/>
      <c r="R134" s="84"/>
      <c r="S134" s="84"/>
      <c r="T134" s="84"/>
      <c r="U134" s="85"/>
      <c r="V134" s="85"/>
      <c r="W134" s="85"/>
      <c r="X134" s="85"/>
      <c r="Z134" s="85"/>
      <c r="AA134" s="84"/>
      <c r="AB134" s="85"/>
    </row>
    <row r="135">
      <c r="A135" s="84"/>
      <c r="B135" s="84"/>
      <c r="C135" s="85"/>
      <c r="D135" s="85"/>
      <c r="E135" s="12"/>
      <c r="F135" s="86"/>
      <c r="G135" s="86"/>
      <c r="H135" s="87"/>
      <c r="I135" s="88"/>
      <c r="J135" s="86"/>
      <c r="K135" s="12"/>
      <c r="L135" s="86"/>
      <c r="M135" s="86"/>
      <c r="N135" s="87"/>
      <c r="O135" s="88"/>
      <c r="P135" s="85"/>
      <c r="Q135" s="84"/>
      <c r="R135" s="84"/>
      <c r="S135" s="84"/>
      <c r="T135" s="84"/>
      <c r="U135" s="85"/>
      <c r="V135" s="85"/>
      <c r="W135" s="85"/>
      <c r="X135" s="85"/>
      <c r="Z135" s="85"/>
      <c r="AA135" s="84"/>
      <c r="AB135" s="85"/>
    </row>
    <row r="136">
      <c r="A136" s="84"/>
      <c r="B136" s="84"/>
      <c r="C136" s="85"/>
      <c r="D136" s="85"/>
      <c r="E136" s="12"/>
      <c r="F136" s="86"/>
      <c r="G136" s="86"/>
      <c r="H136" s="87"/>
      <c r="I136" s="88"/>
      <c r="J136" s="86"/>
      <c r="K136" s="12"/>
      <c r="L136" s="86"/>
      <c r="M136" s="86"/>
      <c r="N136" s="87"/>
      <c r="O136" s="88"/>
      <c r="P136" s="85"/>
      <c r="Q136" s="84"/>
      <c r="R136" s="84"/>
      <c r="S136" s="84"/>
      <c r="T136" s="84"/>
      <c r="U136" s="85"/>
      <c r="V136" s="85"/>
      <c r="W136" s="85"/>
      <c r="X136" s="85"/>
      <c r="Z136" s="85"/>
      <c r="AA136" s="84"/>
      <c r="AB136" s="85"/>
    </row>
    <row r="137">
      <c r="A137" s="84"/>
      <c r="B137" s="84"/>
      <c r="C137" s="85"/>
      <c r="D137" s="85"/>
      <c r="E137" s="12"/>
      <c r="F137" s="86"/>
      <c r="G137" s="86"/>
      <c r="H137" s="87"/>
      <c r="I137" s="88"/>
      <c r="J137" s="86"/>
      <c r="K137" s="12"/>
      <c r="L137" s="86"/>
      <c r="M137" s="86"/>
      <c r="N137" s="87"/>
      <c r="O137" s="88"/>
      <c r="P137" s="85"/>
      <c r="Q137" s="84"/>
      <c r="R137" s="84"/>
      <c r="S137" s="84"/>
      <c r="T137" s="84"/>
      <c r="U137" s="85"/>
      <c r="V137" s="85"/>
      <c r="W137" s="85"/>
      <c r="X137" s="85"/>
      <c r="Z137" s="85"/>
      <c r="AA137" s="84"/>
      <c r="AB137" s="85"/>
    </row>
    <row r="138">
      <c r="A138" s="84"/>
      <c r="B138" s="84"/>
      <c r="C138" s="85"/>
      <c r="D138" s="85"/>
      <c r="E138" s="12"/>
      <c r="F138" s="86"/>
      <c r="G138" s="86"/>
      <c r="H138" s="87"/>
      <c r="I138" s="88"/>
      <c r="J138" s="86"/>
      <c r="K138" s="12"/>
      <c r="L138" s="86"/>
      <c r="M138" s="86"/>
      <c r="N138" s="87"/>
      <c r="O138" s="88"/>
      <c r="P138" s="85"/>
      <c r="Q138" s="84"/>
      <c r="R138" s="84"/>
      <c r="S138" s="84"/>
      <c r="T138" s="84"/>
      <c r="U138" s="85"/>
      <c r="V138" s="85"/>
      <c r="W138" s="85"/>
      <c r="X138" s="85"/>
      <c r="Z138" s="85"/>
      <c r="AA138" s="84"/>
      <c r="AB138" s="85"/>
    </row>
    <row r="139">
      <c r="A139" s="84"/>
      <c r="B139" s="84"/>
      <c r="C139" s="85"/>
      <c r="D139" s="85"/>
      <c r="E139" s="12"/>
      <c r="F139" s="86"/>
      <c r="G139" s="86"/>
      <c r="H139" s="87"/>
      <c r="I139" s="88"/>
      <c r="J139" s="86"/>
      <c r="K139" s="12"/>
      <c r="L139" s="86"/>
      <c r="M139" s="86"/>
      <c r="N139" s="87"/>
      <c r="O139" s="88"/>
      <c r="P139" s="85"/>
      <c r="Q139" s="84"/>
      <c r="R139" s="84"/>
      <c r="S139" s="84"/>
      <c r="T139" s="84"/>
      <c r="U139" s="85"/>
      <c r="V139" s="85"/>
      <c r="W139" s="85"/>
      <c r="X139" s="85"/>
      <c r="Z139" s="85"/>
      <c r="AA139" s="84"/>
      <c r="AB139" s="85"/>
    </row>
    <row r="140">
      <c r="A140" s="84"/>
      <c r="B140" s="84"/>
      <c r="C140" s="85"/>
      <c r="D140" s="85"/>
      <c r="E140" s="12"/>
      <c r="F140" s="86"/>
      <c r="G140" s="86"/>
      <c r="H140" s="87"/>
      <c r="I140" s="88"/>
      <c r="J140" s="86"/>
      <c r="K140" s="12"/>
      <c r="L140" s="86"/>
      <c r="M140" s="86"/>
      <c r="N140" s="87"/>
      <c r="O140" s="88"/>
      <c r="P140" s="85"/>
      <c r="Q140" s="84"/>
      <c r="R140" s="84"/>
      <c r="S140" s="84"/>
      <c r="T140" s="84"/>
      <c r="U140" s="85"/>
      <c r="V140" s="85"/>
      <c r="W140" s="85"/>
      <c r="X140" s="85"/>
      <c r="Z140" s="85"/>
      <c r="AA140" s="84"/>
      <c r="AB140" s="85"/>
    </row>
    <row r="141">
      <c r="A141" s="84"/>
      <c r="B141" s="84"/>
      <c r="C141" s="85"/>
      <c r="D141" s="85"/>
      <c r="E141" s="12"/>
      <c r="F141" s="86"/>
      <c r="G141" s="86"/>
      <c r="H141" s="87"/>
      <c r="I141" s="88"/>
      <c r="J141" s="86"/>
      <c r="K141" s="12"/>
      <c r="L141" s="86"/>
      <c r="M141" s="86"/>
      <c r="N141" s="87"/>
      <c r="O141" s="88"/>
      <c r="P141" s="85"/>
      <c r="Q141" s="84"/>
      <c r="R141" s="84"/>
      <c r="S141" s="84"/>
      <c r="T141" s="84"/>
      <c r="U141" s="85"/>
      <c r="V141" s="85"/>
      <c r="W141" s="85"/>
      <c r="X141" s="85"/>
      <c r="Z141" s="85"/>
      <c r="AA141" s="84"/>
      <c r="AB141" s="85"/>
    </row>
    <row r="142">
      <c r="A142" s="84"/>
      <c r="B142" s="84"/>
      <c r="C142" s="85"/>
      <c r="D142" s="85"/>
      <c r="E142" s="12"/>
      <c r="F142" s="86"/>
      <c r="G142" s="86"/>
      <c r="H142" s="87"/>
      <c r="I142" s="88"/>
      <c r="J142" s="86"/>
      <c r="K142" s="12"/>
      <c r="L142" s="86"/>
      <c r="M142" s="86"/>
      <c r="N142" s="87"/>
      <c r="O142" s="88"/>
      <c r="P142" s="85"/>
      <c r="Q142" s="84"/>
      <c r="R142" s="84"/>
      <c r="S142" s="84"/>
      <c r="T142" s="84"/>
      <c r="U142" s="85"/>
      <c r="V142" s="85"/>
      <c r="W142" s="85"/>
      <c r="X142" s="85"/>
      <c r="Z142" s="85"/>
      <c r="AA142" s="84"/>
      <c r="AB142" s="85"/>
    </row>
    <row r="143">
      <c r="A143" s="84"/>
      <c r="B143" s="84"/>
      <c r="C143" s="85"/>
      <c r="D143" s="85"/>
      <c r="E143" s="12"/>
      <c r="F143" s="86"/>
      <c r="G143" s="86"/>
      <c r="H143" s="87"/>
      <c r="I143" s="88"/>
      <c r="J143" s="86"/>
      <c r="K143" s="12"/>
      <c r="L143" s="86"/>
      <c r="M143" s="86"/>
      <c r="N143" s="87"/>
      <c r="O143" s="88"/>
      <c r="P143" s="85"/>
      <c r="Q143" s="84"/>
      <c r="R143" s="84"/>
      <c r="S143" s="84"/>
      <c r="T143" s="84"/>
      <c r="U143" s="85"/>
      <c r="V143" s="85"/>
      <c r="W143" s="85"/>
      <c r="X143" s="85"/>
      <c r="Z143" s="85"/>
      <c r="AA143" s="84"/>
      <c r="AB143" s="85"/>
    </row>
    <row r="144">
      <c r="A144" s="84"/>
      <c r="B144" s="84"/>
      <c r="C144" s="85"/>
      <c r="D144" s="85"/>
      <c r="E144" s="12"/>
      <c r="F144" s="86"/>
      <c r="G144" s="86"/>
      <c r="H144" s="87"/>
      <c r="I144" s="88"/>
      <c r="J144" s="86"/>
      <c r="K144" s="12"/>
      <c r="L144" s="86"/>
      <c r="M144" s="86"/>
      <c r="N144" s="87"/>
      <c r="O144" s="88"/>
      <c r="P144" s="85"/>
      <c r="Q144" s="84"/>
      <c r="R144" s="84"/>
      <c r="S144" s="84"/>
      <c r="T144" s="84"/>
      <c r="U144" s="85"/>
      <c r="V144" s="85"/>
      <c r="W144" s="85"/>
      <c r="X144" s="85"/>
      <c r="Z144" s="85"/>
      <c r="AA144" s="84"/>
      <c r="AB144" s="85"/>
    </row>
    <row r="145">
      <c r="A145" s="84"/>
      <c r="B145" s="84"/>
      <c r="C145" s="85"/>
      <c r="D145" s="85"/>
      <c r="E145" s="12"/>
      <c r="F145" s="86"/>
      <c r="G145" s="86"/>
      <c r="H145" s="87"/>
      <c r="I145" s="88"/>
      <c r="J145" s="86"/>
      <c r="K145" s="12"/>
      <c r="L145" s="86"/>
      <c r="M145" s="86"/>
      <c r="N145" s="87"/>
      <c r="O145" s="88"/>
      <c r="P145" s="85"/>
      <c r="Q145" s="84"/>
      <c r="R145" s="84"/>
      <c r="S145" s="84"/>
      <c r="T145" s="84"/>
      <c r="U145" s="85"/>
      <c r="V145" s="85"/>
      <c r="W145" s="85"/>
      <c r="X145" s="85"/>
      <c r="Z145" s="85"/>
      <c r="AA145" s="84"/>
      <c r="AB145" s="85"/>
    </row>
    <row r="146">
      <c r="A146" s="84"/>
      <c r="B146" s="84"/>
      <c r="C146" s="85"/>
      <c r="D146" s="85"/>
      <c r="E146" s="12"/>
      <c r="F146" s="86"/>
      <c r="G146" s="86"/>
      <c r="H146" s="87"/>
      <c r="I146" s="88"/>
      <c r="J146" s="86"/>
      <c r="K146" s="12"/>
      <c r="L146" s="86"/>
      <c r="M146" s="86"/>
      <c r="N146" s="87"/>
      <c r="O146" s="88"/>
      <c r="P146" s="85"/>
      <c r="Q146" s="84"/>
      <c r="R146" s="84"/>
      <c r="S146" s="84"/>
      <c r="T146" s="84"/>
      <c r="U146" s="85"/>
      <c r="V146" s="85"/>
      <c r="W146" s="85"/>
      <c r="X146" s="85"/>
      <c r="Z146" s="85"/>
      <c r="AA146" s="84"/>
      <c r="AB146" s="85"/>
    </row>
    <row r="147">
      <c r="A147" s="84"/>
      <c r="B147" s="84"/>
      <c r="C147" s="85"/>
      <c r="D147" s="85"/>
      <c r="E147" s="12"/>
      <c r="F147" s="86"/>
      <c r="G147" s="86"/>
      <c r="H147" s="87"/>
      <c r="I147" s="88"/>
      <c r="J147" s="86"/>
      <c r="K147" s="12"/>
      <c r="L147" s="86"/>
      <c r="M147" s="86"/>
      <c r="N147" s="87"/>
      <c r="O147" s="88"/>
      <c r="P147" s="85"/>
      <c r="Q147" s="84"/>
      <c r="R147" s="84"/>
      <c r="S147" s="84"/>
      <c r="T147" s="84"/>
      <c r="U147" s="85"/>
      <c r="V147" s="85"/>
      <c r="W147" s="85"/>
      <c r="X147" s="85"/>
      <c r="Z147" s="85"/>
      <c r="AA147" s="84"/>
      <c r="AB147" s="85"/>
    </row>
    <row r="148">
      <c r="A148" s="84"/>
      <c r="B148" s="84"/>
      <c r="C148" s="85"/>
      <c r="D148" s="85"/>
      <c r="E148" s="12"/>
      <c r="F148" s="86"/>
      <c r="G148" s="86"/>
      <c r="H148" s="87"/>
      <c r="I148" s="88"/>
      <c r="J148" s="86"/>
      <c r="K148" s="12"/>
      <c r="L148" s="86"/>
      <c r="M148" s="86"/>
      <c r="N148" s="87"/>
      <c r="O148" s="88"/>
      <c r="P148" s="85"/>
      <c r="Q148" s="84"/>
      <c r="R148" s="84"/>
      <c r="S148" s="84"/>
      <c r="T148" s="84"/>
      <c r="U148" s="85"/>
      <c r="V148" s="85"/>
      <c r="W148" s="85"/>
      <c r="X148" s="85"/>
      <c r="Z148" s="85"/>
      <c r="AA148" s="84"/>
      <c r="AB148" s="85"/>
    </row>
    <row r="149">
      <c r="A149" s="84"/>
      <c r="B149" s="84"/>
      <c r="C149" s="85"/>
      <c r="D149" s="85"/>
      <c r="E149" s="12"/>
      <c r="F149" s="86"/>
      <c r="G149" s="86"/>
      <c r="H149" s="87"/>
      <c r="I149" s="88"/>
      <c r="J149" s="86"/>
      <c r="K149" s="12"/>
      <c r="L149" s="86"/>
      <c r="M149" s="86"/>
      <c r="N149" s="87"/>
      <c r="O149" s="88"/>
      <c r="P149" s="85"/>
      <c r="Q149" s="84"/>
      <c r="R149" s="84"/>
      <c r="S149" s="84"/>
      <c r="T149" s="84"/>
      <c r="U149" s="85"/>
      <c r="V149" s="85"/>
      <c r="W149" s="85"/>
      <c r="X149" s="85"/>
      <c r="Z149" s="85"/>
      <c r="AA149" s="84"/>
      <c r="AB149" s="85"/>
    </row>
    <row r="150">
      <c r="A150" s="84"/>
      <c r="B150" s="84"/>
      <c r="C150" s="85"/>
      <c r="D150" s="85"/>
      <c r="E150" s="12"/>
      <c r="F150" s="86"/>
      <c r="G150" s="86"/>
      <c r="H150" s="87"/>
      <c r="I150" s="88"/>
      <c r="J150" s="86"/>
      <c r="K150" s="12"/>
      <c r="L150" s="86"/>
      <c r="M150" s="86"/>
      <c r="N150" s="87"/>
      <c r="O150" s="88"/>
      <c r="P150" s="85"/>
      <c r="Q150" s="84"/>
      <c r="R150" s="84"/>
      <c r="S150" s="84"/>
      <c r="T150" s="84"/>
      <c r="U150" s="85"/>
      <c r="V150" s="85"/>
      <c r="W150" s="85"/>
      <c r="X150" s="85"/>
      <c r="Z150" s="85"/>
      <c r="AA150" s="84"/>
      <c r="AB150" s="85"/>
    </row>
    <row r="151">
      <c r="A151" s="84"/>
      <c r="B151" s="84"/>
      <c r="C151" s="85"/>
      <c r="D151" s="85"/>
      <c r="E151" s="12"/>
      <c r="F151" s="86"/>
      <c r="G151" s="86"/>
      <c r="H151" s="87"/>
      <c r="I151" s="88"/>
      <c r="J151" s="86"/>
      <c r="K151" s="12"/>
      <c r="L151" s="86"/>
      <c r="M151" s="86"/>
      <c r="N151" s="87"/>
      <c r="O151" s="88"/>
      <c r="P151" s="85"/>
      <c r="Q151" s="84"/>
      <c r="R151" s="84"/>
      <c r="S151" s="84"/>
      <c r="T151" s="84"/>
      <c r="U151" s="85"/>
      <c r="V151" s="85"/>
      <c r="W151" s="85"/>
      <c r="X151" s="85"/>
      <c r="Z151" s="85"/>
      <c r="AA151" s="84"/>
      <c r="AB151" s="85"/>
    </row>
    <row r="152">
      <c r="A152" s="84"/>
      <c r="B152" s="84"/>
      <c r="C152" s="85"/>
      <c r="D152" s="85"/>
      <c r="E152" s="12"/>
      <c r="F152" s="86"/>
      <c r="G152" s="86"/>
      <c r="H152" s="87"/>
      <c r="I152" s="88"/>
      <c r="J152" s="86"/>
      <c r="K152" s="12"/>
      <c r="L152" s="86"/>
      <c r="M152" s="86"/>
      <c r="N152" s="87"/>
      <c r="O152" s="88"/>
      <c r="P152" s="85"/>
      <c r="Q152" s="84"/>
      <c r="R152" s="84"/>
      <c r="S152" s="84"/>
      <c r="T152" s="84"/>
      <c r="U152" s="85"/>
      <c r="V152" s="85"/>
      <c r="W152" s="85"/>
      <c r="X152" s="85"/>
      <c r="Z152" s="85"/>
      <c r="AA152" s="84"/>
      <c r="AB152" s="85"/>
    </row>
    <row r="153">
      <c r="A153" s="84"/>
      <c r="B153" s="84"/>
      <c r="C153" s="85"/>
      <c r="D153" s="85"/>
      <c r="E153" s="12"/>
      <c r="F153" s="86"/>
      <c r="G153" s="86"/>
      <c r="H153" s="87"/>
      <c r="I153" s="88"/>
      <c r="J153" s="86"/>
      <c r="K153" s="12"/>
      <c r="L153" s="86"/>
      <c r="M153" s="86"/>
      <c r="N153" s="87"/>
      <c r="O153" s="88"/>
      <c r="P153" s="85"/>
      <c r="Q153" s="84"/>
      <c r="R153" s="84"/>
      <c r="S153" s="84"/>
      <c r="T153" s="84"/>
      <c r="U153" s="85"/>
      <c r="V153" s="85"/>
      <c r="W153" s="85"/>
      <c r="X153" s="85"/>
      <c r="Z153" s="85"/>
      <c r="AA153" s="84"/>
      <c r="AB153" s="85"/>
    </row>
    <row r="154">
      <c r="A154" s="84"/>
      <c r="B154" s="84"/>
      <c r="C154" s="85"/>
      <c r="D154" s="85"/>
      <c r="E154" s="12"/>
      <c r="F154" s="86"/>
      <c r="G154" s="86"/>
      <c r="H154" s="87"/>
      <c r="I154" s="88"/>
      <c r="J154" s="86"/>
      <c r="K154" s="12"/>
      <c r="L154" s="86"/>
      <c r="M154" s="86"/>
      <c r="N154" s="87"/>
      <c r="O154" s="88"/>
      <c r="P154" s="85"/>
      <c r="Q154" s="84"/>
      <c r="R154" s="84"/>
      <c r="S154" s="84"/>
      <c r="T154" s="84"/>
      <c r="U154" s="85"/>
      <c r="V154" s="85"/>
      <c r="W154" s="85"/>
      <c r="X154" s="85"/>
      <c r="Z154" s="85"/>
      <c r="AA154" s="84"/>
      <c r="AB154" s="85"/>
    </row>
    <row r="155">
      <c r="A155" s="84"/>
      <c r="B155" s="84"/>
      <c r="C155" s="85"/>
      <c r="D155" s="85"/>
      <c r="E155" s="12"/>
      <c r="F155" s="86"/>
      <c r="G155" s="86"/>
      <c r="H155" s="87"/>
      <c r="I155" s="88"/>
      <c r="J155" s="86"/>
      <c r="K155" s="12"/>
      <c r="L155" s="86"/>
      <c r="M155" s="86"/>
      <c r="N155" s="87"/>
      <c r="O155" s="88"/>
      <c r="P155" s="85"/>
      <c r="Q155" s="84"/>
      <c r="R155" s="84"/>
      <c r="S155" s="84"/>
      <c r="T155" s="84"/>
      <c r="U155" s="85"/>
      <c r="V155" s="85"/>
      <c r="W155" s="85"/>
      <c r="X155" s="85"/>
      <c r="Z155" s="85"/>
      <c r="AA155" s="84"/>
      <c r="AB155" s="85"/>
    </row>
    <row r="156">
      <c r="A156" s="84"/>
      <c r="B156" s="84"/>
      <c r="C156" s="85"/>
      <c r="D156" s="85"/>
      <c r="E156" s="12"/>
      <c r="F156" s="86"/>
      <c r="G156" s="86"/>
      <c r="H156" s="87"/>
      <c r="I156" s="88"/>
      <c r="J156" s="86"/>
      <c r="K156" s="12"/>
      <c r="L156" s="86"/>
      <c r="M156" s="86"/>
      <c r="N156" s="87"/>
      <c r="O156" s="88"/>
      <c r="P156" s="85"/>
      <c r="Q156" s="84"/>
      <c r="R156" s="84"/>
      <c r="S156" s="84"/>
      <c r="T156" s="84"/>
      <c r="U156" s="85"/>
      <c r="V156" s="85"/>
      <c r="W156" s="85"/>
      <c r="X156" s="85"/>
      <c r="Z156" s="85"/>
      <c r="AA156" s="84"/>
      <c r="AB156" s="85"/>
    </row>
    <row r="157">
      <c r="A157" s="84"/>
      <c r="B157" s="84"/>
      <c r="C157" s="85"/>
      <c r="D157" s="85"/>
      <c r="E157" s="12"/>
      <c r="F157" s="86"/>
      <c r="G157" s="86"/>
      <c r="H157" s="87"/>
      <c r="I157" s="88"/>
      <c r="J157" s="86"/>
      <c r="K157" s="12"/>
      <c r="L157" s="86"/>
      <c r="M157" s="86"/>
      <c r="N157" s="87"/>
      <c r="O157" s="88"/>
      <c r="P157" s="85"/>
      <c r="Q157" s="84"/>
      <c r="R157" s="84"/>
      <c r="S157" s="84"/>
      <c r="T157" s="84"/>
      <c r="U157" s="85"/>
      <c r="V157" s="85"/>
      <c r="W157" s="85"/>
      <c r="X157" s="85"/>
      <c r="Z157" s="85"/>
      <c r="AA157" s="84"/>
      <c r="AB157" s="85"/>
    </row>
    <row r="158">
      <c r="A158" s="84"/>
      <c r="B158" s="84"/>
      <c r="C158" s="85"/>
      <c r="D158" s="85"/>
      <c r="E158" s="12"/>
      <c r="F158" s="86"/>
      <c r="G158" s="86"/>
      <c r="H158" s="87"/>
      <c r="I158" s="88"/>
      <c r="J158" s="86"/>
      <c r="K158" s="12"/>
      <c r="L158" s="86"/>
      <c r="M158" s="86"/>
      <c r="N158" s="87"/>
      <c r="O158" s="88"/>
      <c r="P158" s="85"/>
      <c r="Q158" s="84"/>
      <c r="R158" s="84"/>
      <c r="S158" s="84"/>
      <c r="T158" s="84"/>
      <c r="U158" s="85"/>
      <c r="V158" s="85"/>
      <c r="W158" s="85"/>
      <c r="X158" s="85"/>
      <c r="Z158" s="85"/>
      <c r="AA158" s="84"/>
      <c r="AB158" s="85"/>
    </row>
    <row r="159">
      <c r="A159" s="84"/>
      <c r="B159" s="84"/>
      <c r="C159" s="85"/>
      <c r="D159" s="85"/>
      <c r="E159" s="12"/>
      <c r="F159" s="86"/>
      <c r="G159" s="86"/>
      <c r="H159" s="87"/>
      <c r="I159" s="88"/>
      <c r="J159" s="86"/>
      <c r="K159" s="12"/>
      <c r="L159" s="86"/>
      <c r="M159" s="86"/>
      <c r="N159" s="87"/>
      <c r="O159" s="88"/>
      <c r="P159" s="85"/>
      <c r="Q159" s="84"/>
      <c r="R159" s="84"/>
      <c r="S159" s="84"/>
      <c r="T159" s="84"/>
      <c r="U159" s="85"/>
      <c r="V159" s="85"/>
      <c r="W159" s="85"/>
      <c r="X159" s="85"/>
      <c r="Z159" s="85"/>
      <c r="AA159" s="84"/>
      <c r="AB159" s="85"/>
    </row>
    <row r="160">
      <c r="A160" s="84"/>
      <c r="B160" s="84"/>
      <c r="C160" s="85"/>
      <c r="D160" s="85"/>
      <c r="E160" s="12"/>
      <c r="F160" s="86"/>
      <c r="G160" s="86"/>
      <c r="H160" s="87"/>
      <c r="I160" s="88"/>
      <c r="J160" s="86"/>
      <c r="K160" s="12"/>
      <c r="L160" s="86"/>
      <c r="M160" s="86"/>
      <c r="N160" s="87"/>
      <c r="O160" s="88"/>
      <c r="P160" s="85"/>
      <c r="Q160" s="84"/>
      <c r="R160" s="84"/>
      <c r="S160" s="84"/>
      <c r="T160" s="84"/>
      <c r="U160" s="85"/>
      <c r="V160" s="85"/>
      <c r="W160" s="85"/>
      <c r="X160" s="85"/>
      <c r="Z160" s="85"/>
      <c r="AA160" s="84"/>
      <c r="AB160" s="85"/>
    </row>
    <row r="161">
      <c r="A161" s="84"/>
      <c r="B161" s="84"/>
      <c r="C161" s="85"/>
      <c r="D161" s="85"/>
      <c r="E161" s="12"/>
      <c r="F161" s="86"/>
      <c r="G161" s="86"/>
      <c r="H161" s="87"/>
      <c r="I161" s="88"/>
      <c r="J161" s="86"/>
      <c r="K161" s="12"/>
      <c r="L161" s="86"/>
      <c r="M161" s="86"/>
      <c r="N161" s="87"/>
      <c r="O161" s="88"/>
      <c r="P161" s="85"/>
      <c r="Q161" s="84"/>
      <c r="R161" s="84"/>
      <c r="S161" s="84"/>
      <c r="T161" s="84"/>
      <c r="U161" s="85"/>
      <c r="V161" s="85"/>
      <c r="W161" s="85"/>
      <c r="X161" s="85"/>
      <c r="Z161" s="85"/>
      <c r="AA161" s="84"/>
      <c r="AB161" s="85"/>
    </row>
    <row r="162">
      <c r="A162" s="84"/>
      <c r="B162" s="84"/>
      <c r="C162" s="85"/>
      <c r="D162" s="85"/>
      <c r="E162" s="12"/>
      <c r="F162" s="86"/>
      <c r="G162" s="86"/>
      <c r="H162" s="87"/>
      <c r="I162" s="88"/>
      <c r="J162" s="86"/>
      <c r="K162" s="12"/>
      <c r="L162" s="86"/>
      <c r="M162" s="86"/>
      <c r="N162" s="87"/>
      <c r="O162" s="88"/>
      <c r="P162" s="85"/>
      <c r="Q162" s="84"/>
      <c r="R162" s="84"/>
      <c r="S162" s="84"/>
      <c r="T162" s="84"/>
      <c r="U162" s="85"/>
      <c r="V162" s="85"/>
      <c r="W162" s="85"/>
      <c r="X162" s="85"/>
      <c r="Z162" s="85"/>
      <c r="AA162" s="84"/>
      <c r="AB162" s="85"/>
    </row>
    <row r="163">
      <c r="A163" s="84"/>
      <c r="B163" s="84"/>
      <c r="C163" s="85"/>
      <c r="D163" s="85"/>
      <c r="E163" s="12"/>
      <c r="F163" s="86"/>
      <c r="G163" s="86"/>
      <c r="H163" s="87"/>
      <c r="I163" s="88"/>
      <c r="J163" s="86"/>
      <c r="K163" s="12"/>
      <c r="L163" s="86"/>
      <c r="M163" s="86"/>
      <c r="N163" s="87"/>
      <c r="O163" s="88"/>
      <c r="P163" s="85"/>
      <c r="Q163" s="84"/>
      <c r="R163" s="84"/>
      <c r="S163" s="84"/>
      <c r="T163" s="84"/>
      <c r="U163" s="85"/>
      <c r="V163" s="85"/>
      <c r="W163" s="85"/>
      <c r="X163" s="85"/>
      <c r="Z163" s="85"/>
      <c r="AA163" s="84"/>
      <c r="AB163" s="85"/>
    </row>
    <row r="164">
      <c r="A164" s="84"/>
      <c r="B164" s="84"/>
      <c r="C164" s="85"/>
      <c r="D164" s="85"/>
      <c r="E164" s="12"/>
      <c r="F164" s="86"/>
      <c r="G164" s="86"/>
      <c r="H164" s="87"/>
      <c r="I164" s="88"/>
      <c r="J164" s="86"/>
      <c r="K164" s="12"/>
      <c r="L164" s="86"/>
      <c r="M164" s="86"/>
      <c r="N164" s="87"/>
      <c r="O164" s="88"/>
      <c r="P164" s="85"/>
      <c r="Q164" s="84"/>
      <c r="R164" s="84"/>
      <c r="S164" s="84"/>
      <c r="T164" s="84"/>
      <c r="U164" s="85"/>
      <c r="V164" s="85"/>
      <c r="W164" s="85"/>
      <c r="X164" s="85"/>
      <c r="Z164" s="85"/>
      <c r="AA164" s="84"/>
      <c r="AB164" s="85"/>
    </row>
    <row r="165">
      <c r="A165" s="84"/>
      <c r="B165" s="84"/>
      <c r="C165" s="85"/>
      <c r="D165" s="85"/>
      <c r="E165" s="12"/>
      <c r="F165" s="86"/>
      <c r="G165" s="86"/>
      <c r="H165" s="87"/>
      <c r="I165" s="88"/>
      <c r="J165" s="86"/>
      <c r="K165" s="12"/>
      <c r="L165" s="86"/>
      <c r="M165" s="86"/>
      <c r="N165" s="87"/>
      <c r="O165" s="88"/>
      <c r="P165" s="85"/>
      <c r="Q165" s="84"/>
      <c r="R165" s="84"/>
      <c r="S165" s="84"/>
      <c r="T165" s="84"/>
      <c r="U165" s="85"/>
      <c r="V165" s="85"/>
      <c r="W165" s="85"/>
      <c r="X165" s="85"/>
      <c r="Z165" s="85"/>
      <c r="AA165" s="84"/>
      <c r="AB165" s="85"/>
    </row>
    <row r="166">
      <c r="A166" s="84"/>
      <c r="B166" s="84"/>
      <c r="C166" s="85"/>
      <c r="D166" s="85"/>
      <c r="E166" s="12"/>
      <c r="F166" s="86"/>
      <c r="G166" s="86"/>
      <c r="H166" s="87"/>
      <c r="I166" s="88"/>
      <c r="J166" s="86"/>
      <c r="K166" s="12"/>
      <c r="L166" s="86"/>
      <c r="M166" s="86"/>
      <c r="N166" s="87"/>
      <c r="O166" s="88"/>
      <c r="P166" s="85"/>
      <c r="Q166" s="84"/>
      <c r="R166" s="84"/>
      <c r="S166" s="84"/>
      <c r="T166" s="84"/>
      <c r="U166" s="85"/>
      <c r="V166" s="85"/>
      <c r="W166" s="85"/>
      <c r="X166" s="85"/>
      <c r="Z166" s="85"/>
      <c r="AA166" s="84"/>
      <c r="AB166" s="85"/>
    </row>
    <row r="167">
      <c r="A167" s="84"/>
      <c r="B167" s="84"/>
      <c r="C167" s="85"/>
      <c r="D167" s="85"/>
      <c r="E167" s="12"/>
      <c r="F167" s="86"/>
      <c r="G167" s="86"/>
      <c r="H167" s="87"/>
      <c r="I167" s="88"/>
      <c r="J167" s="86"/>
      <c r="K167" s="12"/>
      <c r="L167" s="86"/>
      <c r="M167" s="86"/>
      <c r="N167" s="87"/>
      <c r="O167" s="88"/>
      <c r="P167" s="85"/>
      <c r="Q167" s="84"/>
      <c r="R167" s="84"/>
      <c r="S167" s="84"/>
      <c r="T167" s="84"/>
      <c r="U167" s="85"/>
      <c r="V167" s="85"/>
      <c r="W167" s="85"/>
      <c r="X167" s="85"/>
      <c r="Z167" s="85"/>
      <c r="AA167" s="84"/>
      <c r="AB167" s="85"/>
    </row>
    <row r="168">
      <c r="A168" s="84"/>
      <c r="B168" s="84"/>
      <c r="C168" s="85"/>
      <c r="D168" s="85"/>
      <c r="E168" s="12"/>
      <c r="F168" s="86"/>
      <c r="G168" s="86"/>
      <c r="H168" s="87"/>
      <c r="I168" s="88"/>
      <c r="J168" s="86"/>
      <c r="K168" s="12"/>
      <c r="L168" s="86"/>
      <c r="M168" s="86"/>
      <c r="N168" s="87"/>
      <c r="O168" s="88"/>
      <c r="P168" s="85"/>
      <c r="Q168" s="84"/>
      <c r="R168" s="84"/>
      <c r="S168" s="84"/>
      <c r="T168" s="84"/>
      <c r="U168" s="85"/>
      <c r="V168" s="85"/>
      <c r="W168" s="85"/>
      <c r="X168" s="85"/>
      <c r="Z168" s="85"/>
      <c r="AA168" s="84"/>
      <c r="AB168" s="85"/>
    </row>
    <row r="169">
      <c r="A169" s="84"/>
      <c r="B169" s="84"/>
      <c r="C169" s="85"/>
      <c r="D169" s="85"/>
      <c r="E169" s="12"/>
      <c r="F169" s="86"/>
      <c r="G169" s="86"/>
      <c r="H169" s="87"/>
      <c r="I169" s="88"/>
      <c r="J169" s="86"/>
      <c r="K169" s="12"/>
      <c r="L169" s="86"/>
      <c r="M169" s="86"/>
      <c r="N169" s="87"/>
      <c r="O169" s="88"/>
      <c r="P169" s="85"/>
      <c r="Q169" s="84"/>
      <c r="R169" s="84"/>
      <c r="S169" s="84"/>
      <c r="T169" s="84"/>
      <c r="U169" s="85"/>
      <c r="V169" s="85"/>
      <c r="W169" s="85"/>
      <c r="X169" s="85"/>
      <c r="Z169" s="85"/>
      <c r="AA169" s="84"/>
      <c r="AB169" s="85"/>
    </row>
    <row r="170">
      <c r="A170" s="84"/>
      <c r="B170" s="84"/>
      <c r="C170" s="85"/>
      <c r="D170" s="85"/>
      <c r="E170" s="12"/>
      <c r="F170" s="86"/>
      <c r="G170" s="86"/>
      <c r="H170" s="87"/>
      <c r="I170" s="88"/>
      <c r="J170" s="86"/>
      <c r="K170" s="12"/>
      <c r="L170" s="86"/>
      <c r="M170" s="86"/>
      <c r="N170" s="87"/>
      <c r="O170" s="88"/>
      <c r="P170" s="85"/>
      <c r="Q170" s="84"/>
      <c r="R170" s="84"/>
      <c r="S170" s="84"/>
      <c r="T170" s="84"/>
      <c r="U170" s="85"/>
      <c r="V170" s="85"/>
      <c r="W170" s="85"/>
      <c r="X170" s="85"/>
      <c r="Z170" s="85"/>
      <c r="AA170" s="84"/>
      <c r="AB170" s="85"/>
    </row>
    <row r="171">
      <c r="A171" s="84"/>
      <c r="B171" s="84"/>
      <c r="C171" s="85"/>
      <c r="D171" s="85"/>
      <c r="E171" s="12"/>
      <c r="F171" s="86"/>
      <c r="G171" s="86"/>
      <c r="H171" s="87"/>
      <c r="I171" s="88"/>
      <c r="J171" s="86"/>
      <c r="K171" s="12"/>
      <c r="L171" s="86"/>
      <c r="M171" s="86"/>
      <c r="N171" s="87"/>
      <c r="O171" s="88"/>
      <c r="P171" s="85"/>
      <c r="Q171" s="84"/>
      <c r="R171" s="84"/>
      <c r="S171" s="84"/>
      <c r="T171" s="84"/>
      <c r="U171" s="85"/>
      <c r="V171" s="85"/>
      <c r="W171" s="85"/>
      <c r="X171" s="85"/>
      <c r="Z171" s="85"/>
      <c r="AA171" s="84"/>
      <c r="AB171" s="85"/>
    </row>
    <row r="172">
      <c r="A172" s="84"/>
      <c r="B172" s="84"/>
      <c r="C172" s="85"/>
      <c r="D172" s="85"/>
      <c r="E172" s="12"/>
      <c r="F172" s="86"/>
      <c r="G172" s="86"/>
      <c r="H172" s="87"/>
      <c r="I172" s="88"/>
      <c r="J172" s="86"/>
      <c r="K172" s="12"/>
      <c r="L172" s="86"/>
      <c r="M172" s="86"/>
      <c r="N172" s="87"/>
      <c r="O172" s="88"/>
      <c r="P172" s="85"/>
      <c r="Q172" s="84"/>
      <c r="R172" s="84"/>
      <c r="S172" s="84"/>
      <c r="T172" s="84"/>
      <c r="U172" s="85"/>
      <c r="V172" s="85"/>
      <c r="W172" s="85"/>
      <c r="X172" s="85"/>
      <c r="Z172" s="85"/>
      <c r="AA172" s="84"/>
      <c r="AB172" s="85"/>
    </row>
    <row r="173">
      <c r="A173" s="84"/>
      <c r="B173" s="84"/>
      <c r="C173" s="85"/>
      <c r="D173" s="85"/>
      <c r="E173" s="12"/>
      <c r="F173" s="86"/>
      <c r="G173" s="86"/>
      <c r="H173" s="87"/>
      <c r="I173" s="88"/>
      <c r="J173" s="86"/>
      <c r="K173" s="12"/>
      <c r="L173" s="86"/>
      <c r="M173" s="86"/>
      <c r="N173" s="87"/>
      <c r="O173" s="88"/>
      <c r="P173" s="85"/>
      <c r="Q173" s="84"/>
      <c r="R173" s="84"/>
      <c r="S173" s="84"/>
      <c r="T173" s="84"/>
      <c r="U173" s="85"/>
      <c r="V173" s="85"/>
      <c r="W173" s="85"/>
      <c r="X173" s="85"/>
      <c r="Z173" s="85"/>
      <c r="AA173" s="84"/>
      <c r="AB173" s="85"/>
    </row>
    <row r="174">
      <c r="A174" s="84"/>
      <c r="B174" s="84"/>
      <c r="C174" s="85"/>
      <c r="D174" s="85"/>
      <c r="E174" s="12"/>
      <c r="F174" s="86"/>
      <c r="G174" s="86"/>
      <c r="H174" s="87"/>
      <c r="I174" s="88"/>
      <c r="J174" s="86"/>
      <c r="K174" s="12"/>
      <c r="L174" s="86"/>
      <c r="M174" s="86"/>
      <c r="N174" s="87"/>
      <c r="O174" s="88"/>
      <c r="P174" s="85"/>
      <c r="Q174" s="84"/>
      <c r="R174" s="84"/>
      <c r="S174" s="84"/>
      <c r="T174" s="84"/>
      <c r="U174" s="85"/>
      <c r="V174" s="85"/>
      <c r="W174" s="85"/>
      <c r="X174" s="85"/>
      <c r="Z174" s="85"/>
      <c r="AA174" s="84"/>
      <c r="AB174" s="85"/>
    </row>
    <row r="175">
      <c r="A175" s="84"/>
      <c r="B175" s="84"/>
      <c r="C175" s="85"/>
      <c r="D175" s="85"/>
      <c r="E175" s="12"/>
      <c r="F175" s="86"/>
      <c r="G175" s="86"/>
      <c r="H175" s="87"/>
      <c r="I175" s="88"/>
      <c r="J175" s="86"/>
      <c r="K175" s="12"/>
      <c r="L175" s="86"/>
      <c r="M175" s="86"/>
      <c r="N175" s="87"/>
      <c r="O175" s="88"/>
      <c r="P175" s="85"/>
      <c r="Q175" s="84"/>
      <c r="R175" s="84"/>
      <c r="S175" s="84"/>
      <c r="T175" s="84"/>
      <c r="U175" s="85"/>
      <c r="V175" s="85"/>
      <c r="W175" s="85"/>
      <c r="X175" s="85"/>
      <c r="Z175" s="85"/>
      <c r="AA175" s="84"/>
      <c r="AB175" s="85"/>
    </row>
    <row r="176">
      <c r="A176" s="84"/>
      <c r="B176" s="84"/>
      <c r="C176" s="85"/>
      <c r="D176" s="85"/>
      <c r="E176" s="12"/>
      <c r="F176" s="86"/>
      <c r="G176" s="86"/>
      <c r="H176" s="87"/>
      <c r="I176" s="88"/>
      <c r="J176" s="86"/>
      <c r="K176" s="12"/>
      <c r="L176" s="86"/>
      <c r="M176" s="86"/>
      <c r="N176" s="87"/>
      <c r="O176" s="88"/>
      <c r="P176" s="85"/>
      <c r="Q176" s="84"/>
      <c r="R176" s="84"/>
      <c r="S176" s="84"/>
      <c r="T176" s="84"/>
      <c r="U176" s="85"/>
      <c r="V176" s="85"/>
      <c r="W176" s="85"/>
      <c r="X176" s="85"/>
      <c r="Z176" s="85"/>
      <c r="AA176" s="84"/>
      <c r="AB176" s="85"/>
    </row>
    <row r="177">
      <c r="A177" s="84"/>
      <c r="B177" s="84"/>
      <c r="C177" s="85"/>
      <c r="D177" s="85"/>
      <c r="E177" s="12"/>
      <c r="F177" s="86"/>
      <c r="G177" s="86"/>
      <c r="H177" s="87"/>
      <c r="I177" s="88"/>
      <c r="J177" s="86"/>
      <c r="K177" s="12"/>
      <c r="L177" s="86"/>
      <c r="M177" s="86"/>
      <c r="N177" s="87"/>
      <c r="O177" s="88"/>
      <c r="P177" s="85"/>
      <c r="Q177" s="84"/>
      <c r="R177" s="84"/>
      <c r="S177" s="84"/>
      <c r="T177" s="84"/>
      <c r="U177" s="85"/>
      <c r="V177" s="85"/>
      <c r="W177" s="85"/>
      <c r="X177" s="85"/>
      <c r="Z177" s="85"/>
      <c r="AA177" s="84"/>
      <c r="AB177" s="85"/>
    </row>
    <row r="178">
      <c r="A178" s="84"/>
      <c r="B178" s="84"/>
      <c r="C178" s="85"/>
      <c r="D178" s="85"/>
      <c r="E178" s="12"/>
      <c r="F178" s="86"/>
      <c r="G178" s="86"/>
      <c r="H178" s="87"/>
      <c r="I178" s="88"/>
      <c r="J178" s="86"/>
      <c r="K178" s="12"/>
      <c r="L178" s="86"/>
      <c r="M178" s="86"/>
      <c r="N178" s="87"/>
      <c r="O178" s="88"/>
      <c r="P178" s="85"/>
      <c r="Q178" s="84"/>
      <c r="R178" s="84"/>
      <c r="S178" s="84"/>
      <c r="T178" s="84"/>
      <c r="U178" s="85"/>
      <c r="V178" s="85"/>
      <c r="W178" s="85"/>
      <c r="X178" s="85"/>
      <c r="Z178" s="85"/>
      <c r="AA178" s="84"/>
      <c r="AB178" s="85"/>
    </row>
    <row r="179">
      <c r="A179" s="84"/>
      <c r="B179" s="84"/>
      <c r="C179" s="85"/>
      <c r="D179" s="85"/>
      <c r="E179" s="12"/>
      <c r="F179" s="86"/>
      <c r="G179" s="86"/>
      <c r="H179" s="87"/>
      <c r="I179" s="88"/>
      <c r="J179" s="86"/>
      <c r="K179" s="12"/>
      <c r="L179" s="86"/>
      <c r="M179" s="86"/>
      <c r="N179" s="87"/>
      <c r="O179" s="88"/>
      <c r="P179" s="85"/>
      <c r="Q179" s="84"/>
      <c r="R179" s="84"/>
      <c r="S179" s="84"/>
      <c r="T179" s="84"/>
      <c r="U179" s="85"/>
      <c r="V179" s="85"/>
      <c r="W179" s="85"/>
      <c r="X179" s="85"/>
      <c r="Z179" s="85"/>
      <c r="AA179" s="84"/>
      <c r="AB179" s="85"/>
    </row>
    <row r="180">
      <c r="A180" s="84"/>
      <c r="B180" s="84"/>
      <c r="C180" s="85"/>
      <c r="D180" s="85"/>
      <c r="E180" s="12"/>
      <c r="F180" s="86"/>
      <c r="G180" s="86"/>
      <c r="H180" s="87"/>
      <c r="I180" s="88"/>
      <c r="J180" s="86"/>
      <c r="K180" s="12"/>
      <c r="L180" s="86"/>
      <c r="M180" s="86"/>
      <c r="N180" s="87"/>
      <c r="O180" s="88"/>
      <c r="P180" s="85"/>
      <c r="Q180" s="84"/>
      <c r="R180" s="84"/>
      <c r="S180" s="84"/>
      <c r="T180" s="84"/>
      <c r="U180" s="85"/>
      <c r="V180" s="85"/>
      <c r="W180" s="85"/>
      <c r="X180" s="85"/>
      <c r="Z180" s="85"/>
      <c r="AA180" s="84"/>
      <c r="AB180" s="85"/>
    </row>
    <row r="181">
      <c r="A181" s="84"/>
      <c r="B181" s="84"/>
      <c r="C181" s="85"/>
      <c r="D181" s="85"/>
      <c r="E181" s="12"/>
      <c r="F181" s="86"/>
      <c r="G181" s="86"/>
      <c r="H181" s="87"/>
      <c r="I181" s="88"/>
      <c r="J181" s="86"/>
      <c r="K181" s="12"/>
      <c r="L181" s="86"/>
      <c r="M181" s="86"/>
      <c r="N181" s="87"/>
      <c r="O181" s="88"/>
      <c r="P181" s="85"/>
      <c r="Q181" s="84"/>
      <c r="R181" s="84"/>
      <c r="S181" s="84"/>
      <c r="T181" s="84"/>
      <c r="U181" s="85"/>
      <c r="V181" s="85"/>
      <c r="W181" s="85"/>
      <c r="X181" s="85"/>
      <c r="Z181" s="85"/>
      <c r="AA181" s="84"/>
      <c r="AB181" s="85"/>
    </row>
    <row r="182">
      <c r="A182" s="84"/>
      <c r="B182" s="84"/>
      <c r="C182" s="85"/>
      <c r="D182" s="85"/>
      <c r="E182" s="12"/>
      <c r="F182" s="86"/>
      <c r="G182" s="86"/>
      <c r="H182" s="87"/>
      <c r="I182" s="88"/>
      <c r="J182" s="86"/>
      <c r="K182" s="12"/>
      <c r="L182" s="86"/>
      <c r="M182" s="86"/>
      <c r="N182" s="87"/>
      <c r="O182" s="88"/>
      <c r="P182" s="85"/>
      <c r="Q182" s="84"/>
      <c r="R182" s="84"/>
      <c r="S182" s="84"/>
      <c r="T182" s="84"/>
      <c r="U182" s="85"/>
      <c r="V182" s="85"/>
      <c r="W182" s="85"/>
      <c r="X182" s="85"/>
      <c r="Z182" s="85"/>
      <c r="AA182" s="84"/>
      <c r="AB182" s="85"/>
    </row>
    <row r="183">
      <c r="A183" s="84"/>
      <c r="B183" s="84"/>
      <c r="C183" s="85"/>
      <c r="D183" s="85"/>
      <c r="E183" s="12"/>
      <c r="F183" s="86"/>
      <c r="G183" s="86"/>
      <c r="H183" s="87"/>
      <c r="I183" s="88"/>
      <c r="J183" s="86"/>
      <c r="K183" s="12"/>
      <c r="L183" s="86"/>
      <c r="M183" s="86"/>
      <c r="N183" s="87"/>
      <c r="O183" s="88"/>
      <c r="P183" s="85"/>
      <c r="Q183" s="84"/>
      <c r="R183" s="84"/>
      <c r="S183" s="84"/>
      <c r="T183" s="84"/>
      <c r="U183" s="85"/>
      <c r="V183" s="85"/>
      <c r="W183" s="85"/>
      <c r="X183" s="85"/>
      <c r="Z183" s="85"/>
      <c r="AA183" s="84"/>
      <c r="AB183" s="85"/>
    </row>
    <row r="184">
      <c r="A184" s="84"/>
      <c r="B184" s="84"/>
      <c r="C184" s="85"/>
      <c r="D184" s="85"/>
      <c r="E184" s="12"/>
      <c r="F184" s="86"/>
      <c r="G184" s="86"/>
      <c r="H184" s="87"/>
      <c r="I184" s="88"/>
      <c r="J184" s="86"/>
      <c r="K184" s="12"/>
      <c r="L184" s="86"/>
      <c r="M184" s="86"/>
      <c r="N184" s="87"/>
      <c r="O184" s="88"/>
      <c r="P184" s="85"/>
      <c r="Q184" s="84"/>
      <c r="R184" s="84"/>
      <c r="S184" s="84"/>
      <c r="T184" s="84"/>
      <c r="U184" s="85"/>
      <c r="V184" s="85"/>
      <c r="W184" s="85"/>
      <c r="X184" s="85"/>
      <c r="Z184" s="85"/>
      <c r="AA184" s="84"/>
      <c r="AB184" s="85"/>
    </row>
    <row r="185">
      <c r="A185" s="84"/>
      <c r="B185" s="84"/>
      <c r="C185" s="85"/>
      <c r="D185" s="85"/>
      <c r="E185" s="12"/>
      <c r="F185" s="86"/>
      <c r="G185" s="86"/>
      <c r="H185" s="87"/>
      <c r="I185" s="88"/>
      <c r="J185" s="86"/>
      <c r="K185" s="12"/>
      <c r="L185" s="86"/>
      <c r="M185" s="86"/>
      <c r="N185" s="87"/>
      <c r="O185" s="88"/>
      <c r="P185" s="85"/>
      <c r="Q185" s="84"/>
      <c r="R185" s="84"/>
      <c r="S185" s="84"/>
      <c r="T185" s="84"/>
      <c r="U185" s="85"/>
      <c r="V185" s="85"/>
      <c r="W185" s="85"/>
      <c r="X185" s="85"/>
      <c r="Z185" s="85"/>
      <c r="AA185" s="84"/>
      <c r="AB185" s="85"/>
    </row>
    <row r="186">
      <c r="A186" s="84"/>
      <c r="B186" s="84"/>
      <c r="C186" s="85"/>
      <c r="D186" s="85"/>
      <c r="E186" s="12"/>
      <c r="F186" s="86"/>
      <c r="G186" s="86"/>
      <c r="H186" s="87"/>
      <c r="I186" s="88"/>
      <c r="J186" s="86"/>
      <c r="K186" s="12"/>
      <c r="L186" s="86"/>
      <c r="M186" s="86"/>
      <c r="N186" s="87"/>
      <c r="O186" s="88"/>
      <c r="P186" s="85"/>
      <c r="Q186" s="84"/>
      <c r="R186" s="84"/>
      <c r="S186" s="84"/>
      <c r="T186" s="84"/>
      <c r="U186" s="85"/>
      <c r="V186" s="85"/>
      <c r="W186" s="85"/>
      <c r="X186" s="85"/>
      <c r="Z186" s="85"/>
      <c r="AA186" s="84"/>
      <c r="AB186" s="85"/>
    </row>
    <row r="187">
      <c r="A187" s="84"/>
      <c r="B187" s="84"/>
      <c r="C187" s="85"/>
      <c r="D187" s="85"/>
      <c r="E187" s="12"/>
      <c r="F187" s="86"/>
      <c r="G187" s="86"/>
      <c r="H187" s="87"/>
      <c r="I187" s="88"/>
      <c r="J187" s="86"/>
      <c r="K187" s="12"/>
      <c r="L187" s="86"/>
      <c r="M187" s="86"/>
      <c r="N187" s="87"/>
      <c r="O187" s="88"/>
      <c r="P187" s="85"/>
      <c r="Q187" s="84"/>
      <c r="R187" s="84"/>
      <c r="S187" s="84"/>
      <c r="T187" s="84"/>
      <c r="U187" s="85"/>
      <c r="V187" s="85"/>
      <c r="W187" s="85"/>
      <c r="X187" s="85"/>
      <c r="Z187" s="85"/>
      <c r="AA187" s="84"/>
      <c r="AB187" s="85"/>
    </row>
    <row r="188">
      <c r="A188" s="84"/>
      <c r="B188" s="84"/>
      <c r="C188" s="85"/>
      <c r="D188" s="85"/>
      <c r="E188" s="12"/>
      <c r="F188" s="86"/>
      <c r="G188" s="86"/>
      <c r="H188" s="87"/>
      <c r="I188" s="88"/>
      <c r="J188" s="86"/>
      <c r="K188" s="12"/>
      <c r="L188" s="86"/>
      <c r="M188" s="86"/>
      <c r="N188" s="87"/>
      <c r="O188" s="88"/>
      <c r="P188" s="85"/>
      <c r="Q188" s="84"/>
      <c r="R188" s="84"/>
      <c r="S188" s="84"/>
      <c r="T188" s="84"/>
      <c r="U188" s="85"/>
      <c r="V188" s="85"/>
      <c r="W188" s="85"/>
      <c r="X188" s="85"/>
      <c r="Z188" s="85"/>
      <c r="AA188" s="84"/>
      <c r="AB188" s="85"/>
    </row>
    <row r="189">
      <c r="A189" s="84"/>
      <c r="B189" s="84"/>
      <c r="C189" s="85"/>
      <c r="D189" s="85"/>
      <c r="E189" s="12"/>
      <c r="F189" s="86"/>
      <c r="G189" s="86"/>
      <c r="H189" s="87"/>
      <c r="I189" s="88"/>
      <c r="J189" s="86"/>
      <c r="K189" s="12"/>
      <c r="L189" s="86"/>
      <c r="M189" s="86"/>
      <c r="N189" s="87"/>
      <c r="O189" s="88"/>
      <c r="P189" s="85"/>
      <c r="Q189" s="84"/>
      <c r="R189" s="84"/>
      <c r="S189" s="84"/>
      <c r="T189" s="84"/>
      <c r="U189" s="85"/>
      <c r="V189" s="85"/>
      <c r="W189" s="85"/>
      <c r="X189" s="85"/>
      <c r="Z189" s="85"/>
      <c r="AA189" s="84"/>
      <c r="AB189" s="85"/>
    </row>
    <row r="190">
      <c r="A190" s="84"/>
      <c r="B190" s="84"/>
      <c r="C190" s="85"/>
      <c r="D190" s="85"/>
      <c r="E190" s="12"/>
      <c r="F190" s="86"/>
      <c r="G190" s="86"/>
      <c r="H190" s="87"/>
      <c r="I190" s="88"/>
      <c r="J190" s="86"/>
      <c r="K190" s="12"/>
      <c r="L190" s="86"/>
      <c r="M190" s="86"/>
      <c r="N190" s="87"/>
      <c r="O190" s="88"/>
      <c r="P190" s="85"/>
      <c r="Q190" s="84"/>
      <c r="R190" s="84"/>
      <c r="S190" s="84"/>
      <c r="T190" s="84"/>
      <c r="U190" s="85"/>
      <c r="V190" s="85"/>
      <c r="W190" s="85"/>
      <c r="X190" s="85"/>
      <c r="Z190" s="85"/>
      <c r="AA190" s="84"/>
      <c r="AB190" s="85"/>
    </row>
    <row r="191">
      <c r="A191" s="84"/>
      <c r="B191" s="84"/>
      <c r="C191" s="85"/>
      <c r="D191" s="85"/>
      <c r="E191" s="12"/>
      <c r="F191" s="86"/>
      <c r="G191" s="86"/>
      <c r="H191" s="87"/>
      <c r="I191" s="88"/>
      <c r="J191" s="86"/>
      <c r="K191" s="12"/>
      <c r="L191" s="86"/>
      <c r="M191" s="86"/>
      <c r="N191" s="87"/>
      <c r="O191" s="88"/>
      <c r="P191" s="85"/>
      <c r="Q191" s="84"/>
      <c r="R191" s="84"/>
      <c r="S191" s="84"/>
      <c r="T191" s="84"/>
      <c r="U191" s="85"/>
      <c r="V191" s="85"/>
      <c r="W191" s="85"/>
      <c r="X191" s="85"/>
      <c r="Z191" s="85"/>
      <c r="AA191" s="84"/>
      <c r="AB191" s="85"/>
    </row>
    <row r="192">
      <c r="A192" s="84"/>
      <c r="B192" s="84"/>
      <c r="C192" s="85"/>
      <c r="D192" s="85"/>
      <c r="E192" s="12"/>
      <c r="F192" s="86"/>
      <c r="G192" s="86"/>
      <c r="H192" s="87"/>
      <c r="I192" s="88"/>
      <c r="J192" s="86"/>
      <c r="K192" s="12"/>
      <c r="L192" s="86"/>
      <c r="M192" s="86"/>
      <c r="N192" s="87"/>
      <c r="O192" s="88"/>
      <c r="P192" s="85"/>
      <c r="Q192" s="84"/>
      <c r="R192" s="84"/>
      <c r="S192" s="84"/>
      <c r="T192" s="84"/>
      <c r="U192" s="85"/>
      <c r="V192" s="85"/>
      <c r="W192" s="85"/>
      <c r="X192" s="85"/>
      <c r="Z192" s="85"/>
      <c r="AA192" s="84"/>
      <c r="AB192" s="85"/>
    </row>
    <row r="193">
      <c r="A193" s="84"/>
      <c r="B193" s="84"/>
      <c r="C193" s="85"/>
      <c r="D193" s="85"/>
      <c r="E193" s="12"/>
      <c r="F193" s="86"/>
      <c r="G193" s="86"/>
      <c r="H193" s="87"/>
      <c r="I193" s="88"/>
      <c r="J193" s="86"/>
      <c r="K193" s="12"/>
      <c r="L193" s="86"/>
      <c r="M193" s="86"/>
      <c r="N193" s="87"/>
      <c r="O193" s="88"/>
      <c r="P193" s="85"/>
      <c r="Q193" s="84"/>
      <c r="R193" s="84"/>
      <c r="S193" s="84"/>
      <c r="T193" s="84"/>
      <c r="U193" s="85"/>
      <c r="V193" s="85"/>
      <c r="W193" s="85"/>
      <c r="X193" s="85"/>
      <c r="Z193" s="85"/>
      <c r="AA193" s="84"/>
      <c r="AB193" s="85"/>
    </row>
    <row r="194">
      <c r="A194" s="84"/>
      <c r="B194" s="84"/>
      <c r="C194" s="85"/>
      <c r="D194" s="85"/>
      <c r="E194" s="12"/>
      <c r="F194" s="86"/>
      <c r="G194" s="86"/>
      <c r="H194" s="87"/>
      <c r="I194" s="88"/>
      <c r="J194" s="86"/>
      <c r="K194" s="12"/>
      <c r="L194" s="86"/>
      <c r="M194" s="86"/>
      <c r="N194" s="87"/>
      <c r="O194" s="88"/>
      <c r="P194" s="85"/>
      <c r="Q194" s="84"/>
      <c r="R194" s="84"/>
      <c r="S194" s="84"/>
      <c r="T194" s="84"/>
      <c r="U194" s="85"/>
      <c r="V194" s="85"/>
      <c r="W194" s="85"/>
      <c r="X194" s="85"/>
      <c r="Z194" s="85"/>
      <c r="AA194" s="84"/>
      <c r="AB194" s="85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6"/>
    <col collapsed="false" customWidth="true" hidden="false" max="3" min="3" style="0" width="6"/>
    <col collapsed="false" customWidth="true" hidden="false" max="4" min="4" style="0" width="6"/>
    <col collapsed="false" customWidth="true" hidden="false" max="5" min="5" style="0" width="6"/>
    <col collapsed="false" customWidth="true" hidden="false" max="6" min="6" style="0" width="6"/>
    <col collapsed="false" customWidth="true" hidden="false" max="7" min="7" style="0" width="6"/>
    <col collapsed="false" customWidth="true" hidden="false" max="8" min="8" style="0" width="6"/>
    <col collapsed="false" customWidth="true" hidden="false" max="9" min="9" style="0" width="6"/>
    <col collapsed="false" customWidth="true" hidden="false" max="10" min="10" style="0" width="6"/>
    <col collapsed="false" customWidth="true" hidden="false" max="11" min="11" style="0" width="6"/>
    <col collapsed="false" customWidth="true" hidden="false" max="12" min="12" style="0" width="6"/>
    <col collapsed="false" customWidth="true" hidden="false" max="13" min="13" style="0" width="6"/>
    <col collapsed="false" customWidth="true" hidden="false" max="14" min="14" style="0" width="6"/>
    <col collapsed="false" customWidth="true" hidden="false" max="15" min="15" style="0" width="6"/>
    <col collapsed="false" customWidth="true" hidden="false" max="16" min="16" style="0" width="6"/>
    <col collapsed="false" customWidth="true" hidden="false" max="17" min="17" style="0" width="6"/>
    <col collapsed="false" customWidth="true" hidden="false" max="18" min="18" style="0" width="6"/>
    <col collapsed="false" customWidth="true" hidden="false" max="19" min="19" style="0" width="6"/>
    <col collapsed="false" customWidth="true" hidden="false" max="20" min="20" style="0" width="6"/>
    <col collapsed="false" customWidth="true" hidden="false" max="21" min="21" style="0" width="6"/>
  </cols>
  <sheetData>
    <row r="1">
      <c r="A1" s="38" t="str">
        <v>敌人</v>
      </c>
      <c r="B1" s="38" t="str">
        <v>Lv 1</v>
      </c>
      <c r="C1" s="38" t="str">
        <v>Lv 2</v>
      </c>
      <c r="D1" s="38" t="str">
        <v>Lv 3</v>
      </c>
      <c r="E1" s="38" t="str">
        <v>Lv 4</v>
      </c>
      <c r="F1" s="38" t="str">
        <v>Lv 5</v>
      </c>
      <c r="G1" s="38" t="str">
        <v>Lv 6</v>
      </c>
      <c r="H1" s="38" t="str">
        <v>Lv 7</v>
      </c>
      <c r="I1" s="38" t="str">
        <v>Lv 8</v>
      </c>
      <c r="J1" s="38" t="str">
        <v>Lv 9</v>
      </c>
      <c r="K1" s="38" t="str">
        <v>Lv 10</v>
      </c>
      <c r="L1" s="38" t="str">
        <v>Lv 1</v>
      </c>
      <c r="M1" s="38" t="str">
        <v>Lv 2</v>
      </c>
      <c r="N1" s="38" t="str">
        <v>Lv 3</v>
      </c>
      <c r="O1" s="38" t="str">
        <v>Lv 4</v>
      </c>
      <c r="P1" s="38" t="str">
        <v>Lv 5</v>
      </c>
      <c r="Q1" s="38" t="str">
        <v>Lv 6</v>
      </c>
      <c r="R1" s="38" t="str">
        <v>Lv 7</v>
      </c>
      <c r="S1" s="38" t="str">
        <v>Lv 8</v>
      </c>
      <c r="T1" s="38" t="str">
        <v>Lv 9</v>
      </c>
      <c r="U1" s="38" t="str">
        <v>Lv 10</v>
      </c>
    </row>
    <row r="2">
      <c r="A2" t="str">
        <v>普通机修工（Greasehand）</v>
      </c>
      <c r="B2" s="31">
        <v>5</v>
      </c>
      <c r="C2" s="31">
        <v>5</v>
      </c>
      <c r="D2" s="31">
        <v>5</v>
      </c>
      <c r="E2" s="31">
        <v>5</v>
      </c>
      <c r="F2" s="31">
        <v>5</v>
      </c>
      <c r="G2" s="31">
        <v>5</v>
      </c>
      <c r="H2" s="31">
        <v>5</v>
      </c>
      <c r="I2" s="31">
        <v>5</v>
      </c>
      <c r="J2" s="31">
        <v>5</v>
      </c>
      <c r="K2" s="31">
        <v>0</v>
      </c>
      <c r="L2" s="106">
        <f>B2/SUM(B:B)</f>
      </c>
      <c r="M2" s="106">
        <f>C2/SUM(C:C)</f>
      </c>
      <c r="N2" s="106">
        <f>D2/SUM(D:D)</f>
      </c>
      <c r="O2" s="106">
        <f>E2/SUM(E:E)</f>
      </c>
      <c r="P2" s="106">
        <f>F2/SUM(F:F)</f>
      </c>
      <c r="Q2" s="106">
        <f>G2/SUM(G:G)</f>
      </c>
      <c r="R2" s="106">
        <f>H2/SUM(H:H)</f>
      </c>
      <c r="S2" s="106">
        <f>I2/SUM(I:I)</f>
      </c>
      <c r="T2" s="106">
        <f>J2/SUM(J:J)</f>
      </c>
      <c r="U2" s="106">
        <f>K2/SUM(K:K)</f>
      </c>
    </row>
    <row r="3">
      <c r="A3" t="str">
        <v>精英机修工（Greasehand）</v>
      </c>
      <c r="B3" s="31">
        <v>0</v>
      </c>
      <c r="C3" s="31">
        <v>0</v>
      </c>
      <c r="D3" s="31">
        <v>0</v>
      </c>
      <c r="E3" s="31">
        <v>2</v>
      </c>
      <c r="F3" s="31">
        <v>2</v>
      </c>
      <c r="G3" s="31">
        <v>2</v>
      </c>
      <c r="H3" s="31">
        <v>2</v>
      </c>
      <c r="I3" s="31">
        <v>2</v>
      </c>
      <c r="J3" s="31">
        <v>2</v>
      </c>
      <c r="K3" s="31">
        <v>2</v>
      </c>
      <c r="L3" s="106">
        <f>B3/SUM(B:B)</f>
      </c>
      <c r="M3" s="106">
        <f>C3/SUM(C:C)</f>
      </c>
      <c r="N3" s="106">
        <f>D3/SUM(D:D)</f>
      </c>
      <c r="O3" s="106">
        <f>E3/SUM(E:E)</f>
      </c>
      <c r="P3" s="106">
        <f>F3/SUM(F:F)</f>
      </c>
      <c r="Q3" s="106">
        <f>G3/SUM(G:G)</f>
      </c>
      <c r="R3" s="106">
        <f>H3/SUM(H:H)</f>
      </c>
      <c r="S3" s="106">
        <f>I3/SUM(I:I)</f>
      </c>
      <c r="T3" s="106">
        <f>J3/SUM(J:J)</f>
      </c>
      <c r="U3" s="106">
        <f>K3/SUM(K:K)</f>
      </c>
    </row>
    <row r="4">
      <c r="A4" t="str">
        <v>普通钉枪工（Boltspitter）</v>
      </c>
      <c r="B4" s="31">
        <v>5</v>
      </c>
      <c r="C4" s="31">
        <v>5</v>
      </c>
      <c r="D4" s="31">
        <v>5</v>
      </c>
      <c r="E4" s="31">
        <v>5</v>
      </c>
      <c r="F4" s="31">
        <v>5</v>
      </c>
      <c r="G4" s="31">
        <v>5</v>
      </c>
      <c r="H4" s="31">
        <v>5</v>
      </c>
      <c r="I4" s="31">
        <v>5</v>
      </c>
      <c r="J4" s="31">
        <v>5</v>
      </c>
      <c r="K4" s="31">
        <v>0</v>
      </c>
      <c r="L4" s="106">
        <f>B4/SUM(B:B)</f>
      </c>
      <c r="M4" s="106">
        <f>C4/SUM(C:C)</f>
      </c>
      <c r="N4" s="106">
        <f>D4/SUM(D:D)</f>
      </c>
      <c r="O4" s="106">
        <f>E4/SUM(E:E)</f>
      </c>
      <c r="P4" s="106">
        <f>F4/SUM(F:F)</f>
      </c>
      <c r="Q4" s="106">
        <f>G4/SUM(G:G)</f>
      </c>
      <c r="R4" s="106">
        <f>H4/SUM(H:H)</f>
      </c>
      <c r="S4" s="106">
        <f>I4/SUM(I:I)</f>
      </c>
      <c r="T4" s="106">
        <f>J4/SUM(J:J)</f>
      </c>
      <c r="U4" s="106">
        <f>K4/SUM(K:K)</f>
      </c>
    </row>
    <row r="5">
      <c r="A5" t="str">
        <v>精英钉枪工（Boltspitter）</v>
      </c>
      <c r="B5" s="31">
        <v>0</v>
      </c>
      <c r="C5" s="31">
        <v>0</v>
      </c>
      <c r="D5" s="31">
        <v>0</v>
      </c>
      <c r="E5" s="31">
        <v>2</v>
      </c>
      <c r="F5" s="31">
        <v>2</v>
      </c>
      <c r="G5" s="31">
        <v>2</v>
      </c>
      <c r="H5" s="31">
        <v>2</v>
      </c>
      <c r="I5" s="31">
        <v>2</v>
      </c>
      <c r="J5" s="31">
        <v>2</v>
      </c>
      <c r="K5" s="31">
        <v>2</v>
      </c>
      <c r="L5" s="106">
        <f>B5/SUM(B:B)</f>
      </c>
      <c r="M5" s="106">
        <f>C5/SUM(C:C)</f>
      </c>
      <c r="N5" s="106">
        <f>D5/SUM(D:D)</f>
      </c>
      <c r="O5" s="106">
        <f>E5/SUM(E:E)</f>
      </c>
      <c r="P5" s="106">
        <f>F5/SUM(F:F)</f>
      </c>
      <c r="Q5" s="106">
        <f>G5/SUM(G:G)</f>
      </c>
      <c r="R5" s="106">
        <f>H5/SUM(H:H)</f>
      </c>
      <c r="S5" s="106">
        <f>I5/SUM(I:I)</f>
      </c>
      <c r="T5" s="106">
        <f>J5/SUM(J:J)</f>
      </c>
      <c r="U5" s="106">
        <f>K5/SUM(K:K)</f>
      </c>
    </row>
    <row r="6">
      <c r="A6" t="str">
        <v>普通挖掘工（Tunnelrat）</v>
      </c>
      <c r="B6" s="31">
        <v>0</v>
      </c>
      <c r="C6" s="31">
        <v>0</v>
      </c>
      <c r="D6" s="31">
        <v>5</v>
      </c>
      <c r="E6" s="31">
        <v>5</v>
      </c>
      <c r="F6" s="31">
        <v>5</v>
      </c>
      <c r="G6" s="31">
        <v>5</v>
      </c>
      <c r="H6" s="31">
        <v>5</v>
      </c>
      <c r="I6" s="31">
        <v>5</v>
      </c>
      <c r="J6" s="31">
        <v>5</v>
      </c>
      <c r="K6" s="31">
        <v>0</v>
      </c>
      <c r="L6" s="106">
        <f>B6/SUM(B:B)</f>
      </c>
      <c r="M6" s="106">
        <f>C6/SUM(C:C)</f>
      </c>
      <c r="N6" s="106">
        <f>D6/SUM(D:D)</f>
      </c>
      <c r="O6" s="106">
        <f>E6/SUM(E:E)</f>
      </c>
      <c r="P6" s="106">
        <f>F6/SUM(F:F)</f>
      </c>
      <c r="Q6" s="106">
        <f>G6/SUM(G:G)</f>
      </c>
      <c r="R6" s="106">
        <f>H6/SUM(H:H)</f>
      </c>
      <c r="S6" s="106">
        <f>I6/SUM(I:I)</f>
      </c>
      <c r="T6" s="106">
        <f>J6/SUM(J:J)</f>
      </c>
      <c r="U6" s="106">
        <f>K6/SUM(K:K)</f>
      </c>
    </row>
    <row r="7">
      <c r="A7" t="str">
        <v>精英挖掘工（Tunnelrat）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2</v>
      </c>
      <c r="H7" s="31">
        <v>2</v>
      </c>
      <c r="I7" s="31">
        <v>2</v>
      </c>
      <c r="J7" s="31">
        <v>2</v>
      </c>
      <c r="K7" s="31">
        <v>2</v>
      </c>
      <c r="L7" s="106">
        <f>B7/SUM(B:B)</f>
      </c>
      <c r="M7" s="106">
        <f>C7/SUM(C:C)</f>
      </c>
      <c r="N7" s="106">
        <f>D7/SUM(D:D)</f>
      </c>
      <c r="O7" s="106">
        <f>E7/SUM(E:E)</f>
      </c>
      <c r="P7" s="106">
        <f>F7/SUM(F:F)</f>
      </c>
      <c r="Q7" s="106">
        <f>G7/SUM(G:G)</f>
      </c>
      <c r="R7" s="106">
        <f>H7/SUM(H:H)</f>
      </c>
      <c r="S7" s="106">
        <f>I7/SUM(I:I)</f>
      </c>
      <c r="T7" s="106">
        <f>J7/SUM(J:J)</f>
      </c>
      <c r="U7" s="106">
        <f>K7/SUM(K:K)</f>
      </c>
    </row>
    <row r="8">
      <c r="A8" t="str">
        <v>普通管线技师（Pipewright）</v>
      </c>
      <c r="B8" s="31">
        <v>0</v>
      </c>
      <c r="C8" s="31">
        <v>0</v>
      </c>
      <c r="D8" s="31">
        <v>0</v>
      </c>
      <c r="E8" s="31">
        <v>0</v>
      </c>
      <c r="F8" s="31">
        <v>5</v>
      </c>
      <c r="G8" s="31">
        <v>5</v>
      </c>
      <c r="H8" s="31">
        <v>5</v>
      </c>
      <c r="I8" s="31">
        <v>5</v>
      </c>
      <c r="J8" s="31">
        <v>5</v>
      </c>
      <c r="K8" s="31">
        <v>0</v>
      </c>
      <c r="L8" s="106">
        <f>B8/SUM(B:B)</f>
      </c>
      <c r="M8" s="106">
        <f>C8/SUM(C:C)</f>
      </c>
      <c r="N8" s="106">
        <f>D8/SUM(D:D)</f>
      </c>
      <c r="O8" s="106">
        <f>E8/SUM(E:E)</f>
      </c>
      <c r="P8" s="106">
        <f>F8/SUM(F:F)</f>
      </c>
      <c r="Q8" s="106">
        <f>G8/SUM(G:G)</f>
      </c>
      <c r="R8" s="106">
        <f>H8/SUM(H:H)</f>
      </c>
      <c r="S8" s="106">
        <f>I8/SUM(I:I)</f>
      </c>
      <c r="T8" s="106">
        <f>J8/SUM(J:J)</f>
      </c>
      <c r="U8" s="106">
        <f>K8/SUM(K:K)</f>
      </c>
    </row>
    <row r="9">
      <c r="A9" t="str">
        <v>精英管线技师（Pipewright）</v>
      </c>
      <c r="B9" s="31">
        <v>0</v>
      </c>
      <c r="C9" s="31">
        <v>0</v>
      </c>
      <c r="D9" s="31">
        <v>0</v>
      </c>
      <c r="E9" s="31">
        <v>0</v>
      </c>
      <c r="F9" s="107">
        <v>0</v>
      </c>
      <c r="G9" s="107">
        <v>0</v>
      </c>
      <c r="H9" s="31">
        <v>0</v>
      </c>
      <c r="I9" s="31">
        <v>2</v>
      </c>
      <c r="J9" s="31">
        <v>2</v>
      </c>
      <c r="K9" s="31">
        <v>2</v>
      </c>
      <c r="L9" s="106">
        <f>B9/SUM(B:B)</f>
      </c>
      <c r="M9" s="106">
        <f>C9/SUM(C:C)</f>
      </c>
      <c r="N9" s="106">
        <f>D9/SUM(D:D)</f>
      </c>
      <c r="O9" s="106">
        <f>E9/SUM(E:E)</f>
      </c>
      <c r="P9" s="106">
        <f>F9/SUM(F:F)</f>
      </c>
      <c r="Q9" s="106">
        <f>G9/SUM(G:G)</f>
      </c>
      <c r="R9" s="106">
        <f>H9/SUM(H:H)</f>
      </c>
      <c r="S9" s="106">
        <f>I9/SUM(I:I)</f>
      </c>
      <c r="T9" s="106">
        <f>J9/SUM(J:J)</f>
      </c>
      <c r="U9" s="106">
        <f>K9/SUM(K:K)</f>
      </c>
    </row>
    <row r="10">
      <c r="A10" t="str">
        <v>普通重装工头（Steel Foreman）</v>
      </c>
      <c r="B10" s="31">
        <v>0</v>
      </c>
      <c r="C10" s="31">
        <v>0</v>
      </c>
      <c r="D10" s="31">
        <v>0</v>
      </c>
      <c r="E10" s="31">
        <v>0</v>
      </c>
      <c r="F10" s="107">
        <v>0</v>
      </c>
      <c r="G10" s="107">
        <v>0</v>
      </c>
      <c r="H10" s="31">
        <v>5</v>
      </c>
      <c r="I10" s="31">
        <v>5</v>
      </c>
      <c r="J10" s="31">
        <v>5</v>
      </c>
      <c r="K10" s="31">
        <v>0</v>
      </c>
      <c r="L10" s="106">
        <f>B10/SUM(B:B)</f>
      </c>
      <c r="M10" s="106">
        <f>C10/SUM(C:C)</f>
      </c>
      <c r="N10" s="106">
        <f>D10/SUM(D:D)</f>
      </c>
      <c r="O10" s="106">
        <f>E10/SUM(E:E)</f>
      </c>
      <c r="P10" s="106">
        <f>F10/SUM(F:F)</f>
      </c>
      <c r="Q10" s="106">
        <f>G10/SUM(G:G)</f>
      </c>
      <c r="R10" s="106">
        <f>H10/SUM(H:H)</f>
      </c>
      <c r="S10" s="106">
        <f>I10/SUM(I:I)</f>
      </c>
      <c r="T10" s="106">
        <f>J10/SUM(J:J)</f>
      </c>
      <c r="U10" s="106">
        <f>K10/SUM(K:K)</f>
      </c>
    </row>
    <row r="11">
      <c r="A11" t="str">
        <v>精英重装工头（Steel Foreman）</v>
      </c>
      <c r="B11" s="31">
        <v>0</v>
      </c>
      <c r="C11" s="31">
        <v>0</v>
      </c>
      <c r="D11" s="31">
        <v>0</v>
      </c>
      <c r="E11" s="31">
        <v>0</v>
      </c>
      <c r="F11" s="107">
        <v>0</v>
      </c>
      <c r="G11" s="107">
        <v>0</v>
      </c>
      <c r="H11" s="107">
        <v>0</v>
      </c>
      <c r="I11" s="107">
        <v>0</v>
      </c>
      <c r="J11" s="31">
        <v>2</v>
      </c>
      <c r="K11" s="31">
        <v>2</v>
      </c>
      <c r="L11" s="106">
        <f>B11/SUM(B:B)</f>
      </c>
      <c r="M11" s="106">
        <f>C11/SUM(C:C)</f>
      </c>
      <c r="N11" s="106">
        <f>D11/SUM(D:D)</f>
      </c>
      <c r="O11" s="106">
        <f>E11/SUM(E:E)</f>
      </c>
      <c r="P11" s="106">
        <f>F11/SUM(F:F)</f>
      </c>
      <c r="Q11" s="106">
        <f>G11/SUM(G:G)</f>
      </c>
      <c r="R11" s="106">
        <f>H11/SUM(H:H)</f>
      </c>
      <c r="S11" s="106">
        <f>I11/SUM(I:I)</f>
      </c>
      <c r="T11" s="106">
        <f>J11/SUM(J:J)</f>
      </c>
      <c r="U11" s="106">
        <f>K11/SUM(K:K)</f>
      </c>
    </row>
    <row r="12"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>
      <c r="B162" s="31"/>
      <c r="C162" s="31"/>
      <c r="D162" s="31"/>
      <c r="E162" s="31"/>
      <c r="F162" s="31"/>
      <c r="G162" s="31"/>
      <c r="H162" s="31"/>
      <c r="I162" s="31"/>
      <c r="J162" s="31"/>
      <c r="K162" s="31"/>
    </row>
    <row r="163">
      <c r="B163" s="31"/>
      <c r="C163" s="31"/>
      <c r="D163" s="31"/>
      <c r="E163" s="31"/>
      <c r="F163" s="31"/>
      <c r="G163" s="31"/>
      <c r="H163" s="31"/>
      <c r="I163" s="31"/>
      <c r="J163" s="31"/>
      <c r="K163" s="31"/>
    </row>
    <row r="164">
      <c r="B164" s="31"/>
      <c r="C164" s="31"/>
      <c r="D164" s="31"/>
      <c r="E164" s="31"/>
      <c r="F164" s="31"/>
      <c r="G164" s="31"/>
      <c r="H164" s="31"/>
      <c r="I164" s="31"/>
      <c r="J164" s="31"/>
      <c r="K164" s="31"/>
    </row>
    <row r="165"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>
      <c r="B166" s="31"/>
      <c r="C166" s="31"/>
      <c r="D166" s="31"/>
      <c r="E166" s="31"/>
      <c r="F166" s="31"/>
      <c r="G166" s="31"/>
      <c r="H166" s="31"/>
      <c r="I166" s="31"/>
      <c r="J166" s="31"/>
      <c r="K166" s="31"/>
    </row>
    <row r="167">
      <c r="B167" s="31"/>
      <c r="C167" s="31"/>
      <c r="D167" s="31"/>
      <c r="E167" s="31"/>
      <c r="F167" s="31"/>
      <c r="G167" s="31"/>
      <c r="H167" s="31"/>
      <c r="I167" s="31"/>
      <c r="J167" s="31"/>
      <c r="K167" s="31"/>
    </row>
    <row r="168">
      <c r="B168" s="31"/>
      <c r="C168" s="31"/>
      <c r="D168" s="31"/>
      <c r="E168" s="31"/>
      <c r="F168" s="31"/>
      <c r="G168" s="31"/>
      <c r="H168" s="31"/>
      <c r="I168" s="31"/>
      <c r="J168" s="31"/>
      <c r="K168" s="31"/>
    </row>
    <row r="169">
      <c r="B169" s="31"/>
      <c r="C169" s="31"/>
      <c r="D169" s="31"/>
      <c r="E169" s="31"/>
      <c r="F169" s="31"/>
      <c r="G169" s="31"/>
      <c r="H169" s="31"/>
      <c r="I169" s="31"/>
      <c r="J169" s="31"/>
      <c r="K169" s="31"/>
    </row>
    <row r="170"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>
      <c r="B172" s="31"/>
      <c r="C172" s="31"/>
      <c r="D172" s="31"/>
      <c r="E172" s="31"/>
      <c r="F172" s="31"/>
      <c r="G172" s="31"/>
      <c r="H172" s="31"/>
      <c r="I172" s="31"/>
      <c r="J172" s="31"/>
      <c r="K172" s="31"/>
    </row>
    <row r="173">
      <c r="B173" s="31"/>
      <c r="C173" s="31"/>
      <c r="D173" s="31"/>
      <c r="E173" s="31"/>
      <c r="F173" s="31"/>
      <c r="G173" s="31"/>
      <c r="H173" s="31"/>
      <c r="I173" s="31"/>
      <c r="J173" s="31"/>
      <c r="K173" s="31"/>
    </row>
    <row r="174"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>
      <c r="B176" s="31"/>
      <c r="C176" s="31"/>
      <c r="D176" s="31"/>
      <c r="E176" s="31"/>
      <c r="F176" s="31"/>
      <c r="G176" s="31"/>
      <c r="H176" s="31"/>
      <c r="I176" s="31"/>
      <c r="J176" s="31"/>
      <c r="K176" s="31"/>
    </row>
    <row r="177">
      <c r="B177" s="31"/>
      <c r="C177" s="31"/>
      <c r="D177" s="31"/>
      <c r="E177" s="31"/>
      <c r="F177" s="31"/>
      <c r="G177" s="31"/>
      <c r="H177" s="31"/>
      <c r="I177" s="31"/>
      <c r="J177" s="31"/>
      <c r="K177" s="31"/>
    </row>
    <row r="178">
      <c r="B178" s="31"/>
      <c r="C178" s="31"/>
      <c r="D178" s="31"/>
      <c r="E178" s="31"/>
      <c r="F178" s="31"/>
      <c r="G178" s="31"/>
      <c r="H178" s="31"/>
      <c r="I178" s="31"/>
      <c r="J178" s="31"/>
      <c r="K178" s="31"/>
    </row>
    <row r="179">
      <c r="B179" s="31"/>
      <c r="C179" s="31"/>
      <c r="D179" s="31"/>
      <c r="E179" s="31"/>
      <c r="F179" s="31"/>
      <c r="G179" s="31"/>
      <c r="H179" s="31"/>
      <c r="I179" s="31"/>
      <c r="J179" s="31"/>
      <c r="K179" s="31"/>
    </row>
    <row r="180">
      <c r="B180" s="31"/>
      <c r="C180" s="31"/>
      <c r="D180" s="31"/>
      <c r="E180" s="31"/>
      <c r="F180" s="31"/>
      <c r="G180" s="31"/>
      <c r="H180" s="31"/>
      <c r="I180" s="31"/>
      <c r="J180" s="31"/>
      <c r="K180" s="31"/>
    </row>
    <row r="181">
      <c r="B181" s="31"/>
      <c r="C181" s="31"/>
      <c r="D181" s="31"/>
      <c r="E181" s="31"/>
      <c r="F181" s="31"/>
      <c r="G181" s="31"/>
      <c r="H181" s="31"/>
      <c r="I181" s="31"/>
      <c r="J181" s="31"/>
      <c r="K181" s="31"/>
    </row>
    <row r="182">
      <c r="B182" s="31"/>
      <c r="C182" s="31"/>
      <c r="D182" s="31"/>
      <c r="E182" s="31"/>
      <c r="F182" s="31"/>
      <c r="G182" s="31"/>
      <c r="H182" s="31"/>
      <c r="I182" s="31"/>
      <c r="J182" s="31"/>
      <c r="K182" s="31"/>
    </row>
    <row r="183">
      <c r="B183" s="31"/>
      <c r="C183" s="31"/>
      <c r="D183" s="31"/>
      <c r="E183" s="31"/>
      <c r="F183" s="31"/>
      <c r="G183" s="31"/>
      <c r="H183" s="31"/>
      <c r="I183" s="31"/>
      <c r="J183" s="31"/>
      <c r="K183" s="31"/>
    </row>
    <row r="184">
      <c r="B184" s="31"/>
      <c r="C184" s="31"/>
      <c r="D184" s="31"/>
      <c r="E184" s="31"/>
      <c r="F184" s="31"/>
      <c r="G184" s="31"/>
      <c r="H184" s="31"/>
      <c r="I184" s="31"/>
      <c r="J184" s="31"/>
      <c r="K184" s="31"/>
    </row>
    <row r="185">
      <c r="B185" s="31"/>
      <c r="C185" s="31"/>
      <c r="D185" s="31"/>
      <c r="E185" s="31"/>
      <c r="F185" s="31"/>
      <c r="G185" s="31"/>
      <c r="H185" s="31"/>
      <c r="I185" s="31"/>
      <c r="J185" s="31"/>
      <c r="K185" s="31"/>
    </row>
    <row r="186">
      <c r="B186" s="31"/>
      <c r="C186" s="31"/>
      <c r="D186" s="31"/>
      <c r="E186" s="31"/>
      <c r="F186" s="31"/>
      <c r="G186" s="31"/>
      <c r="H186" s="31"/>
      <c r="I186" s="31"/>
      <c r="J186" s="31"/>
      <c r="K186" s="31"/>
    </row>
    <row r="187">
      <c r="B187" s="31"/>
      <c r="C187" s="31"/>
      <c r="D187" s="31"/>
      <c r="E187" s="31"/>
      <c r="F187" s="31"/>
      <c r="G187" s="31"/>
      <c r="H187" s="31"/>
      <c r="I187" s="31"/>
      <c r="J187" s="31"/>
      <c r="K187" s="31"/>
    </row>
    <row r="188">
      <c r="B188" s="31"/>
      <c r="C188" s="31"/>
      <c r="D188" s="31"/>
      <c r="E188" s="31"/>
      <c r="F188" s="31"/>
      <c r="G188" s="31"/>
      <c r="H188" s="31"/>
      <c r="I188" s="31"/>
      <c r="J188" s="31"/>
      <c r="K188" s="31"/>
    </row>
    <row r="189">
      <c r="B189" s="31"/>
      <c r="C189" s="31"/>
      <c r="D189" s="31"/>
      <c r="E189" s="31"/>
      <c r="F189" s="31"/>
      <c r="G189" s="31"/>
      <c r="H189" s="31"/>
      <c r="I189" s="31"/>
      <c r="J189" s="31"/>
      <c r="K189" s="31"/>
    </row>
    <row r="190">
      <c r="B190" s="31"/>
      <c r="C190" s="31"/>
      <c r="D190" s="31"/>
      <c r="E190" s="31"/>
      <c r="F190" s="31"/>
      <c r="G190" s="31"/>
      <c r="H190" s="31"/>
      <c r="I190" s="31"/>
      <c r="J190" s="31"/>
      <c r="K190" s="31"/>
    </row>
    <row r="191">
      <c r="B191" s="31"/>
      <c r="C191" s="31"/>
      <c r="D191" s="31"/>
      <c r="E191" s="31"/>
      <c r="F191" s="31"/>
      <c r="G191" s="31"/>
      <c r="H191" s="31"/>
      <c r="I191" s="31"/>
      <c r="J191" s="31"/>
      <c r="K191" s="31"/>
    </row>
    <row r="192">
      <c r="B192" s="31"/>
      <c r="C192" s="31"/>
      <c r="D192" s="31"/>
      <c r="E192" s="31"/>
      <c r="F192" s="31"/>
      <c r="G192" s="31"/>
      <c r="H192" s="31"/>
      <c r="I192" s="31"/>
      <c r="J192" s="31"/>
      <c r="K192" s="31"/>
    </row>
    <row r="193">
      <c r="B193" s="31"/>
      <c r="C193" s="31"/>
      <c r="D193" s="31"/>
      <c r="E193" s="31"/>
      <c r="F193" s="31"/>
      <c r="G193" s="31"/>
      <c r="H193" s="31"/>
      <c r="I193" s="31"/>
      <c r="J193" s="31"/>
      <c r="K193" s="31"/>
    </row>
    <row r="194">
      <c r="B194" s="31"/>
      <c r="C194" s="31"/>
      <c r="D194" s="31"/>
      <c r="E194" s="31"/>
      <c r="F194" s="31"/>
      <c r="G194" s="31"/>
      <c r="H194" s="31"/>
      <c r="I194" s="31"/>
      <c r="J194" s="31"/>
      <c r="K194" s="31"/>
    </row>
    <row r="195">
      <c r="B195" s="31"/>
      <c r="C195" s="31"/>
      <c r="D195" s="31"/>
      <c r="E195" s="31"/>
      <c r="F195" s="31"/>
      <c r="G195" s="31"/>
      <c r="H195" s="31"/>
      <c r="I195" s="31"/>
      <c r="J195" s="31"/>
      <c r="K195" s="31"/>
    </row>
    <row r="196">
      <c r="B196" s="31"/>
      <c r="C196" s="31"/>
      <c r="D196" s="31"/>
      <c r="E196" s="31"/>
      <c r="F196" s="31"/>
      <c r="G196" s="31"/>
      <c r="H196" s="31"/>
      <c r="I196" s="31"/>
      <c r="J196" s="31"/>
      <c r="K196" s="31"/>
    </row>
    <row r="197"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>
      <c r="B198" s="31"/>
      <c r="C198" s="31"/>
      <c r="D198" s="31"/>
      <c r="E198" s="31"/>
      <c r="F198" s="31"/>
      <c r="G198" s="31"/>
      <c r="H198" s="31"/>
      <c r="I198" s="31"/>
      <c r="J198" s="31"/>
      <c r="K198" s="31"/>
    </row>
    <row r="199">
      <c r="B199" s="31"/>
      <c r="C199" s="31"/>
      <c r="D199" s="31"/>
      <c r="E199" s="31"/>
      <c r="F199" s="31"/>
      <c r="G199" s="31"/>
      <c r="H199" s="31"/>
      <c r="I199" s="31"/>
      <c r="J199" s="31"/>
      <c r="K199" s="31"/>
    </row>
    <row r="200">
      <c r="B200" s="31"/>
      <c r="C200" s="31"/>
      <c r="D200" s="31"/>
      <c r="E200" s="31"/>
      <c r="F200" s="31"/>
      <c r="G200" s="31"/>
      <c r="H200" s="31"/>
      <c r="I200" s="31"/>
      <c r="J200" s="31"/>
      <c r="K200" s="31"/>
    </row>
  </sheetData>
  <conditionalFormatting sqref="B2:K11">
    <cfRule dxfId="4" operator="equal" priority="2" stopIfTrue="true" type="cellIs">
      <formula>0</formula>
    </cfRule>
  </conditionalFormatting>
  <conditionalFormatting sqref="L2:U11">
    <cfRule priority="3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DropDown="true" showErrorMessage="true" xr:uid="{9157CBA6-3C5B-4885-B9AE-5B27688836EE}">
          <x14:formula1>
            <xm:f>'敌人属性'!$B$4:$B$100</xm:f>
          </x14:formula1>
          <xm:sqref>A2:A200</xm:sqref>
        </x14:dataValidation>
      </x14:dataValidations>
    </ext>
  </extLst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5"/>
    <col collapsed="false" customWidth="true" hidden="false" max="3" min="3" style="0" width="8"/>
    <col collapsed="false" customWidth="true" hidden="false" max="4" min="4" style="0" width="8"/>
    <col collapsed="false" customWidth="true" hidden="false" max="5" min="5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</cols>
  <sheetData>
    <row r="1">
      <c r="A1" s="151" t="str">
        <v>节点</v>
      </c>
      <c r="B1" s="151" t="str">
        <v>Loop</v>
      </c>
      <c r="C1" s="151" t="str">
        <v>到达关卡</v>
      </c>
      <c r="D1" s="151" t="str">
        <v>经过关卡</v>
      </c>
      <c r="E1" s="152" t="str">
        <v>每关耗时(倒推)</v>
      </c>
      <c r="F1" s="154" t="str">
        <v>持续时长(设计)</v>
      </c>
      <c r="G1" s="152" t="str">
        <v>每关耗时(设计)</v>
      </c>
      <c r="H1" s="153" t="str">
        <v>持续时长(倒推)</v>
      </c>
      <c r="I1" s="151" t="str">
        <v>Boss耗时</v>
      </c>
    </row>
    <row r="2">
      <c r="A2" s="3"/>
      <c r="B2" s="108">
        <v>1</v>
      </c>
      <c r="C2" s="108">
        <v>2</v>
      </c>
      <c r="D2" s="108">
        <v>2</v>
      </c>
      <c r="E2" s="109">
        <f>F2/C2</f>
      </c>
      <c r="F2" s="110">
        <v>5</v>
      </c>
      <c r="G2" s="109">
        <v>3</v>
      </c>
      <c r="H2" s="111">
        <f>C2*G2</f>
      </c>
      <c r="I2" s="112"/>
    </row>
    <row r="3">
      <c r="A3" s="3"/>
      <c r="B3" s="108">
        <v>2</v>
      </c>
      <c r="C3" s="108">
        <v>4</v>
      </c>
      <c r="D3" s="108">
        <v>6</v>
      </c>
      <c r="E3" s="109">
        <f>F3/C3</f>
      </c>
      <c r="F3" s="146">
        <v>5.97</v>
      </c>
      <c r="G3" s="109">
        <f>G2-1.5/39</f>
      </c>
      <c r="H3" s="111">
        <f>C3*G3</f>
      </c>
      <c r="I3" s="112"/>
    </row>
    <row r="4">
      <c r="A4" s="3"/>
      <c r="B4" s="108">
        <v>3</v>
      </c>
      <c r="C4" s="108">
        <v>6</v>
      </c>
      <c r="D4" s="108">
        <v>11</v>
      </c>
      <c r="E4" s="109">
        <f>F4/C4</f>
      </c>
      <c r="F4" s="146">
        <v>6.17</v>
      </c>
      <c r="G4" s="109">
        <f>G3-1.5/39</f>
      </c>
      <c r="H4" s="111">
        <f>C4*G4</f>
      </c>
      <c r="I4" s="112"/>
    </row>
    <row r="5">
      <c r="A5" s="3"/>
      <c r="B5" s="108">
        <v>4</v>
      </c>
      <c r="C5" s="108">
        <v>7</v>
      </c>
      <c r="D5" s="108">
        <v>18</v>
      </c>
      <c r="E5" s="109">
        <f>F5/C5</f>
      </c>
      <c r="F5" s="146">
        <v>6.42</v>
      </c>
      <c r="G5" s="109">
        <f>G4-1.5/39</f>
      </c>
      <c r="H5" s="111">
        <f>C5*G5</f>
      </c>
      <c r="I5" s="112"/>
    </row>
    <row r="6">
      <c r="A6" s="3"/>
      <c r="B6" s="108">
        <v>5</v>
      </c>
      <c r="C6" s="108">
        <v>8</v>
      </c>
      <c r="D6" s="108">
        <v>25</v>
      </c>
      <c r="E6" s="109">
        <f>F6/C6</f>
      </c>
      <c r="F6" s="146">
        <v>6.72</v>
      </c>
      <c r="G6" s="109">
        <f>G5-1.5/39</f>
      </c>
      <c r="H6" s="111">
        <f>C6*G6</f>
      </c>
      <c r="I6" s="112"/>
    </row>
    <row r="7">
      <c r="A7" s="3"/>
      <c r="B7" s="108">
        <v>6</v>
      </c>
      <c r="C7" s="108">
        <v>8</v>
      </c>
      <c r="D7" s="108">
        <v>32</v>
      </c>
      <c r="E7" s="109">
        <f>F7/C7</f>
      </c>
      <c r="F7" s="146">
        <v>7.09</v>
      </c>
      <c r="G7" s="109">
        <f>G6-1.5/39</f>
      </c>
      <c r="H7" s="111">
        <f>C7*G7</f>
      </c>
      <c r="I7" s="112"/>
    </row>
    <row r="8">
      <c r="A8" s="3"/>
      <c r="B8" s="108">
        <v>7</v>
      </c>
      <c r="C8" s="108">
        <v>8</v>
      </c>
      <c r="D8" s="108">
        <v>39</v>
      </c>
      <c r="E8" s="109">
        <f>F8/C8</f>
      </c>
      <c r="F8" s="146">
        <v>7.52</v>
      </c>
      <c r="G8" s="109">
        <f>G7-1.5/39</f>
      </c>
      <c r="H8" s="111">
        <f>C8*G8</f>
      </c>
      <c r="I8" s="112"/>
    </row>
    <row r="9">
      <c r="A9" s="3" t="str">
        <v>Boss-1：浩</v>
      </c>
      <c r="B9" s="108">
        <v>8</v>
      </c>
      <c r="C9" s="108">
        <v>9</v>
      </c>
      <c r="D9" s="108">
        <v>46</v>
      </c>
      <c r="E9" s="109">
        <f>F9/C9</f>
      </c>
      <c r="F9" s="128">
        <f>8.03</f>
      </c>
      <c r="G9" s="109">
        <f>(G8-1.5/39)</f>
      </c>
      <c r="H9" s="111">
        <f>C9*G9</f>
      </c>
      <c r="I9" s="112">
        <f>G9*1.25</f>
      </c>
    </row>
    <row r="10">
      <c r="A10" s="3"/>
      <c r="B10" s="119">
        <v>9</v>
      </c>
      <c r="C10" s="119">
        <v>10</v>
      </c>
      <c r="D10" s="119">
        <v>55</v>
      </c>
      <c r="E10" s="120">
        <f>F10/C10</f>
      </c>
      <c r="F10" s="121">
        <v>8.64</v>
      </c>
      <c r="G10" s="120">
        <f>G9-1.5/39</f>
      </c>
      <c r="H10" s="122">
        <f>C10*G10</f>
      </c>
      <c r="I10" s="118"/>
    </row>
    <row r="11">
      <c r="A11" s="3"/>
      <c r="B11" s="119">
        <v>10</v>
      </c>
      <c r="C11" s="119">
        <v>11</v>
      </c>
      <c r="D11" s="119">
        <v>66</v>
      </c>
      <c r="E11" s="120">
        <f>F11/C11</f>
      </c>
      <c r="F11" s="121">
        <v>9.36</v>
      </c>
      <c r="G11" s="120">
        <f>G10-1.5/39</f>
      </c>
      <c r="H11" s="122">
        <f>C11*G11</f>
      </c>
      <c r="I11" s="118"/>
    </row>
    <row r="12">
      <c r="A12" s="3"/>
      <c r="B12" s="119">
        <v>11</v>
      </c>
      <c r="C12" s="119">
        <v>13</v>
      </c>
      <c r="D12" s="119">
        <v>79</v>
      </c>
      <c r="E12" s="120">
        <f>F12/C12</f>
      </c>
      <c r="F12" s="121">
        <v>10.2</v>
      </c>
      <c r="G12" s="120">
        <f>G11-1.5/39</f>
      </c>
      <c r="H12" s="122">
        <f>C12*G12</f>
      </c>
      <c r="I12" s="118"/>
    </row>
    <row r="13">
      <c r="A13" s="3"/>
      <c r="B13" s="119">
        <v>12</v>
      </c>
      <c r="C13" s="119">
        <v>15</v>
      </c>
      <c r="D13" s="119">
        <v>94</v>
      </c>
      <c r="E13" s="120">
        <f>F13/C13</f>
      </c>
      <c r="F13" s="121">
        <v>11.18</v>
      </c>
      <c r="G13" s="120">
        <f>G12-1.5/39</f>
      </c>
      <c r="H13" s="122">
        <f>C13*G13</f>
      </c>
      <c r="I13" s="118"/>
    </row>
    <row r="14">
      <c r="A14" s="3"/>
      <c r="B14" s="119">
        <v>13</v>
      </c>
      <c r="C14" s="119">
        <v>16</v>
      </c>
      <c r="D14" s="119">
        <v>109</v>
      </c>
      <c r="E14" s="120">
        <f>F14/C14</f>
      </c>
      <c r="F14" s="121">
        <v>12.3</v>
      </c>
      <c r="G14" s="120">
        <f>G13-1.5/39</f>
      </c>
      <c r="H14" s="122">
        <f>C14*G14</f>
      </c>
      <c r="I14" s="118"/>
    </row>
    <row r="15">
      <c r="A15" s="3"/>
      <c r="B15" s="119">
        <v>14</v>
      </c>
      <c r="C15" s="119">
        <v>16</v>
      </c>
      <c r="D15" s="119">
        <v>124</v>
      </c>
      <c r="E15" s="120">
        <f>F15/C15</f>
      </c>
      <c r="F15" s="121">
        <v>13.57</v>
      </c>
      <c r="G15" s="120">
        <f>G14-1.5/39</f>
      </c>
      <c r="H15" s="122">
        <f>C15*G15</f>
      </c>
      <c r="I15" s="118"/>
    </row>
    <row r="16">
      <c r="A16" s="3"/>
      <c r="B16" s="119">
        <v>15</v>
      </c>
      <c r="C16" s="119">
        <v>16</v>
      </c>
      <c r="D16" s="119">
        <v>139</v>
      </c>
      <c r="E16" s="120">
        <f>F16/C16</f>
      </c>
      <c r="F16" s="121">
        <v>14.99</v>
      </c>
      <c r="G16" s="120">
        <f>G15-1.5/39</f>
      </c>
      <c r="H16" s="122">
        <f>C16*G16</f>
      </c>
      <c r="I16" s="118"/>
    </row>
    <row r="17">
      <c r="A17" s="3" t="str">
        <v>Boss-2：Yacco</v>
      </c>
      <c r="B17" s="119">
        <v>16</v>
      </c>
      <c r="C17" s="119">
        <v>16</v>
      </c>
      <c r="D17" s="119">
        <v>154</v>
      </c>
      <c r="E17" s="120">
        <f>F17/C17</f>
      </c>
      <c r="F17" s="121">
        <v>16.56</v>
      </c>
      <c r="G17" s="120">
        <f>(G16-1.5/39)</f>
      </c>
      <c r="H17" s="122">
        <f>C17*G17</f>
      </c>
      <c r="I17" s="118">
        <f>G17*2</f>
      </c>
    </row>
    <row r="18">
      <c r="A18" s="3"/>
      <c r="B18" s="131">
        <v>17</v>
      </c>
      <c r="C18" s="131">
        <v>17</v>
      </c>
      <c r="D18" s="131">
        <v>171</v>
      </c>
      <c r="E18" s="132">
        <f>F18/C18</f>
      </c>
      <c r="F18" s="129">
        <v>18.27</v>
      </c>
      <c r="G18" s="132">
        <f>G17-1.5/39</f>
      </c>
      <c r="H18" s="130">
        <f>C18*G18</f>
      </c>
      <c r="I18" s="133"/>
    </row>
    <row r="19">
      <c r="A19" s="3"/>
      <c r="B19" s="131">
        <v>18</v>
      </c>
      <c r="C19" s="131">
        <v>19</v>
      </c>
      <c r="D19" s="131">
        <v>189</v>
      </c>
      <c r="E19" s="132">
        <f>F19/C19</f>
      </c>
      <c r="F19" s="129">
        <v>20.1</v>
      </c>
      <c r="G19" s="132">
        <f>G18-1.5/39</f>
      </c>
      <c r="H19" s="130">
        <f>C19*G19</f>
      </c>
      <c r="I19" s="133"/>
    </row>
    <row r="20">
      <c r="A20" s="3"/>
      <c r="B20" s="131">
        <v>19</v>
      </c>
      <c r="C20" s="131">
        <v>21</v>
      </c>
      <c r="D20" s="131">
        <v>208</v>
      </c>
      <c r="E20" s="132">
        <f>F20/C20</f>
      </c>
      <c r="F20" s="129">
        <v>22.02</v>
      </c>
      <c r="G20" s="132">
        <f>G19-1.5/39</f>
      </c>
      <c r="H20" s="130">
        <f>C20*G20</f>
      </c>
      <c r="I20" s="133"/>
    </row>
    <row r="21">
      <c r="A21" s="3"/>
      <c r="B21" s="131">
        <v>20</v>
      </c>
      <c r="C21" s="131">
        <v>23</v>
      </c>
      <c r="D21" s="131">
        <v>228</v>
      </c>
      <c r="E21" s="132">
        <f>F21/C21</f>
      </c>
      <c r="F21" s="129">
        <v>24</v>
      </c>
      <c r="G21" s="132">
        <f>G20-1.5/39</f>
      </c>
      <c r="H21" s="130">
        <f>C21*G21</f>
      </c>
      <c r="I21" s="133"/>
    </row>
    <row r="22">
      <c r="A22" s="3"/>
      <c r="B22" s="131">
        <v>21</v>
      </c>
      <c r="C22" s="131">
        <v>25</v>
      </c>
      <c r="D22" s="131">
        <v>249</v>
      </c>
      <c r="E22" s="132">
        <f>F22/C22</f>
      </c>
      <c r="F22" s="129">
        <v>26</v>
      </c>
      <c r="G22" s="132">
        <f>G21-1.5/39</f>
      </c>
      <c r="H22" s="130">
        <f>C22*G22</f>
      </c>
      <c r="I22" s="133"/>
    </row>
    <row r="23">
      <c r="A23" s="3"/>
      <c r="B23" s="131">
        <v>22</v>
      </c>
      <c r="C23" s="131">
        <v>25</v>
      </c>
      <c r="D23" s="131">
        <v>271</v>
      </c>
      <c r="E23" s="132">
        <f>F23/C23</f>
      </c>
      <c r="F23" s="129">
        <v>27.98</v>
      </c>
      <c r="G23" s="132">
        <f>G22-1.5/39</f>
      </c>
      <c r="H23" s="130">
        <f>C23*G23</f>
      </c>
      <c r="I23" s="133"/>
    </row>
    <row r="24">
      <c r="A24" s="3"/>
      <c r="B24" s="131">
        <v>23</v>
      </c>
      <c r="C24" s="131">
        <v>26</v>
      </c>
      <c r="D24" s="131">
        <v>293</v>
      </c>
      <c r="E24" s="132">
        <f>F24/C24</f>
      </c>
      <c r="F24" s="129">
        <v>29.9</v>
      </c>
      <c r="G24" s="132">
        <f>G23-1.5/39</f>
      </c>
      <c r="H24" s="130">
        <f>C24*G24</f>
      </c>
      <c r="I24" s="133"/>
    </row>
    <row r="25">
      <c r="A25" s="3" t="str">
        <v>Boss-3：保姆</v>
      </c>
      <c r="B25" s="131">
        <v>24</v>
      </c>
      <c r="C25" s="131">
        <v>26</v>
      </c>
      <c r="D25" s="131">
        <v>315</v>
      </c>
      <c r="E25" s="132">
        <f>F25/C25</f>
      </c>
      <c r="F25" s="129">
        <v>31.73</v>
      </c>
      <c r="G25" s="132">
        <f>(G24-1.5/39)</f>
      </c>
      <c r="H25" s="130">
        <f>C25*G25</f>
      </c>
      <c r="I25" s="133">
        <f>G25*2.75</f>
      </c>
    </row>
    <row r="26">
      <c r="A26" s="3"/>
      <c r="B26" s="134">
        <v>25</v>
      </c>
      <c r="C26" s="134">
        <v>26</v>
      </c>
      <c r="D26" s="134">
        <v>337</v>
      </c>
      <c r="E26" s="135">
        <f>F26/C26</f>
      </c>
      <c r="F26" s="137">
        <v>33.44</v>
      </c>
      <c r="G26" s="135">
        <f>G25-1.5/39</f>
      </c>
      <c r="H26" s="138">
        <f>C26*G26</f>
      </c>
      <c r="I26" s="136"/>
    </row>
    <row r="27">
      <c r="B27" s="134">
        <v>26</v>
      </c>
      <c r="C27" s="134">
        <v>26</v>
      </c>
      <c r="D27" s="134">
        <v>359</v>
      </c>
      <c r="E27" s="135">
        <f>F27/C27</f>
      </c>
      <c r="F27" s="137">
        <v>35.01</v>
      </c>
      <c r="G27" s="135">
        <f>G26-1.5/39</f>
      </c>
      <c r="H27" s="138">
        <f>C27*G27</f>
      </c>
      <c r="I27" s="136"/>
    </row>
    <row r="28">
      <c r="A28" s="3"/>
      <c r="B28" s="134">
        <v>27</v>
      </c>
      <c r="C28" s="134">
        <v>27</v>
      </c>
      <c r="D28" s="134">
        <v>383</v>
      </c>
      <c r="E28" s="135">
        <f>F28/C28</f>
      </c>
      <c r="F28" s="137">
        <v>36.43</v>
      </c>
      <c r="G28" s="135">
        <f>G27-1.5/39</f>
      </c>
      <c r="H28" s="138">
        <f>C28*G28</f>
      </c>
      <c r="I28" s="136"/>
    </row>
    <row r="29">
      <c r="A29" s="3"/>
      <c r="B29" s="134">
        <v>28</v>
      </c>
      <c r="C29" s="134">
        <v>28</v>
      </c>
      <c r="D29" s="134">
        <v>409</v>
      </c>
      <c r="E29" s="135">
        <f>F29/C29</f>
      </c>
      <c r="F29" s="137">
        <v>37.7</v>
      </c>
      <c r="G29" s="135">
        <f>G28-1.5/39</f>
      </c>
      <c r="H29" s="138">
        <f>C29*G29</f>
      </c>
      <c r="I29" s="136"/>
    </row>
    <row r="30">
      <c r="A30" s="3"/>
      <c r="B30" s="134">
        <v>29</v>
      </c>
      <c r="C30" s="134">
        <v>30</v>
      </c>
      <c r="D30" s="134">
        <v>437</v>
      </c>
      <c r="E30" s="135">
        <f>F30/C30</f>
      </c>
      <c r="F30" s="137">
        <v>38.82</v>
      </c>
      <c r="G30" s="135">
        <f>G29-1.5/39</f>
      </c>
      <c r="H30" s="138">
        <f>C30*G30</f>
      </c>
      <c r="I30" s="136"/>
    </row>
    <row r="31">
      <c r="A31" s="3" t="str">
        <v>Boss-4：支柱</v>
      </c>
      <c r="B31" s="134">
        <v>30</v>
      </c>
      <c r="C31" s="134">
        <v>32</v>
      </c>
      <c r="D31" s="134">
        <v>467</v>
      </c>
      <c r="E31" s="135">
        <f>F31/C31</f>
      </c>
      <c r="F31" s="137">
        <v>39.8</v>
      </c>
      <c r="G31" s="135">
        <f>G30-1.5/39</f>
      </c>
      <c r="H31" s="138">
        <f>C31*G31</f>
      </c>
      <c r="I31" s="136">
        <f>G31*3.5</f>
      </c>
    </row>
    <row r="32">
      <c r="B32" s="141">
        <v>31</v>
      </c>
      <c r="C32" s="141">
        <v>34</v>
      </c>
      <c r="D32" s="141">
        <v>499</v>
      </c>
      <c r="E32" s="142">
        <f>F32/C32</f>
      </c>
      <c r="F32" s="144">
        <v>40.64</v>
      </c>
      <c r="G32" s="142">
        <f>G31-1.5/39</f>
      </c>
      <c r="H32" s="145">
        <f>C32*G32</f>
      </c>
      <c r="I32" s="143"/>
    </row>
    <row r="33">
      <c r="B33" s="141">
        <v>32</v>
      </c>
      <c r="C33" s="141">
        <v>35</v>
      </c>
      <c r="D33" s="141">
        <v>533</v>
      </c>
      <c r="E33" s="142">
        <f>F33/C33</f>
      </c>
      <c r="F33" s="144">
        <v>41.36</v>
      </c>
      <c r="G33" s="142">
        <f>G32-1.5/39</f>
      </c>
      <c r="H33" s="145">
        <f>C33*G33</f>
      </c>
      <c r="I33" s="143"/>
    </row>
    <row r="34">
      <c r="A34" s="3"/>
      <c r="B34" s="141">
        <v>33</v>
      </c>
      <c r="C34" s="141">
        <v>36</v>
      </c>
      <c r="D34" s="141">
        <v>569</v>
      </c>
      <c r="E34" s="142">
        <f>F34/C34</f>
      </c>
      <c r="F34" s="144">
        <v>41.97</v>
      </c>
      <c r="G34" s="142">
        <f>G33-1.5/39</f>
      </c>
      <c r="H34" s="145">
        <f>C34*G34</f>
      </c>
      <c r="I34" s="143"/>
    </row>
    <row r="35">
      <c r="B35" s="141">
        <v>34</v>
      </c>
      <c r="C35" s="141">
        <v>36</v>
      </c>
      <c r="D35" s="141">
        <v>605</v>
      </c>
      <c r="E35" s="142">
        <f>F35/C35</f>
      </c>
      <c r="F35" s="144">
        <v>42.48</v>
      </c>
      <c r="G35" s="142">
        <f>G34-1.5/39</f>
      </c>
      <c r="H35" s="145">
        <f>C35*G35</f>
      </c>
      <c r="I35" s="143"/>
    </row>
    <row r="36">
      <c r="B36" s="141">
        <v>35</v>
      </c>
      <c r="C36" s="141">
        <v>36</v>
      </c>
      <c r="D36" s="141">
        <v>641</v>
      </c>
      <c r="E36" s="142">
        <f>F36/C36</f>
      </c>
      <c r="F36" s="144">
        <v>42.91</v>
      </c>
      <c r="G36" s="142">
        <f>G35-1.5/39</f>
      </c>
      <c r="H36" s="145">
        <f>C36*G36</f>
      </c>
      <c r="I36" s="143"/>
    </row>
    <row r="37">
      <c r="A37" s="3" t="str">
        <v>Boss-5：集身</v>
      </c>
      <c r="B37" s="141">
        <v>36</v>
      </c>
      <c r="C37" s="141">
        <v>36</v>
      </c>
      <c r="D37" s="141">
        <v>677</v>
      </c>
      <c r="E37" s="142">
        <f>F37/C37</f>
      </c>
      <c r="F37" s="144">
        <v>43.5</v>
      </c>
      <c r="G37" s="142">
        <f>G36-1.5/39</f>
      </c>
      <c r="H37" s="145">
        <f>C37*G37</f>
      </c>
      <c r="I37" s="143">
        <f>G37*4.25</f>
      </c>
    </row>
    <row r="38">
      <c r="B38" s="123">
        <v>37</v>
      </c>
      <c r="C38" s="123">
        <v>36</v>
      </c>
      <c r="D38" s="123">
        <v>713</v>
      </c>
      <c r="E38" s="126">
        <f>F38/C38</f>
      </c>
      <c r="F38" s="124">
        <v>44</v>
      </c>
      <c r="G38" s="126">
        <f>G37-1.5/39</f>
      </c>
      <c r="H38" s="125">
        <f>C38*G38</f>
      </c>
      <c r="I38" s="127"/>
    </row>
    <row r="39">
      <c r="A39" s="3"/>
      <c r="B39" s="123">
        <v>38</v>
      </c>
      <c r="C39" s="123">
        <v>36</v>
      </c>
      <c r="D39" s="123">
        <v>749</v>
      </c>
      <c r="E39" s="126">
        <f>F39/C39</f>
      </c>
      <c r="F39" s="124">
        <v>44.5</v>
      </c>
      <c r="G39" s="126">
        <f>G38-1.5/39</f>
      </c>
      <c r="H39" s="125">
        <f>C39*G39</f>
      </c>
      <c r="I39" s="127"/>
    </row>
    <row r="40">
      <c r="A40" s="3"/>
      <c r="B40" s="123">
        <v>39</v>
      </c>
      <c r="C40" s="123">
        <v>36</v>
      </c>
      <c r="D40" s="123">
        <v>785</v>
      </c>
      <c r="E40" s="126">
        <f>F40/C40</f>
      </c>
      <c r="F40" s="124">
        <v>44.7</v>
      </c>
      <c r="G40" s="126">
        <f>G39-1.5/39</f>
      </c>
      <c r="H40" s="125">
        <f>C40*G40</f>
      </c>
      <c r="I40" s="127"/>
    </row>
    <row r="41">
      <c r="A41" s="3" t="str">
        <v>首次通关；Boss-6：尔</v>
      </c>
      <c r="B41" s="123">
        <v>40</v>
      </c>
      <c r="C41" s="123">
        <v>36</v>
      </c>
      <c r="D41" s="123">
        <v>821</v>
      </c>
      <c r="E41" s="126">
        <f>F41/C41</f>
      </c>
      <c r="F41" s="124">
        <v>45</v>
      </c>
      <c r="G41" s="126">
        <f>G40-1.5/39</f>
      </c>
      <c r="H41" s="125">
        <f>C41*G41</f>
      </c>
      <c r="I41" s="127">
        <f>G41*5</f>
      </c>
    </row>
    <row r="42">
      <c r="A42" s="3"/>
      <c r="B42" s="107">
        <v>41</v>
      </c>
      <c r="C42" s="107">
        <v>36</v>
      </c>
      <c r="D42" s="107">
        <v>857</v>
      </c>
      <c r="E42" s="114">
        <f>F42/C42</f>
      </c>
      <c r="F42" s="107">
        <v>44.8</v>
      </c>
      <c r="G42" s="114">
        <f>G41-0.25/10</f>
      </c>
      <c r="H42" s="113">
        <f>C42*G42</f>
      </c>
      <c r="I42" s="115"/>
    </row>
    <row r="43">
      <c r="A43" s="3"/>
      <c r="B43" s="107">
        <v>42</v>
      </c>
      <c r="C43" s="107">
        <v>36</v>
      </c>
      <c r="D43" s="107">
        <v>893</v>
      </c>
      <c r="E43" s="114">
        <f>F43/C43</f>
      </c>
      <c r="F43" s="107">
        <v>44.4</v>
      </c>
      <c r="G43" s="114">
        <f>G42-0.25/10</f>
      </c>
      <c r="H43" s="113">
        <f>C43*G43</f>
      </c>
      <c r="I43" s="115"/>
    </row>
    <row r="44">
      <c r="A44" s="3"/>
      <c r="B44" s="107">
        <v>43</v>
      </c>
      <c r="C44" s="107">
        <v>36</v>
      </c>
      <c r="D44" s="107">
        <v>929</v>
      </c>
      <c r="E44" s="114">
        <f>F44/C44</f>
      </c>
      <c r="F44" s="107">
        <v>43.8</v>
      </c>
      <c r="G44" s="114">
        <f>G43-0.25/10</f>
      </c>
      <c r="H44" s="113">
        <f>C44*G44</f>
      </c>
      <c r="I44" s="115"/>
    </row>
    <row r="45">
      <c r="A45" s="3"/>
      <c r="B45" s="107">
        <v>44</v>
      </c>
      <c r="C45" s="107">
        <v>36</v>
      </c>
      <c r="D45" s="107">
        <v>965</v>
      </c>
      <c r="E45" s="114">
        <f>F45/C45</f>
      </c>
      <c r="F45" s="107">
        <v>43</v>
      </c>
      <c r="G45" s="114">
        <f>G44-0.25/10</f>
      </c>
      <c r="H45" s="113">
        <f>C45*G45</f>
      </c>
      <c r="I45" s="115"/>
    </row>
    <row r="46">
      <c r="A46" s="3"/>
      <c r="B46" s="107">
        <v>45</v>
      </c>
      <c r="C46" s="107">
        <v>36</v>
      </c>
      <c r="D46" s="107">
        <v>1001</v>
      </c>
      <c r="E46" s="114">
        <f>F46/C46</f>
      </c>
      <c r="F46" s="107">
        <v>42</v>
      </c>
      <c r="G46" s="114">
        <f>G45-0.25/10</f>
      </c>
      <c r="H46" s="113">
        <f>C46*G46</f>
      </c>
      <c r="I46" s="115"/>
    </row>
    <row r="47">
      <c r="A47" s="3"/>
      <c r="B47" s="107">
        <v>46</v>
      </c>
      <c r="C47" s="107">
        <v>36</v>
      </c>
      <c r="D47" s="107">
        <v>1037</v>
      </c>
      <c r="E47" s="114">
        <f>F47/C47</f>
      </c>
      <c r="F47" s="107">
        <v>40.8</v>
      </c>
      <c r="G47" s="114">
        <f>G46-0.25/10</f>
      </c>
      <c r="H47" s="113">
        <f>C47*G47</f>
      </c>
      <c r="I47" s="115"/>
    </row>
    <row r="48">
      <c r="A48" s="3"/>
      <c r="B48" s="107">
        <v>47</v>
      </c>
      <c r="C48" s="107">
        <v>36</v>
      </c>
      <c r="D48" s="107">
        <v>1073</v>
      </c>
      <c r="E48" s="114">
        <f>F48/C48</f>
      </c>
      <c r="F48" s="107">
        <v>39.4</v>
      </c>
      <c r="G48" s="114">
        <f>G47-0.25/10</f>
      </c>
      <c r="H48" s="113">
        <f>C48*G48</f>
      </c>
      <c r="I48" s="115"/>
    </row>
    <row r="49">
      <c r="A49" s="3"/>
      <c r="B49" s="107">
        <v>48</v>
      </c>
      <c r="C49" s="107">
        <v>36</v>
      </c>
      <c r="D49" s="107">
        <v>1109</v>
      </c>
      <c r="E49" s="114">
        <f>F49/C49</f>
      </c>
      <c r="F49" s="107">
        <v>37.8</v>
      </c>
      <c r="G49" s="114">
        <f>G48-0.25/10</f>
      </c>
      <c r="H49" s="113">
        <f>C49*G49</f>
      </c>
      <c r="I49" s="115"/>
    </row>
    <row r="50">
      <c r="A50" s="3"/>
      <c r="B50" s="107">
        <v>49</v>
      </c>
      <c r="C50" s="107">
        <v>36</v>
      </c>
      <c r="D50" s="107">
        <v>1145</v>
      </c>
      <c r="E50" s="114">
        <f>F50/C50</f>
      </c>
      <c r="F50" s="107">
        <v>36</v>
      </c>
      <c r="G50" s="114">
        <f>G49-0.25/10</f>
      </c>
      <c r="H50" s="113">
        <f>C50*G50</f>
      </c>
      <c r="I50" s="115"/>
    </row>
    <row r="51">
      <c r="A51" s="3"/>
      <c r="B51" s="107">
        <v>50</v>
      </c>
      <c r="C51" s="107">
        <v>36</v>
      </c>
      <c r="D51" s="107">
        <v>1181</v>
      </c>
      <c r="E51" s="114">
        <f>F51/C51</f>
      </c>
      <c r="F51" s="107">
        <v>34</v>
      </c>
      <c r="G51" s="114">
        <f>G50-0.25/10</f>
      </c>
      <c r="H51" s="113">
        <f>C51*G51</f>
      </c>
      <c r="I51" s="115"/>
    </row>
    <row r="52">
      <c r="A52" s="3"/>
      <c r="B52" s="107">
        <v>51</v>
      </c>
      <c r="C52" s="107">
        <v>36</v>
      </c>
      <c r="D52" s="107">
        <v>1217</v>
      </c>
      <c r="E52" s="114">
        <f>F52/C52</f>
      </c>
      <c r="F52" s="107">
        <v>32.2</v>
      </c>
      <c r="G52" s="114">
        <f>G51-0.25/10</f>
      </c>
      <c r="H52" s="113">
        <f>C52*G52</f>
      </c>
      <c r="I52" s="115"/>
    </row>
    <row r="53">
      <c r="A53" s="3"/>
      <c r="B53" s="107">
        <v>52</v>
      </c>
      <c r="C53" s="107">
        <v>36</v>
      </c>
      <c r="D53" s="107">
        <v>1253</v>
      </c>
      <c r="E53" s="114">
        <f>F53/C53</f>
      </c>
      <c r="F53" s="107">
        <v>30.6</v>
      </c>
      <c r="G53" s="114">
        <f>G52-0.25/10</f>
      </c>
      <c r="H53" s="113">
        <f>C53*G53</f>
      </c>
      <c r="I53" s="115"/>
    </row>
    <row r="54">
      <c r="A54" s="3"/>
      <c r="B54" s="107">
        <v>53</v>
      </c>
      <c r="C54" s="107">
        <v>36</v>
      </c>
      <c r="D54" s="107">
        <v>1289</v>
      </c>
      <c r="E54" s="114">
        <f>F54/C54</f>
      </c>
      <c r="F54" s="107">
        <v>29.2</v>
      </c>
      <c r="G54" s="114">
        <f>G53-0.25/10</f>
      </c>
      <c r="H54" s="113">
        <f>C54*G54</f>
      </c>
      <c r="I54" s="115"/>
    </row>
    <row r="55">
      <c r="A55" s="3"/>
      <c r="B55" s="107">
        <v>54</v>
      </c>
      <c r="C55" s="107">
        <v>36</v>
      </c>
      <c r="D55" s="107">
        <v>1325</v>
      </c>
      <c r="E55" s="114">
        <f>F55/C55</f>
      </c>
      <c r="F55" s="107">
        <v>28</v>
      </c>
      <c r="G55" s="114">
        <f>G54-0.25/10</f>
      </c>
      <c r="H55" s="113">
        <f>C55*G55</f>
      </c>
      <c r="I55" s="115"/>
    </row>
    <row r="56">
      <c r="A56" s="3"/>
      <c r="B56" s="107">
        <v>55</v>
      </c>
      <c r="C56" s="107">
        <v>36</v>
      </c>
      <c r="D56" s="107">
        <v>1361</v>
      </c>
      <c r="E56" s="114">
        <f>F56/C56</f>
      </c>
      <c r="F56" s="107">
        <v>27</v>
      </c>
      <c r="G56" s="114">
        <f>G55-0.25/10</f>
      </c>
      <c r="H56" s="113">
        <f>C56*G56</f>
      </c>
      <c r="I56" s="115"/>
    </row>
    <row r="57">
      <c r="A57" s="3"/>
      <c r="B57" s="107">
        <v>56</v>
      </c>
      <c r="C57" s="107">
        <v>36</v>
      </c>
      <c r="D57" s="107">
        <v>1397</v>
      </c>
      <c r="E57" s="114">
        <f>F57/C57</f>
      </c>
      <c r="F57" s="107">
        <v>26.2</v>
      </c>
      <c r="G57" s="114">
        <f>G56-0.25/10</f>
      </c>
      <c r="H57" s="113">
        <f>C57*G57</f>
      </c>
      <c r="I57" s="115"/>
    </row>
    <row r="58">
      <c r="A58" s="3"/>
      <c r="B58" s="107">
        <v>57</v>
      </c>
      <c r="C58" s="107">
        <v>36</v>
      </c>
      <c r="D58" s="107">
        <v>1433</v>
      </c>
      <c r="E58" s="114">
        <f>F58/C58</f>
      </c>
      <c r="F58" s="107">
        <v>25.6</v>
      </c>
      <c r="G58" s="114">
        <f>G57-0.25/10</f>
      </c>
      <c r="H58" s="113">
        <f>C58*G58</f>
      </c>
      <c r="I58" s="115"/>
    </row>
    <row r="59">
      <c r="A59" s="3"/>
      <c r="B59" s="107">
        <v>58</v>
      </c>
      <c r="C59" s="107">
        <v>36</v>
      </c>
      <c r="D59" s="107">
        <v>1469</v>
      </c>
      <c r="E59" s="114">
        <f>F59/C59</f>
      </c>
      <c r="F59" s="107">
        <v>25.2</v>
      </c>
      <c r="G59" s="114">
        <f>G58-0.25/10</f>
      </c>
      <c r="H59" s="113">
        <f>C59*G59</f>
      </c>
      <c r="I59" s="115"/>
    </row>
    <row r="60">
      <c r="A60" s="3"/>
      <c r="B60" s="107">
        <v>59</v>
      </c>
      <c r="C60" s="107">
        <v>36</v>
      </c>
      <c r="D60" s="107">
        <v>1505</v>
      </c>
      <c r="E60" s="114">
        <f>F60/C60</f>
      </c>
      <c r="F60" s="107">
        <v>25</v>
      </c>
      <c r="G60" s="114">
        <f>G59-0.25/10</f>
      </c>
      <c r="H60" s="113">
        <f>C60*G60</f>
      </c>
      <c r="I60" s="115"/>
    </row>
    <row r="61">
      <c r="A61" s="3" t="str">
        <v>全解锁Loop</v>
      </c>
      <c r="B61" s="107">
        <v>60</v>
      </c>
      <c r="C61" s="107">
        <v>36</v>
      </c>
      <c r="D61" s="107">
        <v>1541</v>
      </c>
      <c r="E61" s="114">
        <f>F61/C61</f>
      </c>
      <c r="F61" s="107">
        <v>25</v>
      </c>
      <c r="G61" s="114">
        <f>G60-0.25/10</f>
      </c>
      <c r="H61" s="113">
        <f>C61*G61</f>
      </c>
      <c r="I61" s="115"/>
    </row>
    <row r="62">
      <c r="A62" s="139" t="str">
        <v>通关</v>
      </c>
      <c r="C62" s="140">
        <f>F62/60</f>
      </c>
      <c r="D62" s="107"/>
      <c r="E62" s="114"/>
      <c r="F62" s="107">
        <f>SUM(F2:F41)</f>
      </c>
      <c r="G62" s="116"/>
      <c r="H62" s="117"/>
      <c r="I62" s="31"/>
    </row>
    <row r="63">
      <c r="A63" s="139" t="str">
        <v>全解锁</v>
      </c>
      <c r="C63" s="140">
        <f>AVERAGE(C2:C61)</f>
      </c>
      <c r="D63" s="107"/>
      <c r="E63" s="114"/>
      <c r="F63" s="107">
        <f>SUM(F2:F61)</f>
      </c>
      <c r="G63" s="116"/>
      <c r="H63" s="117"/>
      <c r="I63" s="31"/>
    </row>
    <row r="64">
      <c r="A64" s="3"/>
      <c r="B64" s="107"/>
      <c r="C64" s="107"/>
      <c r="D64" s="107"/>
      <c r="E64" s="114"/>
      <c r="F64" s="107"/>
      <c r="G64" s="116"/>
      <c r="H64" s="117"/>
      <c r="I64" s="31"/>
    </row>
    <row r="65">
      <c r="A65" s="3"/>
      <c r="B65" s="107"/>
      <c r="C65" s="107"/>
      <c r="D65" s="107"/>
      <c r="E65" s="114"/>
      <c r="F65" s="107"/>
      <c r="G65" s="116"/>
      <c r="H65" s="117"/>
      <c r="I65" s="31"/>
    </row>
    <row r="66">
      <c r="A66" s="3"/>
      <c r="B66" s="107"/>
      <c r="C66" s="107"/>
      <c r="D66" s="107"/>
      <c r="E66" s="114"/>
      <c r="F66" s="107"/>
      <c r="G66" s="116"/>
      <c r="H66" s="117"/>
      <c r="I66" s="31"/>
    </row>
    <row r="67">
      <c r="A67" s="3"/>
      <c r="B67" s="107"/>
      <c r="C67" s="107"/>
      <c r="D67" s="107"/>
      <c r="E67" s="114"/>
      <c r="F67" s="107"/>
      <c r="G67" s="116"/>
      <c r="H67" s="117"/>
      <c r="I67" s="31"/>
    </row>
    <row r="68">
      <c r="A68" s="3"/>
      <c r="B68" s="107"/>
      <c r="C68" s="107"/>
      <c r="D68" s="107"/>
      <c r="E68" s="114"/>
      <c r="F68" s="107"/>
      <c r="G68" s="116"/>
      <c r="H68" s="117"/>
      <c r="I68" s="31"/>
    </row>
    <row r="69">
      <c r="A69" s="3"/>
      <c r="B69" s="107"/>
      <c r="C69" s="107"/>
      <c r="D69" s="107"/>
      <c r="E69" s="114"/>
      <c r="F69" s="107"/>
      <c r="G69" s="116"/>
      <c r="H69" s="117"/>
      <c r="I69" s="31"/>
    </row>
    <row r="70">
      <c r="A70" s="3"/>
      <c r="B70" s="107"/>
      <c r="C70" s="107"/>
      <c r="D70" s="107"/>
      <c r="E70" s="114"/>
      <c r="F70" s="107"/>
      <c r="G70" s="116"/>
      <c r="H70" s="117"/>
      <c r="I70" s="31"/>
    </row>
    <row r="71">
      <c r="A71" s="3"/>
      <c r="B71" s="107"/>
      <c r="C71" s="107"/>
      <c r="D71" s="107"/>
      <c r="E71" s="114"/>
      <c r="F71" s="107"/>
      <c r="G71" s="116"/>
      <c r="H71" s="117"/>
      <c r="I71" s="31"/>
    </row>
    <row r="72">
      <c r="A72" s="3"/>
      <c r="B72" s="107"/>
      <c r="C72" s="107"/>
      <c r="D72" s="107"/>
      <c r="E72" s="114"/>
      <c r="F72" s="107"/>
      <c r="G72" s="116"/>
      <c r="H72" s="117"/>
      <c r="I72" s="31"/>
    </row>
    <row r="73">
      <c r="A73" s="3"/>
      <c r="B73" s="107"/>
      <c r="C73" s="107"/>
      <c r="D73" s="107"/>
      <c r="E73" s="114"/>
      <c r="F73" s="107"/>
      <c r="G73" s="116"/>
      <c r="H73" s="117"/>
      <c r="I73" s="31"/>
    </row>
    <row r="74">
      <c r="A74" s="3"/>
      <c r="B74" s="107"/>
      <c r="C74" s="107"/>
      <c r="D74" s="107"/>
      <c r="E74" s="114"/>
      <c r="F74" s="107"/>
      <c r="G74" s="116"/>
      <c r="H74" s="117"/>
      <c r="I74" s="31"/>
    </row>
    <row r="75">
      <c r="A75" s="3"/>
      <c r="B75" s="107"/>
      <c r="C75" s="107"/>
      <c r="D75" s="107"/>
      <c r="E75" s="114"/>
      <c r="F75" s="107"/>
      <c r="G75" s="116"/>
      <c r="H75" s="117"/>
      <c r="I75" s="31"/>
    </row>
    <row r="76">
      <c r="A76" s="3"/>
      <c r="B76" s="107"/>
      <c r="C76" s="107"/>
      <c r="D76" s="107"/>
      <c r="E76" s="114"/>
      <c r="F76" s="107"/>
      <c r="G76" s="116"/>
      <c r="H76" s="117"/>
      <c r="I76" s="31"/>
    </row>
    <row r="77">
      <c r="A77" s="3"/>
      <c r="B77" s="107"/>
      <c r="C77" s="107"/>
      <c r="D77" s="107"/>
      <c r="E77" s="114"/>
      <c r="F77" s="107"/>
      <c r="G77" s="116"/>
      <c r="H77" s="117"/>
      <c r="I77" s="31"/>
    </row>
    <row r="78">
      <c r="A78" s="3"/>
      <c r="B78" s="107"/>
      <c r="C78" s="107"/>
      <c r="D78" s="107"/>
      <c r="E78" s="114"/>
      <c r="F78" s="107"/>
      <c r="G78" s="116"/>
      <c r="H78" s="117"/>
      <c r="I78" s="31"/>
    </row>
    <row r="79">
      <c r="A79" s="3"/>
      <c r="B79" s="107"/>
      <c r="C79" s="107"/>
      <c r="D79" s="107"/>
      <c r="E79" s="114"/>
      <c r="F79" s="107"/>
      <c r="G79" s="116"/>
      <c r="H79" s="117"/>
      <c r="I79" s="31"/>
    </row>
    <row r="80">
      <c r="A80" s="3"/>
      <c r="B80" s="107"/>
      <c r="C80" s="107"/>
      <c r="D80" s="107"/>
      <c r="E80" s="114"/>
      <c r="F80" s="107"/>
      <c r="G80" s="116"/>
      <c r="H80" s="117"/>
      <c r="I80" s="31"/>
    </row>
    <row r="81">
      <c r="A81" s="3"/>
      <c r="B81" s="107"/>
      <c r="C81" s="107"/>
      <c r="D81" s="107"/>
      <c r="E81" s="114"/>
      <c r="F81" s="107"/>
      <c r="G81" s="116"/>
      <c r="H81" s="117"/>
      <c r="I81" s="31"/>
    </row>
    <row r="82">
      <c r="A82" s="3"/>
      <c r="B82" s="107"/>
      <c r="C82" s="107"/>
      <c r="D82" s="107"/>
      <c r="E82" s="114"/>
      <c r="F82" s="107"/>
      <c r="G82" s="116"/>
      <c r="H82" s="117"/>
      <c r="I82" s="31"/>
    </row>
    <row r="83">
      <c r="A83" s="3"/>
      <c r="B83" s="107"/>
      <c r="C83" s="107"/>
      <c r="D83" s="107"/>
      <c r="E83" s="114"/>
      <c r="F83" s="107"/>
      <c r="G83" s="116"/>
      <c r="H83" s="117"/>
      <c r="I83" s="31"/>
    </row>
    <row r="84">
      <c r="A84" s="3"/>
      <c r="B84" s="12"/>
      <c r="C84" s="12"/>
      <c r="D84" s="107"/>
      <c r="E84" s="114"/>
      <c r="F84" s="107"/>
      <c r="G84" s="116"/>
      <c r="H84" s="117"/>
      <c r="I84" s="31"/>
    </row>
    <row r="85">
      <c r="A85" s="3"/>
      <c r="B85" s="12"/>
      <c r="C85" s="12"/>
      <c r="D85" s="107"/>
      <c r="E85" s="114"/>
      <c r="F85" s="107"/>
      <c r="G85" s="116"/>
      <c r="H85" s="117"/>
      <c r="I85" s="31"/>
    </row>
    <row r="86">
      <c r="A86" s="3"/>
      <c r="B86" s="12"/>
      <c r="C86" s="12"/>
      <c r="D86" s="107"/>
      <c r="E86" s="114"/>
      <c r="F86" s="107"/>
      <c r="G86" s="116"/>
      <c r="H86" s="117"/>
      <c r="I86" s="31"/>
    </row>
    <row r="87">
      <c r="A87" s="3"/>
      <c r="B87" s="12"/>
      <c r="C87" s="12"/>
      <c r="D87" s="107"/>
      <c r="E87" s="114"/>
      <c r="F87" s="107"/>
      <c r="G87" s="116"/>
      <c r="H87" s="117"/>
      <c r="I87" s="31"/>
    </row>
    <row r="88">
      <c r="A88" s="3"/>
      <c r="B88" s="12"/>
      <c r="C88" s="12"/>
      <c r="D88" s="107"/>
      <c r="E88" s="114"/>
      <c r="F88" s="107"/>
      <c r="G88" s="116"/>
      <c r="H88" s="117"/>
      <c r="I88" s="31"/>
    </row>
    <row r="89">
      <c r="A89" s="3"/>
      <c r="B89" s="12"/>
      <c r="C89" s="12"/>
      <c r="D89" s="107"/>
      <c r="E89" s="114"/>
      <c r="F89" s="107"/>
      <c r="G89" s="116"/>
      <c r="H89" s="117"/>
      <c r="I89" s="31"/>
    </row>
    <row r="90">
      <c r="A90" s="3"/>
      <c r="B90" s="12"/>
      <c r="C90" s="12"/>
      <c r="D90" s="107"/>
      <c r="E90" s="114"/>
      <c r="F90" s="107"/>
      <c r="G90" s="116"/>
      <c r="H90" s="117"/>
      <c r="I90" s="31"/>
    </row>
    <row r="91">
      <c r="A91" s="3"/>
      <c r="B91" s="12"/>
      <c r="C91" s="12"/>
      <c r="D91" s="107"/>
      <c r="E91" s="114"/>
      <c r="F91" s="107"/>
      <c r="G91" s="116"/>
      <c r="H91" s="117"/>
      <c r="I91" s="31"/>
    </row>
    <row r="92">
      <c r="A92" s="3"/>
      <c r="B92" s="12"/>
      <c r="C92" s="12"/>
      <c r="D92" s="107"/>
      <c r="E92" s="114"/>
      <c r="F92" s="107"/>
      <c r="G92" s="116"/>
      <c r="H92" s="117"/>
      <c r="I92" s="31"/>
    </row>
    <row r="93">
      <c r="A93" s="3"/>
      <c r="B93" s="12"/>
      <c r="C93" s="12"/>
      <c r="D93" s="107"/>
      <c r="E93" s="114"/>
      <c r="F93" s="107"/>
      <c r="G93" s="116"/>
      <c r="H93" s="117"/>
      <c r="I93" s="31"/>
    </row>
    <row r="94">
      <c r="A94" s="3"/>
      <c r="B94" s="12"/>
      <c r="C94" s="12"/>
      <c r="D94" s="107"/>
      <c r="E94" s="114"/>
      <c r="F94" s="107"/>
      <c r="G94" s="116"/>
      <c r="H94" s="117"/>
      <c r="I94" s="31"/>
    </row>
    <row r="95">
      <c r="A95" s="3"/>
      <c r="B95" s="12"/>
      <c r="C95" s="12"/>
      <c r="D95" s="107"/>
      <c r="E95" s="114"/>
      <c r="F95" s="107"/>
      <c r="G95" s="116"/>
      <c r="H95" s="117"/>
      <c r="I95" s="31"/>
    </row>
    <row r="96">
      <c r="A96" s="3"/>
      <c r="B96" s="12"/>
      <c r="C96" s="12"/>
      <c r="D96" s="107"/>
      <c r="E96" s="114"/>
      <c r="F96" s="107"/>
      <c r="G96" s="116"/>
      <c r="H96" s="117"/>
      <c r="I96" s="31"/>
    </row>
    <row r="97">
      <c r="A97" s="3"/>
      <c r="B97" s="12"/>
      <c r="C97" s="12"/>
      <c r="D97" s="107"/>
      <c r="E97" s="114"/>
      <c r="F97" s="107"/>
      <c r="G97" s="116"/>
      <c r="H97" s="117"/>
      <c r="I97" s="31"/>
    </row>
    <row r="98">
      <c r="A98" s="3"/>
      <c r="B98" s="12"/>
      <c r="C98" s="12"/>
      <c r="D98" s="107"/>
      <c r="E98" s="114"/>
      <c r="F98" s="107"/>
      <c r="G98" s="116"/>
      <c r="H98" s="117"/>
      <c r="I98" s="31"/>
    </row>
    <row r="99">
      <c r="A99" s="3"/>
      <c r="B99" s="12"/>
      <c r="C99" s="12"/>
      <c r="D99" s="107"/>
      <c r="E99" s="114"/>
      <c r="F99" s="107"/>
      <c r="G99" s="116"/>
      <c r="H99" s="117"/>
      <c r="I99" s="31"/>
    </row>
    <row r="100">
      <c r="A100" s="3"/>
      <c r="B100" s="12"/>
      <c r="C100" s="12"/>
      <c r="D100" s="107"/>
      <c r="E100" s="114"/>
      <c r="F100" s="107"/>
      <c r="G100" s="116"/>
      <c r="H100" s="117"/>
      <c r="I100" s="31"/>
    </row>
    <row r="101">
      <c r="A101" s="3"/>
      <c r="B101" s="12"/>
      <c r="C101" s="12"/>
      <c r="D101" s="107"/>
      <c r="E101" s="114"/>
      <c r="F101" s="107"/>
      <c r="G101" s="116"/>
      <c r="H101" s="117"/>
      <c r="I101" s="31"/>
    </row>
    <row r="102">
      <c r="A102" s="3"/>
      <c r="B102" s="12"/>
      <c r="C102" s="12"/>
      <c r="D102" s="107"/>
      <c r="E102" s="114"/>
      <c r="F102" s="107"/>
      <c r="G102" s="116"/>
      <c r="H102" s="117"/>
      <c r="I102" s="31"/>
    </row>
    <row r="103">
      <c r="A103" s="3"/>
      <c r="B103" s="12"/>
      <c r="C103" s="12"/>
      <c r="D103" s="107"/>
      <c r="E103" s="114"/>
      <c r="F103" s="107"/>
      <c r="G103" s="116"/>
      <c r="H103" s="117"/>
      <c r="I103" s="31"/>
    </row>
    <row r="104">
      <c r="A104" s="3"/>
      <c r="B104" s="12"/>
      <c r="C104" s="12"/>
      <c r="D104" s="107"/>
      <c r="E104" s="114"/>
      <c r="F104" s="107"/>
      <c r="G104" s="116"/>
      <c r="H104" s="117"/>
      <c r="I104" s="31"/>
    </row>
    <row r="105">
      <c r="A105" s="3"/>
      <c r="B105" s="12"/>
      <c r="C105" s="12"/>
      <c r="D105" s="107"/>
      <c r="E105" s="114"/>
      <c r="F105" s="107"/>
      <c r="G105" s="116"/>
      <c r="H105" s="117"/>
      <c r="I105" s="31"/>
    </row>
    <row r="106">
      <c r="A106" s="3"/>
      <c r="B106" s="12"/>
      <c r="C106" s="12"/>
      <c r="D106" s="107"/>
      <c r="E106" s="114"/>
      <c r="F106" s="107"/>
      <c r="G106" s="116"/>
      <c r="H106" s="117"/>
      <c r="I106" s="31"/>
    </row>
    <row r="107">
      <c r="A107" s="3"/>
      <c r="B107" s="12"/>
      <c r="C107" s="12"/>
      <c r="D107" s="107"/>
      <c r="E107" s="114"/>
      <c r="F107" s="107"/>
      <c r="G107" s="116"/>
      <c r="H107" s="117"/>
      <c r="I107" s="31"/>
    </row>
    <row r="108">
      <c r="A108" s="3"/>
      <c r="B108" s="12"/>
      <c r="C108" s="12"/>
      <c r="D108" s="107"/>
      <c r="E108" s="114"/>
      <c r="F108" s="107"/>
      <c r="G108" s="116"/>
      <c r="H108" s="117"/>
      <c r="I108" s="31"/>
    </row>
    <row r="109">
      <c r="A109" s="3"/>
      <c r="B109" s="12"/>
      <c r="C109" s="12"/>
      <c r="D109" s="107"/>
      <c r="E109" s="114"/>
      <c r="F109" s="107"/>
      <c r="G109" s="116"/>
      <c r="H109" s="117"/>
      <c r="I109" s="31"/>
    </row>
    <row r="110">
      <c r="A110" s="3"/>
      <c r="B110" s="12"/>
      <c r="C110" s="12"/>
      <c r="D110" s="107"/>
      <c r="E110" s="114"/>
      <c r="F110" s="107"/>
      <c r="G110" s="116"/>
      <c r="H110" s="117"/>
      <c r="I110" s="31"/>
    </row>
    <row r="111">
      <c r="A111" s="3"/>
      <c r="B111" s="12"/>
      <c r="C111" s="12"/>
      <c r="D111" s="107"/>
      <c r="E111" s="114"/>
      <c r="F111" s="107"/>
      <c r="G111" s="116"/>
      <c r="H111" s="117"/>
      <c r="I111" s="31"/>
    </row>
    <row r="112">
      <c r="A112" s="3"/>
      <c r="B112" s="12"/>
      <c r="C112" s="12"/>
      <c r="D112" s="107"/>
      <c r="E112" s="114"/>
      <c r="F112" s="107"/>
      <c r="G112" s="116"/>
      <c r="H112" s="117"/>
      <c r="I112" s="31"/>
    </row>
    <row r="113">
      <c r="A113" s="3"/>
      <c r="B113" s="12"/>
      <c r="C113" s="12"/>
      <c r="D113" s="107"/>
      <c r="E113" s="114"/>
      <c r="F113" s="107"/>
      <c r="G113" s="116"/>
      <c r="H113" s="117"/>
      <c r="I113" s="31"/>
    </row>
    <row r="114">
      <c r="A114" s="3"/>
      <c r="B114" s="12"/>
      <c r="C114" s="12"/>
      <c r="D114" s="107"/>
      <c r="E114" s="114"/>
      <c r="F114" s="107"/>
      <c r="G114" s="116"/>
      <c r="H114" s="117"/>
      <c r="I114" s="31"/>
    </row>
    <row r="115">
      <c r="A115" s="3"/>
      <c r="B115" s="12"/>
      <c r="C115" s="12"/>
      <c r="D115" s="107"/>
      <c r="E115" s="114"/>
      <c r="F115" s="107"/>
      <c r="G115" s="116"/>
      <c r="H115" s="117"/>
      <c r="I115" s="31"/>
    </row>
    <row r="116">
      <c r="A116" s="3"/>
      <c r="B116" s="12"/>
      <c r="C116" s="12"/>
      <c r="D116" s="107"/>
      <c r="E116" s="114"/>
      <c r="F116" s="107"/>
      <c r="G116" s="116"/>
      <c r="H116" s="117"/>
      <c r="I116" s="31"/>
    </row>
    <row r="117">
      <c r="A117" s="3"/>
      <c r="B117" s="12"/>
      <c r="C117" s="12"/>
      <c r="D117" s="107"/>
      <c r="E117" s="114"/>
      <c r="F117" s="107"/>
      <c r="G117" s="116"/>
      <c r="H117" s="117"/>
      <c r="I117" s="31"/>
    </row>
    <row r="118">
      <c r="A118" s="3"/>
      <c r="B118" s="12"/>
      <c r="C118" s="12"/>
      <c r="D118" s="107"/>
      <c r="E118" s="114"/>
      <c r="F118" s="107"/>
      <c r="G118" s="116"/>
      <c r="H118" s="117"/>
      <c r="I118" s="31"/>
    </row>
    <row r="119">
      <c r="A119" s="3"/>
      <c r="B119" s="12"/>
      <c r="C119" s="12"/>
      <c r="D119" s="107"/>
      <c r="E119" s="114"/>
      <c r="F119" s="107"/>
      <c r="G119" s="116"/>
      <c r="H119" s="117"/>
      <c r="I119" s="31"/>
    </row>
    <row r="120">
      <c r="A120" s="3"/>
      <c r="B120" s="12"/>
      <c r="C120" s="12"/>
      <c r="D120" s="107"/>
      <c r="E120" s="114"/>
      <c r="F120" s="107"/>
      <c r="G120" s="116"/>
      <c r="H120" s="117"/>
      <c r="I120" s="31"/>
    </row>
    <row r="121">
      <c r="A121" s="3"/>
      <c r="B121" s="12"/>
      <c r="C121" s="12"/>
      <c r="D121" s="107"/>
      <c r="E121" s="114"/>
      <c r="F121" s="107"/>
      <c r="G121" s="116"/>
      <c r="H121" s="117"/>
      <c r="I121" s="31"/>
    </row>
    <row r="122">
      <c r="A122" s="3"/>
      <c r="B122" s="12"/>
      <c r="C122" s="12"/>
      <c r="D122" s="107"/>
      <c r="E122" s="114"/>
      <c r="F122" s="107"/>
      <c r="G122" s="116"/>
      <c r="H122" s="117"/>
      <c r="I122" s="31"/>
    </row>
    <row r="123">
      <c r="A123" s="3"/>
      <c r="B123" s="12"/>
      <c r="C123" s="12"/>
      <c r="D123" s="107"/>
      <c r="E123" s="114"/>
      <c r="F123" s="107"/>
      <c r="G123" s="116"/>
      <c r="H123" s="117"/>
      <c r="I123" s="31"/>
    </row>
    <row r="124">
      <c r="A124" s="3"/>
      <c r="B124" s="12"/>
      <c r="C124" s="12"/>
      <c r="D124" s="107"/>
      <c r="E124" s="114"/>
      <c r="F124" s="107"/>
      <c r="G124" s="116"/>
      <c r="H124" s="117"/>
      <c r="I124" s="31"/>
    </row>
    <row r="125">
      <c r="A125" s="3"/>
      <c r="B125" s="12"/>
      <c r="C125" s="12"/>
      <c r="D125" s="107"/>
      <c r="E125" s="114"/>
      <c r="F125" s="107"/>
      <c r="G125" s="116"/>
      <c r="H125" s="117"/>
      <c r="I125" s="31"/>
    </row>
    <row r="126">
      <c r="A126" s="3"/>
      <c r="B126" s="12"/>
      <c r="C126" s="12"/>
      <c r="D126" s="107"/>
      <c r="E126" s="114"/>
      <c r="F126" s="107"/>
      <c r="G126" s="116"/>
      <c r="H126" s="117"/>
      <c r="I126" s="31"/>
    </row>
    <row r="127">
      <c r="A127" s="3"/>
      <c r="B127" s="12"/>
      <c r="C127" s="12"/>
      <c r="D127" s="107"/>
      <c r="E127" s="114"/>
      <c r="F127" s="107"/>
      <c r="G127" s="116"/>
      <c r="H127" s="117"/>
      <c r="I127" s="31"/>
    </row>
    <row r="128">
      <c r="A128" s="3"/>
      <c r="B128" s="12"/>
      <c r="C128" s="12"/>
      <c r="D128" s="107"/>
      <c r="E128" s="114"/>
      <c r="F128" s="107"/>
      <c r="G128" s="116"/>
      <c r="H128" s="117"/>
      <c r="I128" s="31"/>
    </row>
    <row r="129">
      <c r="A129" s="3"/>
      <c r="B129" s="12"/>
      <c r="C129" s="12"/>
      <c r="D129" s="107"/>
      <c r="E129" s="114"/>
      <c r="F129" s="107"/>
      <c r="G129" s="116"/>
      <c r="H129" s="117"/>
      <c r="I129" s="31"/>
    </row>
    <row r="130">
      <c r="A130" s="3"/>
      <c r="B130" s="12"/>
      <c r="C130" s="12"/>
      <c r="D130" s="107"/>
      <c r="E130" s="114"/>
      <c r="F130" s="107"/>
      <c r="G130" s="116"/>
      <c r="H130" s="117"/>
      <c r="I130" s="31"/>
    </row>
    <row r="131">
      <c r="A131" s="3"/>
      <c r="B131" s="12"/>
      <c r="C131" s="12"/>
      <c r="D131" s="107"/>
      <c r="E131" s="114"/>
      <c r="F131" s="107"/>
      <c r="G131" s="116"/>
      <c r="H131" s="117"/>
      <c r="I131" s="31"/>
    </row>
    <row r="132">
      <c r="A132" s="3"/>
      <c r="B132" s="12"/>
      <c r="C132" s="12"/>
      <c r="D132" s="107"/>
      <c r="E132" s="114"/>
      <c r="F132" s="107"/>
      <c r="G132" s="116"/>
      <c r="H132" s="117"/>
      <c r="I132" s="31"/>
    </row>
    <row r="133">
      <c r="A133" s="3"/>
      <c r="B133" s="12"/>
      <c r="C133" s="12"/>
      <c r="D133" s="107"/>
      <c r="E133" s="114"/>
      <c r="F133" s="107"/>
      <c r="G133" s="116"/>
      <c r="H133" s="117"/>
      <c r="I133" s="31"/>
    </row>
    <row r="134">
      <c r="A134" s="3"/>
      <c r="B134" s="12"/>
      <c r="C134" s="12"/>
      <c r="D134" s="107"/>
      <c r="E134" s="114"/>
      <c r="F134" s="107"/>
      <c r="G134" s="116"/>
      <c r="H134" s="117"/>
      <c r="I134" s="31"/>
    </row>
    <row r="135">
      <c r="A135" s="3"/>
      <c r="B135" s="12"/>
      <c r="C135" s="12"/>
      <c r="D135" s="107"/>
      <c r="E135" s="114"/>
      <c r="F135" s="107"/>
      <c r="G135" s="116"/>
      <c r="H135" s="117"/>
      <c r="I135" s="31"/>
    </row>
    <row r="136">
      <c r="A136" s="3"/>
      <c r="B136" s="12"/>
      <c r="C136" s="12"/>
      <c r="D136" s="107"/>
      <c r="E136" s="114"/>
      <c r="F136" s="107"/>
      <c r="G136" s="116"/>
      <c r="H136" s="117"/>
      <c r="I136" s="31"/>
    </row>
    <row r="137">
      <c r="A137" s="3"/>
      <c r="B137" s="12"/>
      <c r="C137" s="12"/>
      <c r="D137" s="107"/>
      <c r="E137" s="114"/>
      <c r="F137" s="107"/>
      <c r="G137" s="116"/>
      <c r="H137" s="117"/>
      <c r="I137" s="31"/>
    </row>
    <row r="138">
      <c r="A138" s="3"/>
      <c r="B138" s="12"/>
      <c r="C138" s="12"/>
      <c r="D138" s="107"/>
      <c r="E138" s="114"/>
      <c r="F138" s="107"/>
      <c r="G138" s="116"/>
      <c r="H138" s="117"/>
      <c r="I138" s="31"/>
    </row>
    <row r="139">
      <c r="A139" s="3"/>
      <c r="B139" s="12"/>
      <c r="C139" s="12"/>
      <c r="D139" s="107"/>
      <c r="E139" s="114"/>
      <c r="F139" s="107"/>
      <c r="G139" s="116"/>
      <c r="H139" s="117"/>
      <c r="I139" s="31"/>
    </row>
    <row r="140">
      <c r="A140" s="3"/>
      <c r="B140" s="12"/>
      <c r="C140" s="12"/>
      <c r="D140" s="107"/>
      <c r="E140" s="114"/>
      <c r="F140" s="107"/>
      <c r="G140" s="116"/>
      <c r="H140" s="117"/>
      <c r="I140" s="31"/>
    </row>
    <row r="141">
      <c r="A141" s="3"/>
      <c r="B141" s="12"/>
      <c r="C141" s="12"/>
      <c r="D141" s="107"/>
      <c r="E141" s="114"/>
      <c r="F141" s="107"/>
      <c r="G141" s="116"/>
      <c r="H141" s="117"/>
      <c r="I141" s="31"/>
    </row>
    <row r="142">
      <c r="A142" s="3"/>
      <c r="B142" s="12"/>
      <c r="C142" s="12"/>
      <c r="D142" s="107"/>
      <c r="E142" s="114"/>
      <c r="F142" s="107"/>
      <c r="G142" s="116"/>
      <c r="H142" s="117"/>
      <c r="I142" s="31"/>
    </row>
    <row r="143">
      <c r="A143" s="3"/>
      <c r="B143" s="12"/>
      <c r="C143" s="12"/>
      <c r="D143" s="107"/>
      <c r="E143" s="114"/>
      <c r="F143" s="107"/>
      <c r="G143" s="116"/>
      <c r="H143" s="117"/>
      <c r="I143" s="31"/>
    </row>
    <row r="144">
      <c r="A144" s="3"/>
      <c r="B144" s="12"/>
      <c r="C144" s="12"/>
      <c r="D144" s="107"/>
      <c r="E144" s="114"/>
      <c r="F144" s="107"/>
      <c r="G144" s="116"/>
      <c r="H144" s="117"/>
      <c r="I144" s="31"/>
    </row>
    <row r="145">
      <c r="A145" s="3"/>
      <c r="B145" s="12"/>
      <c r="C145" s="12"/>
      <c r="D145" s="107"/>
      <c r="E145" s="114"/>
      <c r="F145" s="107"/>
      <c r="G145" s="116"/>
      <c r="H145" s="117"/>
      <c r="I145" s="31"/>
    </row>
    <row r="146">
      <c r="A146" s="3"/>
      <c r="B146" s="12"/>
      <c r="C146" s="12"/>
      <c r="D146" s="107"/>
      <c r="E146" s="114"/>
      <c r="F146" s="107"/>
      <c r="G146" s="116"/>
      <c r="H146" s="117"/>
      <c r="I146" s="31"/>
    </row>
    <row r="147">
      <c r="A147" s="3"/>
      <c r="B147" s="12"/>
      <c r="C147" s="12"/>
      <c r="D147" s="107"/>
      <c r="E147" s="114"/>
      <c r="F147" s="107"/>
      <c r="G147" s="116"/>
      <c r="H147" s="117"/>
      <c r="I147" s="31"/>
    </row>
    <row r="148">
      <c r="A148" s="3"/>
      <c r="B148" s="12"/>
      <c r="C148" s="12"/>
      <c r="D148" s="107"/>
      <c r="E148" s="114"/>
      <c r="F148" s="107"/>
      <c r="G148" s="116"/>
      <c r="H148" s="117"/>
      <c r="I148" s="31"/>
    </row>
    <row r="149">
      <c r="A149" s="3"/>
      <c r="B149" s="12"/>
      <c r="C149" s="12"/>
      <c r="D149" s="107"/>
      <c r="E149" s="114"/>
      <c r="F149" s="107"/>
      <c r="G149" s="116"/>
      <c r="H149" s="117"/>
      <c r="I149" s="31"/>
    </row>
    <row r="150">
      <c r="A150" s="3"/>
      <c r="B150" s="12"/>
      <c r="C150" s="12"/>
      <c r="D150" s="107"/>
      <c r="E150" s="114"/>
      <c r="F150" s="107"/>
      <c r="G150" s="116"/>
      <c r="H150" s="117"/>
      <c r="I150" s="31"/>
    </row>
    <row r="151">
      <c r="A151" s="3"/>
      <c r="B151" s="12"/>
      <c r="C151" s="12"/>
      <c r="D151" s="107"/>
      <c r="E151" s="114"/>
      <c r="F151" s="107"/>
      <c r="G151" s="116"/>
      <c r="H151" s="117"/>
      <c r="I151" s="31"/>
    </row>
    <row r="152">
      <c r="A152" s="3"/>
      <c r="B152" s="12"/>
      <c r="C152" s="12"/>
      <c r="D152" s="107"/>
      <c r="E152" s="114"/>
      <c r="F152" s="107"/>
      <c r="G152" s="116"/>
      <c r="H152" s="117"/>
      <c r="I152" s="31"/>
    </row>
    <row r="153">
      <c r="A153" s="3"/>
      <c r="B153" s="12"/>
      <c r="C153" s="12"/>
      <c r="D153" s="107"/>
      <c r="E153" s="114"/>
      <c r="F153" s="107"/>
      <c r="G153" s="116"/>
      <c r="H153" s="117"/>
      <c r="I153" s="31"/>
    </row>
    <row r="154">
      <c r="A154" s="3"/>
      <c r="B154" s="12"/>
      <c r="C154" s="12"/>
      <c r="D154" s="107"/>
      <c r="E154" s="114"/>
      <c r="F154" s="107"/>
      <c r="G154" s="116"/>
      <c r="H154" s="117"/>
      <c r="I154" s="31"/>
    </row>
    <row r="155">
      <c r="A155" s="3"/>
      <c r="B155" s="12"/>
      <c r="C155" s="12"/>
      <c r="D155" s="107"/>
      <c r="E155" s="114"/>
      <c r="F155" s="107"/>
      <c r="G155" s="116"/>
      <c r="H155" s="117"/>
      <c r="I155" s="31"/>
    </row>
    <row r="156">
      <c r="A156" s="3"/>
      <c r="B156" s="12"/>
      <c r="C156" s="12"/>
      <c r="D156" s="107"/>
      <c r="E156" s="114"/>
      <c r="F156" s="107"/>
      <c r="G156" s="116"/>
      <c r="H156" s="117"/>
      <c r="I156" s="31"/>
    </row>
    <row r="157">
      <c r="A157" s="3"/>
      <c r="B157" s="12"/>
      <c r="C157" s="12"/>
      <c r="D157" s="107"/>
      <c r="E157" s="114"/>
      <c r="F157" s="107"/>
      <c r="G157" s="116"/>
      <c r="H157" s="117"/>
      <c r="I157" s="31"/>
    </row>
    <row r="158">
      <c r="A158" s="3"/>
      <c r="B158" s="12"/>
      <c r="C158" s="12"/>
      <c r="D158" s="107"/>
      <c r="E158" s="114"/>
      <c r="F158" s="107"/>
      <c r="G158" s="116"/>
      <c r="H158" s="117"/>
      <c r="I158" s="31"/>
    </row>
    <row r="159">
      <c r="A159" s="3"/>
      <c r="B159" s="12"/>
      <c r="C159" s="12"/>
      <c r="D159" s="107"/>
      <c r="E159" s="114"/>
      <c r="F159" s="107"/>
      <c r="G159" s="116"/>
      <c r="H159" s="117"/>
      <c r="I159" s="31"/>
    </row>
    <row r="160">
      <c r="A160" s="3"/>
      <c r="B160" s="12"/>
      <c r="C160" s="12"/>
      <c r="D160" s="107"/>
      <c r="E160" s="114"/>
      <c r="F160" s="107"/>
      <c r="G160" s="116"/>
      <c r="H160" s="117"/>
      <c r="I160" s="31"/>
    </row>
    <row r="161">
      <c r="A161" s="3"/>
      <c r="B161" s="12"/>
      <c r="C161" s="12"/>
      <c r="D161" s="107"/>
      <c r="E161" s="114"/>
      <c r="F161" s="107"/>
      <c r="G161" s="116"/>
      <c r="H161" s="117"/>
      <c r="I161" s="31"/>
    </row>
    <row r="162">
      <c r="A162" s="3"/>
      <c r="B162" s="12"/>
      <c r="C162" s="12"/>
      <c r="D162" s="107"/>
      <c r="E162" s="114"/>
      <c r="F162" s="107"/>
      <c r="G162" s="116"/>
      <c r="H162" s="117"/>
      <c r="I162" s="31"/>
    </row>
    <row r="163">
      <c r="A163" s="3"/>
      <c r="B163" s="12"/>
      <c r="C163" s="12"/>
      <c r="D163" s="107"/>
      <c r="E163" s="114"/>
      <c r="F163" s="107"/>
      <c r="G163" s="116"/>
      <c r="H163" s="117"/>
      <c r="I163" s="31"/>
    </row>
    <row r="164">
      <c r="A164" s="3"/>
      <c r="B164" s="12"/>
      <c r="C164" s="12"/>
      <c r="D164" s="107"/>
      <c r="E164" s="114"/>
      <c r="F164" s="107"/>
      <c r="G164" s="116"/>
      <c r="H164" s="117"/>
      <c r="I164" s="31"/>
    </row>
    <row r="165">
      <c r="A165" s="3"/>
      <c r="B165" s="12"/>
      <c r="C165" s="12"/>
      <c r="D165" s="107"/>
      <c r="E165" s="114"/>
      <c r="F165" s="107"/>
      <c r="G165" s="116"/>
      <c r="H165" s="117"/>
      <c r="I165" s="31"/>
    </row>
    <row r="166">
      <c r="A166" s="3"/>
      <c r="B166" s="12"/>
      <c r="C166" s="12"/>
      <c r="D166" s="107"/>
      <c r="E166" s="114"/>
      <c r="F166" s="107"/>
      <c r="G166" s="116"/>
      <c r="H166" s="117"/>
      <c r="I166" s="31"/>
    </row>
    <row r="167">
      <c r="A167" s="3"/>
      <c r="B167" s="12"/>
      <c r="C167" s="12"/>
      <c r="D167" s="107"/>
      <c r="E167" s="114"/>
      <c r="F167" s="107"/>
      <c r="G167" s="116"/>
      <c r="H167" s="117"/>
      <c r="I167" s="31"/>
    </row>
    <row r="168">
      <c r="A168" s="3"/>
      <c r="B168" s="12"/>
      <c r="C168" s="12"/>
      <c r="D168" s="107"/>
      <c r="E168" s="114"/>
      <c r="F168" s="107"/>
      <c r="G168" s="116"/>
      <c r="H168" s="117"/>
      <c r="I168" s="31"/>
    </row>
    <row r="169">
      <c r="A169" s="3"/>
      <c r="B169" s="12"/>
      <c r="C169" s="12"/>
      <c r="D169" s="107"/>
      <c r="E169" s="114"/>
      <c r="F169" s="107"/>
      <c r="G169" s="116"/>
      <c r="H169" s="117"/>
      <c r="I169" s="31"/>
    </row>
    <row r="170">
      <c r="A170" s="3"/>
      <c r="B170" s="12"/>
      <c r="C170" s="12"/>
      <c r="D170" s="107"/>
      <c r="E170" s="114"/>
      <c r="F170" s="107"/>
      <c r="G170" s="116"/>
      <c r="H170" s="117"/>
      <c r="I170" s="31"/>
    </row>
    <row r="171">
      <c r="A171" s="3"/>
      <c r="B171" s="12"/>
      <c r="C171" s="12"/>
      <c r="D171" s="107"/>
      <c r="E171" s="114"/>
      <c r="F171" s="107"/>
      <c r="G171" s="116"/>
      <c r="H171" s="117"/>
      <c r="I171" s="31"/>
    </row>
    <row r="172">
      <c r="A172" s="3"/>
      <c r="B172" s="12"/>
      <c r="C172" s="12"/>
      <c r="D172" s="107"/>
      <c r="E172" s="114"/>
      <c r="F172" s="107"/>
      <c r="G172" s="116"/>
      <c r="H172" s="117"/>
      <c r="I172" s="31"/>
    </row>
    <row r="173">
      <c r="A173" s="3"/>
      <c r="B173" s="12"/>
      <c r="C173" s="12"/>
      <c r="D173" s="107"/>
      <c r="E173" s="114"/>
      <c r="F173" s="107"/>
      <c r="G173" s="116"/>
      <c r="H173" s="117"/>
      <c r="I173" s="31"/>
    </row>
    <row r="174">
      <c r="A174" s="3"/>
      <c r="B174" s="12"/>
      <c r="C174" s="12"/>
      <c r="D174" s="107"/>
      <c r="E174" s="114"/>
      <c r="F174" s="107"/>
      <c r="G174" s="116"/>
      <c r="H174" s="117"/>
      <c r="I174" s="31"/>
    </row>
    <row r="175">
      <c r="A175" s="3"/>
      <c r="B175" s="12"/>
      <c r="C175" s="12"/>
      <c r="D175" s="107"/>
      <c r="E175" s="114"/>
      <c r="F175" s="107"/>
      <c r="G175" s="116"/>
      <c r="H175" s="117"/>
      <c r="I175" s="31"/>
    </row>
    <row r="176">
      <c r="A176" s="3"/>
      <c r="B176" s="12"/>
      <c r="C176" s="12"/>
      <c r="D176" s="107"/>
      <c r="E176" s="114"/>
      <c r="F176" s="107"/>
      <c r="G176" s="116"/>
      <c r="H176" s="117"/>
      <c r="I176" s="31"/>
    </row>
    <row r="177">
      <c r="A177" s="3"/>
      <c r="B177" s="12"/>
      <c r="C177" s="12"/>
      <c r="D177" s="107"/>
      <c r="E177" s="114"/>
      <c r="F177" s="107"/>
      <c r="G177" s="116"/>
      <c r="H177" s="117"/>
      <c r="I177" s="31"/>
    </row>
    <row r="178">
      <c r="A178" s="3"/>
      <c r="B178" s="12"/>
      <c r="C178" s="12"/>
      <c r="D178" s="107"/>
      <c r="E178" s="114"/>
      <c r="F178" s="107"/>
      <c r="G178" s="116"/>
      <c r="H178" s="117"/>
      <c r="I178" s="31"/>
    </row>
    <row r="179">
      <c r="A179" s="3"/>
      <c r="B179" s="12"/>
      <c r="C179" s="12"/>
      <c r="D179" s="107"/>
      <c r="E179" s="114"/>
      <c r="F179" s="107"/>
      <c r="G179" s="116"/>
      <c r="H179" s="117"/>
      <c r="I179" s="31"/>
    </row>
    <row r="180">
      <c r="A180" s="3"/>
      <c r="B180" s="12"/>
      <c r="C180" s="12"/>
      <c r="D180" s="107"/>
      <c r="E180" s="114"/>
      <c r="F180" s="107"/>
      <c r="G180" s="116"/>
      <c r="H180" s="117"/>
      <c r="I180" s="31"/>
    </row>
    <row r="181">
      <c r="A181" s="3"/>
      <c r="B181" s="12"/>
      <c r="C181" s="12"/>
      <c r="D181" s="107"/>
      <c r="E181" s="114"/>
      <c r="F181" s="107"/>
      <c r="G181" s="116"/>
      <c r="H181" s="117"/>
      <c r="I181" s="31"/>
    </row>
    <row r="182">
      <c r="A182" s="3"/>
      <c r="B182" s="12"/>
      <c r="C182" s="12"/>
      <c r="D182" s="107"/>
      <c r="E182" s="114"/>
      <c r="F182" s="107"/>
      <c r="G182" s="116"/>
      <c r="H182" s="117"/>
      <c r="I182" s="31"/>
    </row>
    <row r="183">
      <c r="A183" s="3"/>
      <c r="B183" s="12"/>
      <c r="C183" s="12"/>
      <c r="D183" s="107"/>
      <c r="E183" s="114"/>
      <c r="F183" s="107"/>
      <c r="G183" s="116"/>
      <c r="H183" s="117"/>
      <c r="I183" s="31"/>
    </row>
    <row r="184">
      <c r="A184" s="3"/>
      <c r="B184" s="12"/>
      <c r="C184" s="12"/>
      <c r="D184" s="107"/>
      <c r="E184" s="114"/>
      <c r="F184" s="107"/>
      <c r="G184" s="116"/>
      <c r="H184" s="117"/>
      <c r="I184" s="31"/>
    </row>
    <row r="185">
      <c r="A185" s="3"/>
      <c r="B185" s="12"/>
      <c r="C185" s="12"/>
      <c r="D185" s="107"/>
      <c r="E185" s="114"/>
      <c r="F185" s="107"/>
      <c r="G185" s="116"/>
      <c r="H185" s="117"/>
      <c r="I185" s="31"/>
    </row>
    <row r="186">
      <c r="A186" s="3"/>
      <c r="B186" s="12"/>
      <c r="C186" s="12"/>
      <c r="D186" s="107"/>
      <c r="E186" s="114"/>
      <c r="F186" s="107"/>
      <c r="G186" s="116"/>
      <c r="H186" s="117"/>
      <c r="I186" s="31"/>
    </row>
    <row r="187">
      <c r="A187" s="3"/>
      <c r="B187" s="12"/>
      <c r="C187" s="12"/>
      <c r="D187" s="107"/>
      <c r="E187" s="114"/>
      <c r="F187" s="107"/>
      <c r="G187" s="116"/>
      <c r="H187" s="117"/>
      <c r="I187" s="31"/>
    </row>
    <row r="188">
      <c r="A188" s="3"/>
      <c r="B188" s="12"/>
      <c r="C188" s="12"/>
      <c r="D188" s="107"/>
      <c r="E188" s="114"/>
      <c r="F188" s="107"/>
      <c r="G188" s="116"/>
      <c r="H188" s="117"/>
      <c r="I188" s="31"/>
    </row>
    <row r="189">
      <c r="A189" s="3"/>
      <c r="B189" s="12"/>
      <c r="C189" s="12"/>
      <c r="D189" s="107"/>
      <c r="E189" s="114"/>
      <c r="F189" s="107"/>
      <c r="G189" s="116"/>
      <c r="H189" s="117"/>
      <c r="I189" s="31"/>
    </row>
    <row r="190">
      <c r="A190" s="3"/>
      <c r="B190" s="12"/>
      <c r="C190" s="12"/>
      <c r="D190" s="107"/>
      <c r="E190" s="114"/>
      <c r="F190" s="107"/>
      <c r="G190" s="116"/>
      <c r="H190" s="117"/>
      <c r="I190" s="31"/>
    </row>
    <row r="191">
      <c r="A191" s="3"/>
      <c r="B191" s="12"/>
      <c r="C191" s="12"/>
      <c r="D191" s="107"/>
      <c r="E191" s="114"/>
      <c r="F191" s="107"/>
      <c r="G191" s="116"/>
      <c r="H191" s="117"/>
      <c r="I191" s="31"/>
    </row>
    <row r="192">
      <c r="A192" s="3"/>
      <c r="B192" s="12"/>
      <c r="C192" s="12"/>
      <c r="D192" s="107"/>
      <c r="E192" s="114"/>
      <c r="F192" s="107"/>
      <c r="G192" s="116"/>
      <c r="H192" s="117"/>
      <c r="I192" s="31"/>
    </row>
    <row r="193">
      <c r="A193" s="3"/>
      <c r="B193" s="12"/>
      <c r="C193" s="12"/>
      <c r="D193" s="107"/>
      <c r="E193" s="114"/>
      <c r="F193" s="107"/>
      <c r="G193" s="116"/>
      <c r="H193" s="117"/>
      <c r="I193" s="31"/>
    </row>
    <row r="194">
      <c r="A194" s="3"/>
      <c r="B194" s="12"/>
      <c r="C194" s="12"/>
      <c r="D194" s="107"/>
      <c r="E194" s="114"/>
      <c r="F194" s="107"/>
      <c r="G194" s="116"/>
      <c r="H194" s="117"/>
      <c r="I194" s="31"/>
    </row>
    <row r="195">
      <c r="A195" s="3"/>
      <c r="B195" s="12"/>
      <c r="C195" s="12"/>
      <c r="D195" s="107"/>
      <c r="E195" s="114"/>
      <c r="F195" s="107"/>
      <c r="G195" s="116"/>
      <c r="H195" s="117"/>
      <c r="I195" s="31"/>
    </row>
    <row r="196">
      <c r="A196" s="3"/>
      <c r="B196" s="12"/>
      <c r="C196" s="12"/>
      <c r="D196" s="107"/>
      <c r="E196" s="114"/>
      <c r="F196" s="107"/>
      <c r="G196" s="116"/>
      <c r="H196" s="117"/>
      <c r="I196" s="31"/>
    </row>
    <row r="197">
      <c r="A197" s="3"/>
      <c r="B197" s="12"/>
      <c r="C197" s="12"/>
      <c r="D197" s="107"/>
      <c r="E197" s="114"/>
      <c r="F197" s="107"/>
      <c r="G197" s="116"/>
      <c r="H197" s="117"/>
      <c r="I197" s="31"/>
    </row>
    <row r="198">
      <c r="A198" s="3"/>
      <c r="B198" s="12"/>
      <c r="C198" s="12"/>
      <c r="D198" s="107"/>
      <c r="E198" s="114"/>
      <c r="F198" s="107"/>
      <c r="G198" s="116"/>
      <c r="H198" s="117"/>
      <c r="I198" s="31"/>
    </row>
    <row r="199">
      <c r="A199" s="3"/>
      <c r="B199" s="12"/>
      <c r="C199" s="12"/>
      <c r="D199" s="107"/>
      <c r="E199" s="114"/>
      <c r="F199" s="107"/>
      <c r="G199" s="116"/>
      <c r="H199" s="117"/>
      <c r="I199" s="31"/>
    </row>
    <row r="200">
      <c r="A200" s="3"/>
      <c r="B200" s="12"/>
      <c r="C200" s="12"/>
      <c r="D200" s="107"/>
      <c r="E200" s="147"/>
      <c r="F200" s="149"/>
      <c r="G200" s="148"/>
      <c r="H200" s="150"/>
      <c r="I200" s="31"/>
    </row>
  </sheetData>
  <drawing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</cols>
  <sheetData>
    <row r="1">
      <c r="A1" s="31" t="str">
        <v>时间</v>
      </c>
      <c r="B1" s="31" t="str">
        <v>跃入迷城</v>
      </c>
      <c r="C1" s="31" t="str">
        <v>暗黑破坏神</v>
      </c>
    </row>
    <row r="2">
      <c r="A2" s="31">
        <v>1</v>
      </c>
      <c r="B2" s="31">
        <v>0</v>
      </c>
      <c r="C2" s="31">
        <v>1</v>
      </c>
    </row>
    <row r="3">
      <c r="A3" s="31">
        <v>2</v>
      </c>
      <c r="B3" s="31">
        <v>2.5</v>
      </c>
      <c r="C3" s="31">
        <v>2</v>
      </c>
    </row>
    <row r="4">
      <c r="A4" s="31">
        <v>3</v>
      </c>
      <c r="B4" s="31">
        <v>5</v>
      </c>
      <c r="C4" s="31">
        <v>3</v>
      </c>
    </row>
    <row r="5">
      <c r="A5" s="31">
        <v>4</v>
      </c>
      <c r="B5" s="31">
        <v>7.5</v>
      </c>
      <c r="C5" s="31">
        <v>4</v>
      </c>
    </row>
    <row r="6">
      <c r="A6" s="31">
        <v>5</v>
      </c>
      <c r="B6" s="31">
        <v>10</v>
      </c>
      <c r="C6" s="31">
        <v>5</v>
      </c>
    </row>
    <row r="7">
      <c r="A7" s="31">
        <v>6</v>
      </c>
      <c r="B7" s="31">
        <v>12.5</v>
      </c>
      <c r="C7" s="31">
        <v>6</v>
      </c>
    </row>
    <row r="8">
      <c r="A8" s="31">
        <v>7</v>
      </c>
      <c r="B8" s="31">
        <v>15</v>
      </c>
      <c r="C8" s="31">
        <v>7</v>
      </c>
    </row>
    <row r="9">
      <c r="A9" s="31">
        <v>8</v>
      </c>
      <c r="B9" s="31">
        <v>17.5</v>
      </c>
      <c r="C9" s="31">
        <v>8</v>
      </c>
    </row>
    <row r="10">
      <c r="A10" s="31">
        <v>9</v>
      </c>
      <c r="B10" s="31">
        <v>20</v>
      </c>
      <c r="C10" s="31">
        <v>9</v>
      </c>
    </row>
    <row r="11">
      <c r="A11" s="31">
        <v>10</v>
      </c>
      <c r="B11" s="31">
        <v>22.5</v>
      </c>
      <c r="C11" s="31">
        <v>10</v>
      </c>
    </row>
    <row r="12">
      <c r="A12" s="31">
        <v>11</v>
      </c>
      <c r="B12" s="31">
        <v>7.5</v>
      </c>
      <c r="C12" s="31">
        <v>11</v>
      </c>
    </row>
    <row r="13">
      <c r="A13" s="31">
        <v>12</v>
      </c>
      <c r="B13" s="31">
        <v>10</v>
      </c>
      <c r="C13" s="31">
        <v>12</v>
      </c>
    </row>
    <row r="14">
      <c r="A14" s="31">
        <v>13</v>
      </c>
      <c r="B14" s="31">
        <v>12.5</v>
      </c>
      <c r="C14" s="31">
        <v>13</v>
      </c>
    </row>
    <row r="15">
      <c r="A15" s="31">
        <v>14</v>
      </c>
      <c r="B15" s="31">
        <v>15</v>
      </c>
      <c r="C15" s="31">
        <v>14</v>
      </c>
    </row>
    <row r="16">
      <c r="A16" s="31">
        <v>15</v>
      </c>
      <c r="B16" s="31">
        <v>17.5</v>
      </c>
      <c r="C16" s="31">
        <v>15</v>
      </c>
    </row>
    <row r="17">
      <c r="A17" s="31">
        <v>16</v>
      </c>
      <c r="B17" s="31">
        <v>20</v>
      </c>
      <c r="C17" s="31">
        <v>16</v>
      </c>
    </row>
    <row r="18">
      <c r="A18" s="31">
        <v>17</v>
      </c>
      <c r="B18" s="31">
        <v>22.5</v>
      </c>
      <c r="C18" s="31">
        <v>17</v>
      </c>
    </row>
    <row r="19">
      <c r="A19" s="31">
        <v>18</v>
      </c>
      <c r="B19" s="31">
        <v>25</v>
      </c>
      <c r="C19" s="31">
        <v>18</v>
      </c>
    </row>
    <row r="20">
      <c r="A20" s="31">
        <v>19</v>
      </c>
      <c r="B20" s="31">
        <v>27.5</v>
      </c>
      <c r="C20" s="31">
        <v>19</v>
      </c>
    </row>
    <row r="21">
      <c r="A21" s="31">
        <v>20</v>
      </c>
      <c r="B21" s="31">
        <v>30</v>
      </c>
      <c r="C21" s="31">
        <v>20</v>
      </c>
    </row>
    <row r="22">
      <c r="A22" s="31">
        <v>21</v>
      </c>
      <c r="B22" s="31">
        <v>12.5</v>
      </c>
      <c r="C22" s="31">
        <v>21</v>
      </c>
    </row>
    <row r="23">
      <c r="A23" s="31">
        <v>22</v>
      </c>
      <c r="B23" s="31">
        <v>15</v>
      </c>
      <c r="C23" s="31">
        <v>22</v>
      </c>
    </row>
    <row r="24">
      <c r="A24" s="31">
        <v>23</v>
      </c>
      <c r="B24" s="31">
        <v>17.5</v>
      </c>
      <c r="C24" s="31">
        <v>23</v>
      </c>
    </row>
    <row r="25">
      <c r="A25" s="31">
        <v>24</v>
      </c>
      <c r="B25" s="31">
        <v>20</v>
      </c>
      <c r="C25" s="31">
        <v>24</v>
      </c>
    </row>
    <row r="26">
      <c r="A26" s="31">
        <v>25</v>
      </c>
      <c r="B26" s="31">
        <v>22.5</v>
      </c>
      <c r="C26" s="31">
        <v>25</v>
      </c>
    </row>
    <row r="27">
      <c r="A27" s="31">
        <v>26</v>
      </c>
      <c r="B27" s="31">
        <v>25</v>
      </c>
      <c r="C27" s="31">
        <v>26</v>
      </c>
    </row>
    <row r="28">
      <c r="A28" s="31">
        <v>27</v>
      </c>
      <c r="B28" s="31">
        <v>27.5</v>
      </c>
      <c r="C28" s="31">
        <v>27</v>
      </c>
    </row>
    <row r="29">
      <c r="A29" s="31">
        <v>28</v>
      </c>
      <c r="B29" s="31">
        <v>30</v>
      </c>
      <c r="C29" s="31">
        <v>28</v>
      </c>
    </row>
    <row r="30">
      <c r="A30" s="31">
        <v>29</v>
      </c>
      <c r="B30" s="31">
        <v>32.5</v>
      </c>
      <c r="C30" s="31">
        <v>29</v>
      </c>
    </row>
    <row r="31">
      <c r="A31" s="31">
        <v>30</v>
      </c>
      <c r="B31" s="31">
        <v>35</v>
      </c>
      <c r="C31" s="31">
        <v>30</v>
      </c>
    </row>
    <row r="32">
      <c r="A32" s="31">
        <v>31</v>
      </c>
      <c r="B32" s="31">
        <v>20</v>
      </c>
      <c r="C32" s="31">
        <v>31</v>
      </c>
    </row>
    <row r="33">
      <c r="A33" s="31">
        <v>32</v>
      </c>
      <c r="B33" s="31">
        <v>22.5</v>
      </c>
      <c r="C33" s="31">
        <v>32</v>
      </c>
    </row>
    <row r="34">
      <c r="A34" s="31">
        <v>33</v>
      </c>
      <c r="B34" s="31">
        <v>25</v>
      </c>
      <c r="C34" s="31">
        <v>33</v>
      </c>
    </row>
    <row r="35">
      <c r="A35" s="31">
        <v>34</v>
      </c>
      <c r="B35" s="31">
        <v>27.5</v>
      </c>
      <c r="C35" s="31">
        <v>34</v>
      </c>
    </row>
    <row r="36">
      <c r="A36" s="31">
        <v>35</v>
      </c>
      <c r="B36" s="31">
        <v>30</v>
      </c>
      <c r="C36" s="31">
        <v>35</v>
      </c>
    </row>
    <row r="37">
      <c r="A37" s="31">
        <v>36</v>
      </c>
      <c r="B37" s="31">
        <v>32.5</v>
      </c>
      <c r="C37" s="31">
        <v>36</v>
      </c>
    </row>
    <row r="38">
      <c r="A38" s="31">
        <v>37</v>
      </c>
      <c r="B38" s="31">
        <v>35</v>
      </c>
      <c r="C38" s="31">
        <v>37</v>
      </c>
    </row>
    <row r="39">
      <c r="A39" s="31">
        <v>38</v>
      </c>
      <c r="B39" s="31">
        <v>37.5</v>
      </c>
      <c r="C39" s="31">
        <v>38</v>
      </c>
    </row>
    <row r="40">
      <c r="A40" s="31">
        <v>39</v>
      </c>
      <c r="B40" s="31">
        <v>40</v>
      </c>
      <c r="C40" s="31">
        <v>39</v>
      </c>
    </row>
    <row r="41">
      <c r="A41" s="31">
        <v>40</v>
      </c>
      <c r="B41" s="31">
        <v>42.5</v>
      </c>
      <c r="C41" s="31">
        <v>40</v>
      </c>
    </row>
    <row r="42">
      <c r="A42" s="31">
        <v>41</v>
      </c>
      <c r="B42" s="31">
        <v>27.5</v>
      </c>
      <c r="C42" s="31">
        <v>41</v>
      </c>
    </row>
    <row r="43">
      <c r="A43" s="31">
        <v>42</v>
      </c>
      <c r="B43" s="31">
        <v>30</v>
      </c>
      <c r="C43" s="31">
        <v>42</v>
      </c>
    </row>
    <row r="44">
      <c r="A44" s="31">
        <v>43</v>
      </c>
      <c r="B44" s="31">
        <v>32.5</v>
      </c>
      <c r="C44" s="31">
        <v>43</v>
      </c>
    </row>
    <row r="45">
      <c r="A45" s="31">
        <v>44</v>
      </c>
      <c r="B45" s="31">
        <v>35</v>
      </c>
      <c r="C45" s="31">
        <v>44</v>
      </c>
    </row>
    <row r="46">
      <c r="A46" s="31">
        <v>45</v>
      </c>
      <c r="B46" s="31">
        <v>37.5</v>
      </c>
      <c r="C46" s="31">
        <v>45</v>
      </c>
    </row>
    <row r="47">
      <c r="A47" s="31">
        <v>46</v>
      </c>
      <c r="B47" s="31">
        <v>40</v>
      </c>
      <c r="C47" s="31">
        <v>46</v>
      </c>
    </row>
    <row r="48">
      <c r="A48" s="31">
        <v>47</v>
      </c>
      <c r="B48" s="31">
        <v>42.5</v>
      </c>
      <c r="C48" s="31">
        <v>47</v>
      </c>
    </row>
    <row r="49">
      <c r="A49" s="31">
        <v>48</v>
      </c>
      <c r="B49" s="31">
        <v>45</v>
      </c>
      <c r="C49" s="31">
        <v>48</v>
      </c>
    </row>
    <row r="50">
      <c r="A50" s="31">
        <v>49</v>
      </c>
      <c r="B50" s="31">
        <v>47.5</v>
      </c>
      <c r="C50" s="31">
        <v>49</v>
      </c>
    </row>
    <row r="51">
      <c r="A51" s="31">
        <v>50</v>
      </c>
      <c r="B51" s="31">
        <v>50</v>
      </c>
      <c r="C51" s="31">
        <v>50</v>
      </c>
    </row>
    <row r="52">
      <c r="A52" s="31"/>
      <c r="B52" s="31"/>
      <c r="C52" s="31"/>
    </row>
    <row r="53">
      <c r="A53" s="31"/>
      <c r="B53" s="31"/>
      <c r="C53" s="31"/>
    </row>
    <row r="54">
      <c r="A54" s="31"/>
      <c r="B54" s="31"/>
      <c r="C54" s="31"/>
    </row>
    <row r="55">
      <c r="A55" s="31"/>
      <c r="B55" s="31"/>
      <c r="C55" s="31"/>
    </row>
    <row r="56">
      <c r="A56" s="31"/>
      <c r="B56" s="31"/>
      <c r="C56" s="31"/>
    </row>
    <row r="57">
      <c r="A57" s="31"/>
      <c r="B57" s="31"/>
      <c r="C57" s="31"/>
    </row>
    <row r="58">
      <c r="A58" s="31"/>
      <c r="B58" s="31"/>
      <c r="C58" s="31"/>
    </row>
    <row r="59">
      <c r="A59" s="31"/>
      <c r="B59" s="31"/>
      <c r="C59" s="31"/>
    </row>
    <row r="60">
      <c r="A60" s="31"/>
      <c r="B60" s="31"/>
      <c r="C60" s="31"/>
    </row>
    <row r="61">
      <c r="A61" s="31"/>
      <c r="B61" s="31"/>
      <c r="C61" s="31"/>
    </row>
    <row r="62">
      <c r="A62" s="31"/>
      <c r="B62" s="31"/>
      <c r="C62" s="31"/>
    </row>
    <row r="63">
      <c r="A63" s="31"/>
      <c r="B63" s="31"/>
      <c r="C63" s="31"/>
    </row>
    <row r="64">
      <c r="A64" s="31"/>
      <c r="B64" s="31"/>
      <c r="C64" s="31"/>
    </row>
    <row r="65">
      <c r="A65" s="31"/>
      <c r="B65" s="31"/>
      <c r="C65" s="31"/>
    </row>
    <row r="66">
      <c r="A66" s="31"/>
      <c r="B66" s="31"/>
      <c r="C66" s="31"/>
    </row>
    <row r="67">
      <c r="A67" s="31"/>
      <c r="B67" s="31"/>
      <c r="C67" s="31"/>
    </row>
    <row r="68">
      <c r="A68" s="31"/>
      <c r="B68" s="31"/>
      <c r="C68" s="31"/>
    </row>
    <row r="69">
      <c r="A69" s="31"/>
      <c r="B69" s="31"/>
      <c r="C69" s="31"/>
    </row>
    <row r="70">
      <c r="A70" s="31"/>
      <c r="B70" s="31"/>
      <c r="C70" s="31"/>
    </row>
    <row r="71">
      <c r="A71" s="31"/>
      <c r="B71" s="31"/>
      <c r="C71" s="31"/>
    </row>
    <row r="72">
      <c r="A72" s="31"/>
      <c r="B72" s="31"/>
      <c r="C72" s="31"/>
    </row>
    <row r="73">
      <c r="A73" s="31"/>
      <c r="B73" s="31"/>
      <c r="C73" s="31"/>
    </row>
    <row r="74">
      <c r="A74" s="31"/>
      <c r="B74" s="31"/>
      <c r="C74" s="31"/>
    </row>
    <row r="75">
      <c r="A75" s="31"/>
      <c r="B75" s="31"/>
      <c r="C75" s="31"/>
    </row>
    <row r="76">
      <c r="A76" s="31"/>
      <c r="B76" s="31"/>
      <c r="C76" s="31"/>
    </row>
    <row r="77">
      <c r="A77" s="31"/>
      <c r="B77" s="31"/>
      <c r="C77" s="31"/>
    </row>
    <row r="78">
      <c r="A78" s="31"/>
      <c r="B78" s="31"/>
      <c r="C78" s="31"/>
    </row>
    <row r="79">
      <c r="A79" s="31"/>
      <c r="B79" s="31"/>
      <c r="C79" s="31"/>
    </row>
    <row r="80">
      <c r="A80" s="31"/>
      <c r="B80" s="31"/>
      <c r="C80" s="31"/>
    </row>
    <row r="81">
      <c r="A81" s="31"/>
      <c r="B81" s="31"/>
      <c r="C81" s="31"/>
    </row>
    <row r="82">
      <c r="A82" s="31"/>
      <c r="B82" s="31"/>
      <c r="C82" s="31"/>
    </row>
    <row r="83">
      <c r="A83" s="31"/>
      <c r="B83" s="31"/>
      <c r="C83" s="31"/>
    </row>
    <row r="84">
      <c r="A84" s="31"/>
      <c r="B84" s="31"/>
      <c r="C84" s="31"/>
    </row>
    <row r="85">
      <c r="A85" s="31"/>
      <c r="B85" s="31"/>
      <c r="C85" s="31"/>
    </row>
    <row r="86">
      <c r="A86" s="31"/>
      <c r="B86" s="31"/>
      <c r="C86" s="31"/>
    </row>
    <row r="87">
      <c r="A87" s="31"/>
      <c r="B87" s="31"/>
      <c r="C87" s="31"/>
    </row>
    <row r="88">
      <c r="A88" s="31"/>
      <c r="B88" s="31"/>
      <c r="C88" s="31"/>
    </row>
    <row r="89">
      <c r="A89" s="31"/>
      <c r="B89" s="31"/>
      <c r="C89" s="31"/>
    </row>
    <row r="90">
      <c r="A90" s="31"/>
      <c r="B90" s="31"/>
      <c r="C90" s="31"/>
    </row>
    <row r="91">
      <c r="A91" s="31"/>
      <c r="B91" s="31"/>
      <c r="C91" s="31"/>
    </row>
    <row r="92">
      <c r="A92" s="31"/>
      <c r="B92" s="31"/>
      <c r="C92" s="31"/>
    </row>
    <row r="93">
      <c r="A93" s="31"/>
      <c r="B93" s="31"/>
      <c r="C93" s="31"/>
    </row>
    <row r="94">
      <c r="A94" s="31"/>
      <c r="B94" s="31"/>
      <c r="C94" s="31"/>
    </row>
    <row r="95">
      <c r="A95" s="31"/>
      <c r="B95" s="31"/>
      <c r="C95" s="31"/>
    </row>
    <row r="96">
      <c r="A96" s="31"/>
      <c r="B96" s="31"/>
      <c r="C96" s="31"/>
    </row>
    <row r="97">
      <c r="A97" s="31"/>
      <c r="B97" s="31"/>
      <c r="C97" s="31"/>
    </row>
    <row r="98">
      <c r="A98" s="31"/>
      <c r="B98" s="31"/>
      <c r="C98" s="31"/>
    </row>
    <row r="99">
      <c r="A99" s="31"/>
      <c r="B99" s="31"/>
      <c r="C99" s="31"/>
    </row>
    <row r="100">
      <c r="A100" s="31"/>
      <c r="B100" s="31"/>
      <c r="C100" s="31"/>
    </row>
    <row r="101">
      <c r="A101" s="31"/>
      <c r="B101" s="31"/>
      <c r="C101" s="31"/>
    </row>
    <row r="102">
      <c r="A102" s="31"/>
      <c r="B102" s="31"/>
      <c r="C102" s="31"/>
    </row>
    <row r="103">
      <c r="A103" s="31"/>
      <c r="B103" s="31"/>
      <c r="C103" s="31"/>
    </row>
    <row r="104">
      <c r="A104" s="31"/>
      <c r="B104" s="31"/>
      <c r="C104" s="31"/>
    </row>
    <row r="105">
      <c r="A105" s="31"/>
      <c r="B105" s="31"/>
      <c r="C105" s="31"/>
    </row>
    <row r="106">
      <c r="A106" s="31"/>
      <c r="B106" s="31"/>
      <c r="C106" s="31"/>
    </row>
    <row r="107">
      <c r="A107" s="31"/>
      <c r="B107" s="31"/>
      <c r="C107" s="31"/>
    </row>
    <row r="108">
      <c r="A108" s="31"/>
      <c r="B108" s="31"/>
      <c r="C108" s="31"/>
    </row>
    <row r="109">
      <c r="A109" s="31"/>
      <c r="B109" s="31"/>
      <c r="C109" s="31"/>
    </row>
    <row r="110">
      <c r="A110" s="31"/>
      <c r="B110" s="31"/>
      <c r="C110" s="31"/>
    </row>
    <row r="111">
      <c r="A111" s="31"/>
      <c r="B111" s="31"/>
      <c r="C111" s="31"/>
    </row>
    <row r="112">
      <c r="A112" s="31"/>
      <c r="B112" s="31"/>
      <c r="C112" s="31"/>
    </row>
    <row r="113">
      <c r="A113" s="31"/>
      <c r="B113" s="31"/>
      <c r="C113" s="31"/>
    </row>
    <row r="114">
      <c r="A114" s="31"/>
      <c r="B114" s="31"/>
      <c r="C114" s="31"/>
    </row>
    <row r="115">
      <c r="A115" s="31"/>
      <c r="B115" s="31"/>
      <c r="C115" s="31"/>
    </row>
    <row r="116">
      <c r="A116" s="31"/>
      <c r="B116" s="31"/>
      <c r="C116" s="31"/>
    </row>
    <row r="117">
      <c r="A117" s="31"/>
      <c r="B117" s="31"/>
      <c r="C117" s="31"/>
    </row>
    <row r="118">
      <c r="A118" s="31"/>
      <c r="B118" s="31"/>
      <c r="C118" s="31"/>
    </row>
    <row r="119">
      <c r="A119" s="31"/>
      <c r="B119" s="31"/>
      <c r="C119" s="31"/>
    </row>
    <row r="120">
      <c r="A120" s="31"/>
      <c r="B120" s="31"/>
      <c r="C120" s="31"/>
    </row>
    <row r="121">
      <c r="A121" s="31"/>
      <c r="B121" s="31"/>
      <c r="C121" s="31"/>
    </row>
    <row r="122">
      <c r="A122" s="31"/>
      <c r="B122" s="31"/>
      <c r="C122" s="31"/>
    </row>
    <row r="123">
      <c r="A123" s="31"/>
      <c r="B123" s="31"/>
      <c r="C123" s="31"/>
    </row>
    <row r="124">
      <c r="A124" s="31"/>
      <c r="B124" s="31"/>
      <c r="C124" s="31"/>
    </row>
    <row r="125">
      <c r="A125" s="31"/>
      <c r="B125" s="31"/>
      <c r="C125" s="31"/>
    </row>
    <row r="126">
      <c r="A126" s="31"/>
      <c r="B126" s="31"/>
      <c r="C126" s="31"/>
    </row>
    <row r="127">
      <c r="A127" s="31"/>
      <c r="B127" s="31"/>
      <c r="C127" s="31"/>
    </row>
    <row r="128">
      <c r="A128" s="31"/>
      <c r="B128" s="31"/>
      <c r="C128" s="31"/>
    </row>
    <row r="129">
      <c r="A129" s="31"/>
      <c r="B129" s="31"/>
      <c r="C129" s="31"/>
    </row>
    <row r="130">
      <c r="A130" s="31"/>
      <c r="B130" s="31"/>
      <c r="C130" s="31"/>
    </row>
    <row r="131">
      <c r="A131" s="31"/>
      <c r="B131" s="31"/>
      <c r="C131" s="31"/>
    </row>
    <row r="132">
      <c r="A132" s="31"/>
      <c r="B132" s="31"/>
      <c r="C132" s="31"/>
    </row>
    <row r="133">
      <c r="A133" s="31"/>
      <c r="B133" s="31"/>
      <c r="C133" s="31"/>
    </row>
    <row r="134">
      <c r="A134" s="31"/>
      <c r="B134" s="31"/>
      <c r="C134" s="31"/>
    </row>
    <row r="135">
      <c r="A135" s="31"/>
      <c r="B135" s="31"/>
      <c r="C135" s="31"/>
    </row>
    <row r="136">
      <c r="A136" s="31"/>
      <c r="B136" s="31"/>
      <c r="C136" s="31"/>
    </row>
    <row r="137">
      <c r="A137" s="31"/>
      <c r="B137" s="31"/>
      <c r="C137" s="31"/>
    </row>
    <row r="138">
      <c r="A138" s="31"/>
      <c r="B138" s="31"/>
      <c r="C138" s="31"/>
    </row>
    <row r="139">
      <c r="A139" s="31"/>
      <c r="B139" s="31"/>
      <c r="C139" s="31"/>
    </row>
    <row r="140">
      <c r="A140" s="31"/>
      <c r="B140" s="31"/>
      <c r="C140" s="31"/>
    </row>
    <row r="141">
      <c r="A141" s="31"/>
      <c r="B141" s="31"/>
      <c r="C141" s="31"/>
    </row>
    <row r="142">
      <c r="A142" s="31"/>
      <c r="B142" s="31"/>
      <c r="C142" s="31"/>
    </row>
    <row r="143">
      <c r="A143" s="31"/>
      <c r="B143" s="31"/>
      <c r="C143" s="31"/>
    </row>
    <row r="144">
      <c r="A144" s="31"/>
      <c r="B144" s="31"/>
      <c r="C144" s="31"/>
    </row>
    <row r="145">
      <c r="A145" s="31"/>
      <c r="B145" s="31"/>
      <c r="C145" s="31"/>
    </row>
    <row r="146">
      <c r="A146" s="31"/>
      <c r="B146" s="31"/>
      <c r="C146" s="31"/>
    </row>
    <row r="147">
      <c r="A147" s="31"/>
      <c r="B147" s="31"/>
      <c r="C147" s="31"/>
    </row>
    <row r="148">
      <c r="A148" s="31"/>
      <c r="B148" s="31"/>
      <c r="C148" s="31"/>
    </row>
    <row r="149">
      <c r="A149" s="31"/>
      <c r="B149" s="31"/>
      <c r="C149" s="31"/>
    </row>
    <row r="150">
      <c r="A150" s="31"/>
      <c r="B150" s="31"/>
      <c r="C150" s="31"/>
    </row>
    <row r="151">
      <c r="A151" s="31"/>
      <c r="B151" s="31"/>
      <c r="C151" s="31"/>
    </row>
    <row r="152">
      <c r="A152" s="31"/>
      <c r="B152" s="31"/>
      <c r="C152" s="31"/>
    </row>
    <row r="153">
      <c r="A153" s="31"/>
      <c r="B153" s="31"/>
      <c r="C153" s="31"/>
    </row>
    <row r="154">
      <c r="A154" s="31"/>
      <c r="B154" s="31"/>
      <c r="C154" s="31"/>
    </row>
    <row r="155">
      <c r="A155" s="31"/>
      <c r="B155" s="31"/>
      <c r="C155" s="31"/>
    </row>
    <row r="156">
      <c r="A156" s="31"/>
      <c r="B156" s="31"/>
      <c r="C156" s="31"/>
    </row>
    <row r="157">
      <c r="A157" s="31"/>
      <c r="B157" s="31"/>
      <c r="C157" s="31"/>
    </row>
    <row r="158">
      <c r="A158" s="31"/>
      <c r="B158" s="31"/>
      <c r="C158" s="31"/>
    </row>
    <row r="159">
      <c r="A159" s="31"/>
      <c r="B159" s="31"/>
      <c r="C159" s="31"/>
    </row>
    <row r="160">
      <c r="A160" s="31"/>
      <c r="B160" s="31"/>
      <c r="C160" s="31"/>
    </row>
    <row r="161">
      <c r="A161" s="31"/>
      <c r="B161" s="31"/>
      <c r="C161" s="31"/>
    </row>
    <row r="162">
      <c r="A162" s="31"/>
      <c r="B162" s="31"/>
      <c r="C162" s="31"/>
    </row>
    <row r="163">
      <c r="A163" s="31"/>
      <c r="B163" s="31"/>
      <c r="C163" s="31"/>
    </row>
    <row r="164">
      <c r="A164" s="31"/>
      <c r="B164" s="31"/>
      <c r="C164" s="31"/>
    </row>
    <row r="165">
      <c r="A165" s="31"/>
      <c r="B165" s="31"/>
      <c r="C165" s="31"/>
    </row>
    <row r="166">
      <c r="A166" s="31"/>
      <c r="B166" s="31"/>
      <c r="C166" s="31"/>
    </row>
    <row r="167">
      <c r="A167" s="31"/>
      <c r="B167" s="31"/>
      <c r="C167" s="31"/>
    </row>
    <row r="168">
      <c r="A168" s="31"/>
      <c r="B168" s="31"/>
      <c r="C168" s="31"/>
    </row>
    <row r="169">
      <c r="A169" s="31"/>
      <c r="B169" s="31"/>
      <c r="C169" s="31"/>
    </row>
    <row r="170">
      <c r="A170" s="31"/>
      <c r="B170" s="31"/>
      <c r="C170" s="31"/>
    </row>
    <row r="171">
      <c r="A171" s="31"/>
      <c r="B171" s="31"/>
      <c r="C171" s="31"/>
    </row>
    <row r="172">
      <c r="A172" s="31"/>
      <c r="B172" s="31"/>
      <c r="C172" s="31"/>
    </row>
    <row r="173">
      <c r="A173" s="31"/>
      <c r="B173" s="31"/>
      <c r="C173" s="31"/>
    </row>
    <row r="174">
      <c r="A174" s="31"/>
      <c r="B174" s="31"/>
      <c r="C174" s="31"/>
    </row>
    <row r="175">
      <c r="A175" s="31"/>
      <c r="B175" s="31"/>
      <c r="C175" s="31"/>
    </row>
    <row r="176">
      <c r="A176" s="31"/>
      <c r="B176" s="31"/>
      <c r="C176" s="31"/>
    </row>
    <row r="177">
      <c r="A177" s="31"/>
      <c r="B177" s="31"/>
      <c r="C177" s="31"/>
    </row>
    <row r="178">
      <c r="A178" s="31"/>
      <c r="B178" s="31"/>
      <c r="C178" s="31"/>
    </row>
    <row r="179">
      <c r="A179" s="31"/>
      <c r="B179" s="31"/>
      <c r="C179" s="31"/>
    </row>
    <row r="180">
      <c r="A180" s="31"/>
      <c r="B180" s="31"/>
      <c r="C180" s="31"/>
    </row>
    <row r="181">
      <c r="A181" s="31"/>
      <c r="B181" s="31"/>
      <c r="C181" s="31"/>
    </row>
    <row r="182">
      <c r="A182" s="31"/>
      <c r="B182" s="31"/>
      <c r="C182" s="31"/>
    </row>
    <row r="183">
      <c r="A183" s="31"/>
      <c r="B183" s="31"/>
      <c r="C183" s="31"/>
    </row>
    <row r="184">
      <c r="A184" s="31"/>
      <c r="B184" s="31"/>
      <c r="C184" s="31"/>
    </row>
    <row r="185">
      <c r="A185" s="31"/>
      <c r="B185" s="31"/>
      <c r="C185" s="31"/>
    </row>
    <row r="186">
      <c r="A186" s="31"/>
      <c r="B186" s="31"/>
      <c r="C186" s="31"/>
    </row>
    <row r="187">
      <c r="A187" s="31"/>
      <c r="B187" s="31"/>
      <c r="C187" s="31"/>
    </row>
    <row r="188">
      <c r="A188" s="31"/>
      <c r="B188" s="31"/>
      <c r="C188" s="31"/>
    </row>
    <row r="189">
      <c r="A189" s="31"/>
      <c r="B189" s="31"/>
      <c r="C189" s="31"/>
    </row>
    <row r="190">
      <c r="A190" s="31"/>
      <c r="B190" s="31"/>
      <c r="C190" s="31"/>
    </row>
    <row r="191">
      <c r="A191" s="31"/>
      <c r="B191" s="31"/>
      <c r="C191" s="31"/>
    </row>
    <row r="192">
      <c r="A192" s="31"/>
      <c r="B192" s="31"/>
      <c r="C192" s="31"/>
    </row>
    <row r="193">
      <c r="A193" s="31"/>
      <c r="B193" s="31"/>
      <c r="C193" s="31"/>
    </row>
    <row r="194">
      <c r="A194" s="31"/>
      <c r="B194" s="31"/>
      <c r="C194" s="31"/>
    </row>
    <row r="195">
      <c r="A195" s="31"/>
      <c r="B195" s="31"/>
      <c r="C195" s="31"/>
    </row>
    <row r="196">
      <c r="A196" s="31"/>
      <c r="B196" s="31"/>
      <c r="C196" s="31"/>
    </row>
    <row r="197">
      <c r="A197" s="31"/>
      <c r="B197" s="31"/>
      <c r="C197" s="31"/>
    </row>
    <row r="198">
      <c r="A198" s="31"/>
      <c r="B198" s="31"/>
      <c r="C198" s="31"/>
    </row>
    <row r="199">
      <c r="A199" s="31"/>
      <c r="B199" s="31"/>
      <c r="C199" s="31"/>
    </row>
    <row r="200">
      <c r="A200" s="31"/>
      <c r="B200" s="31"/>
      <c r="C200" s="31"/>
    </row>
  </sheetData>
  <drawing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30"/>
    <col collapsed="false" customWidth="true" hidden="false" max="3" min="3" style="0" width="12"/>
    <col collapsed="false" customWidth="true" hidden="false" max="4" min="4" style="0" width="8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6"/>
    <col collapsed="false" customWidth="true" hidden="false" max="9" min="9" style="0" width="11"/>
    <col collapsed="false" customWidth="true" hidden="false" max="10" min="10" style="0" width="8"/>
    <col collapsed="false" customWidth="true" hidden="false" max="11" min="11" style="0" width="14"/>
    <col collapsed="false" customWidth="true" hidden="false" max="12" min="12" style="0" width="16"/>
    <col collapsed="false" customWidth="true" hidden="false" max="13" min="13" style="0" width="5"/>
    <col collapsed="false" customWidth="true" hidden="false" max="14" min="14" style="0" width="10"/>
    <col collapsed="false" customWidth="true" hidden="false" max="15" min="15" style="0" width="11"/>
  </cols>
  <sheetData>
    <row r="1">
      <c r="A1" s="156"/>
      <c r="B1" s="155"/>
      <c r="C1" s="155" t="str">
        <v>Health Result</v>
      </c>
      <c r="D1" s="155" t="str">
        <v>Health</v>
      </c>
      <c r="E1" s="155" t="str">
        <v>Armor</v>
      </c>
      <c r="F1" s="155" t="str">
        <v>Speed</v>
      </c>
      <c r="G1" s="155" t="str">
        <v>Strength</v>
      </c>
      <c r="H1" s="155" t="str">
        <v>Reflex</v>
      </c>
      <c r="I1" s="155" t="str">
        <v>Intelligence</v>
      </c>
      <c r="J1" s="155" t="str">
        <v>Stamina</v>
      </c>
      <c r="K1" s="155" t="str">
        <v>Stamina Regain</v>
      </c>
      <c r="L1" s="155" t="str">
        <v>Stamina Regain CD</v>
      </c>
      <c r="M1" s="155" t="str">
        <v>Poise</v>
      </c>
      <c r="N1" s="155" t="str">
        <v>Poise Level</v>
      </c>
      <c r="O1" s="155" t="str">
        <v>Poise Regain</v>
      </c>
    </row>
    <row r="2">
      <c r="A2" s="9"/>
      <c r="B2" s="151"/>
      <c r="C2" s="151" t="str">
        <v>生命值</v>
      </c>
      <c r="D2" s="151" t="str">
        <v>基础生命</v>
      </c>
      <c r="E2" s="151" t="str">
        <v>基础护甲</v>
      </c>
      <c r="F2" s="151" t="str">
        <v>移动速度</v>
      </c>
      <c r="G2" s="151" t="str">
        <v>力量</v>
      </c>
      <c r="H2" s="151" t="str">
        <v>反应</v>
      </c>
      <c r="I2" s="151" t="str">
        <v>智力</v>
      </c>
      <c r="J2" s="151" t="str">
        <v>体力</v>
      </c>
      <c r="K2" s="151" t="str">
        <v>体力恢复率</v>
      </c>
      <c r="L2" s="151" t="str">
        <v>体力恢复冷却</v>
      </c>
      <c r="M2" s="151" t="str">
        <v>韧性</v>
      </c>
      <c r="N2" s="151" t="str">
        <v>韧性等级</v>
      </c>
      <c r="O2" s="151" t="str">
        <v>韧性恢复速率</v>
      </c>
    </row>
    <row r="3">
      <c r="A3" s="9" t="str">
        <v>Player</v>
      </c>
      <c r="B3" s="9" t="str">
        <v>玩家</v>
      </c>
      <c r="C3" s="107"/>
      <c r="D3" s="107">
        <v>50</v>
      </c>
      <c r="E3" s="107">
        <v>50</v>
      </c>
      <c r="F3" s="107">
        <v>440</v>
      </c>
      <c r="G3" s="107">
        <v>10</v>
      </c>
      <c r="H3" s="107">
        <v>10</v>
      </c>
      <c r="I3" s="107">
        <v>10</v>
      </c>
      <c r="J3" s="107">
        <v>100</v>
      </c>
      <c r="K3" s="107">
        <v>25</v>
      </c>
      <c r="L3" s="107">
        <v>1.5</v>
      </c>
      <c r="M3" s="107">
        <v>100</v>
      </c>
      <c r="N3" s="107">
        <v>1</v>
      </c>
      <c r="O3" s="140">
        <v>66.66666666666667</v>
      </c>
    </row>
    <row r="4">
      <c r="A4" s="12"/>
      <c r="B4" s="9" t="s">
        <v>16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>
      <c r="A5" s="12"/>
      <c r="B5" s="9" t="s">
        <v>24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>
      <c r="A6" s="12"/>
      <c r="B6" s="9" t="s">
        <v>15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>
      <c r="A7" s="12"/>
      <c r="B7" s="9" t="s">
        <v>22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>
      <c r="A8" s="12"/>
      <c r="B8" s="9" t="s">
        <v>23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>
      <c r="A9" s="12"/>
      <c r="B9" s="9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>
      <c r="A10" s="9"/>
      <c r="B10" s="23" t="s">
        <v>21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>
      <c r="A11" s="9"/>
      <c r="B11" s="23" t="s">
        <v>18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>
      <c r="A12" s="9"/>
      <c r="B12" s="23" t="s">
        <v>19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>
      <c r="A13" s="9"/>
      <c r="B13" s="23" t="s">
        <v>17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9"/>
      <c r="B14" s="2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9"/>
      <c r="B15" s="2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9"/>
      <c r="B16" s="2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>
      <c r="A17" s="9"/>
      <c r="B17" s="2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>
      <c r="A18" s="9"/>
      <c r="B18" s="2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>
      <c r="A19" s="9"/>
      <c r="B19" s="2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>
      <c r="A20" s="9"/>
      <c r="B20" s="2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>
      <c r="A21" s="9"/>
      <c r="B21" s="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>
      <c r="A22" s="9"/>
      <c r="B22" s="2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>
      <c r="A23" s="9"/>
      <c r="B23" s="2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>
      <c r="A24" s="9"/>
      <c r="B24" s="2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>
      <c r="A25" s="9"/>
      <c r="B25" s="2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>
      <c r="A26" s="9"/>
      <c r="B26" s="2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>
      <c r="A27" s="9"/>
      <c r="B27" s="2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>
      <c r="A28" s="9"/>
      <c r="B28" s="2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>
      <c r="A29" s="9"/>
      <c r="B29" s="2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>
      <c r="A30" s="9"/>
      <c r="B30" s="2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>
      <c r="A31" s="9"/>
      <c r="B31" s="2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>
      <c r="A32" s="9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A33" s="9"/>
      <c r="B33" s="2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9"/>
      <c r="B34" s="2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A35" s="9"/>
      <c r="B35" s="2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A36" s="9"/>
      <c r="B36" s="2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A37" s="9"/>
      <c r="B37" s="2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9"/>
      <c r="B38" s="2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>
      <c r="A39" s="9"/>
      <c r="B39" s="2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9"/>
      <c r="B40" s="2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9"/>
      <c r="B41" s="2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9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>
      <c r="A43" s="9"/>
      <c r="B43" s="2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>
      <c r="A44" s="9"/>
      <c r="B44" s="2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>
      <c r="A45" s="9"/>
      <c r="B45" s="2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>
      <c r="A46" s="9"/>
      <c r="B46" s="2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>
      <c r="A47" s="9"/>
      <c r="B47" s="2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>
      <c r="A48" s="9"/>
      <c r="B48" s="2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>
      <c r="A49" s="9"/>
      <c r="B49" s="2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>
      <c r="A50" s="9"/>
      <c r="B50" s="2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>
      <c r="A51" s="9"/>
      <c r="B51" s="2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>
      <c r="A52" s="9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>
      <c r="A53" s="9"/>
      <c r="B53" s="2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>
      <c r="A54" s="9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>
      <c r="A55" s="9"/>
      <c r="B55" s="2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>
      <c r="A56" s="9"/>
      <c r="B56" s="2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>
      <c r="A57" s="9"/>
      <c r="B57" s="2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>
      <c r="A58" s="9"/>
      <c r="B58" s="2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>
      <c r="A59" s="9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>
      <c r="A60" s="9"/>
      <c r="B60" s="2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>
      <c r="A61" s="9"/>
      <c r="B61" s="2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>
      <c r="A62" s="9"/>
      <c r="B62" s="2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>
      <c r="A63" s="9"/>
      <c r="B63" s="2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>
      <c r="A64" s="9"/>
      <c r="B64" s="2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>
      <c r="A65" s="9"/>
      <c r="B65" s="2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>
      <c r="A66" s="9"/>
      <c r="B66" s="2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>
      <c r="A67" s="9"/>
      <c r="B67" s="2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>
      <c r="A68" s="9"/>
      <c r="B68" s="2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>
      <c r="A69" s="9"/>
      <c r="B69" s="2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>
      <c r="A70" s="9"/>
      <c r="B70" s="2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>
      <c r="A71" s="9"/>
      <c r="B71" s="2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>
      <c r="A72" s="9"/>
      <c r="B72" s="2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>
      <c r="A73" s="9"/>
      <c r="B73" s="2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>
      <c r="A74" s="9"/>
      <c r="B74" s="2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>
      <c r="A75" s="9"/>
      <c r="B75" s="2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>
      <c r="A76" s="9"/>
      <c r="B76" s="2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>
      <c r="A77" s="9"/>
      <c r="B77" s="2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>
      <c r="A78" s="9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>
      <c r="A79" s="9"/>
      <c r="B79" s="2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>
      <c r="A80" s="9"/>
      <c r="B80" s="2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>
      <c r="A81" s="9"/>
      <c r="B81" s="2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9"/>
      <c r="B82" s="2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>
      <c r="A83" s="9"/>
      <c r="B83" s="2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>
      <c r="A84" s="9"/>
      <c r="B84" s="2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>
      <c r="A85" s="9"/>
      <c r="B85" s="2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>
      <c r="A86" s="9"/>
      <c r="B86" s="2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>
      <c r="A87" s="9"/>
      <c r="B87" s="2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>
      <c r="A88" s="9"/>
      <c r="B88" s="2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>
      <c r="A89" s="9"/>
      <c r="B89" s="2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>
      <c r="A90" s="9"/>
      <c r="B90" s="2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>
      <c r="A91" s="9"/>
      <c r="B91" s="2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>
      <c r="A92" s="9"/>
      <c r="B92" s="2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>
      <c r="A93" s="9"/>
      <c r="B93" s="2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>
      <c r="A94" s="9"/>
      <c r="B94" s="2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>
      <c r="A95" s="9"/>
      <c r="B95" s="2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>
      <c r="A96" s="9"/>
      <c r="B96" s="2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>
      <c r="A97" s="9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>
      <c r="A98" s="9"/>
      <c r="B98" s="2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>
      <c r="A99" s="9"/>
      <c r="B99" s="2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>
      <c r="A100" s="9"/>
      <c r="B100" s="2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A101" s="9"/>
      <c r="B101" s="2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A102" s="9"/>
      <c r="B102" s="2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>
      <c r="A103" s="9"/>
      <c r="B103" s="2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>
      <c r="A104" s="9"/>
      <c r="B104" s="2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>
      <c r="A105" s="9"/>
      <c r="B105" s="2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>
      <c r="A106" s="9"/>
      <c r="B106" s="2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>
      <c r="A107" s="9"/>
      <c r="B107" s="2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>
      <c r="A108" s="9"/>
      <c r="B108" s="2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>
      <c r="A109" s="9"/>
      <c r="B109" s="2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>
      <c r="A110" s="9"/>
      <c r="B110" s="2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>
      <c r="A111" s="9"/>
      <c r="B111" s="2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>
      <c r="A112" s="9"/>
      <c r="B112" s="2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A113" s="9"/>
      <c r="B113" s="2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>
      <c r="A114" s="9"/>
      <c r="B114" s="2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>
      <c r="A115" s="9"/>
      <c r="B115" s="2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>
      <c r="A116" s="9"/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>
      <c r="A117" s="9"/>
      <c r="B117" s="2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>
      <c r="A118" s="9"/>
      <c r="B118" s="2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A119" s="9"/>
      <c r="B119" s="2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>
      <c r="A120" s="9"/>
      <c r="B120" s="2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>
      <c r="A121" s="9"/>
      <c r="B121" s="2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>
      <c r="A122" s="9"/>
      <c r="B122" s="2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A123" s="9"/>
      <c r="B123" s="2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>
      <c r="A124" s="9"/>
      <c r="B124" s="2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>
      <c r="A125" s="9"/>
      <c r="B125" s="2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>
      <c r="A126" s="9"/>
      <c r="B126" s="2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>
      <c r="A127" s="9"/>
      <c r="B127" s="2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>
      <c r="A128" s="9"/>
      <c r="B128" s="2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A129" s="9"/>
      <c r="B129" s="2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>
      <c r="A130" s="9"/>
      <c r="B130" s="2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>
      <c r="A131" s="9"/>
      <c r="B131" s="2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>
      <c r="A132" s="9"/>
      <c r="B132" s="2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>
      <c r="A133" s="9"/>
      <c r="B133" s="2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>
      <c r="A134" s="9"/>
      <c r="B134" s="2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A135" s="9"/>
      <c r="B135" s="2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>
      <c r="A136" s="9"/>
      <c r="B136" s="2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>
      <c r="A137" s="9"/>
      <c r="B137" s="2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>
      <c r="A138" s="9"/>
      <c r="B138" s="2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A139" s="9"/>
      <c r="B139" s="2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>
      <c r="A140" s="9"/>
      <c r="B140" s="2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>
      <c r="A141" s="9"/>
      <c r="B141" s="2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>
      <c r="A142" s="9"/>
      <c r="B142" s="2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>
      <c r="A143" s="9"/>
      <c r="B143" s="2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>
      <c r="A144" s="9"/>
      <c r="B144" s="2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>
      <c r="A145" s="9"/>
      <c r="B145" s="2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>
      <c r="A146" s="9"/>
      <c r="B146" s="2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>
      <c r="A147" s="9"/>
      <c r="B147" s="2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>
      <c r="A148" s="9"/>
      <c r="B148" s="2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>
      <c r="A149" s="9"/>
      <c r="B149" s="2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>
      <c r="A150" s="9"/>
      <c r="B150" s="2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>
      <c r="A151" s="9"/>
      <c r="B151" s="2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>
      <c r="A152" s="9"/>
      <c r="B152" s="2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>
      <c r="A153" s="9"/>
      <c r="B153" s="2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A154" s="9"/>
      <c r="B154" s="2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>
      <c r="A155" s="9"/>
      <c r="B155" s="2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>
      <c r="A156" s="9"/>
      <c r="B156" s="2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>
      <c r="A157" s="9"/>
      <c r="B157" s="2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>
      <c r="A158" s="9"/>
      <c r="B158" s="2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A159" s="9"/>
      <c r="B159" s="2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>
      <c r="A160" s="9"/>
      <c r="B160" s="2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>
      <c r="A161" s="9"/>
      <c r="B161" s="2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>
      <c r="A162" s="9"/>
      <c r="B162" s="2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>
      <c r="A163" s="9"/>
      <c r="B163" s="2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A164" s="9"/>
      <c r="B164" s="2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>
      <c r="A165" s="9"/>
      <c r="B165" s="2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>
      <c r="A166" s="9"/>
      <c r="B166" s="2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>
      <c r="A167" s="9"/>
      <c r="B167" s="2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>
      <c r="A168" s="9"/>
      <c r="B168" s="2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A169" s="9"/>
      <c r="B169" s="2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>
      <c r="A170" s="9"/>
      <c r="B170" s="2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>
      <c r="A171" s="9"/>
      <c r="B171" s="2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>
      <c r="A172" s="9"/>
      <c r="B172" s="2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>
      <c r="A173" s="9"/>
      <c r="B173" s="2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>
      <c r="A174" s="9"/>
      <c r="B174" s="2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A175" s="9"/>
      <c r="B175" s="2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>
      <c r="A176" s="9"/>
      <c r="B176" s="2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>
      <c r="A177" s="9"/>
      <c r="B177" s="2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>
      <c r="A178" s="9"/>
      <c r="B178" s="2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>
      <c r="A179" s="9"/>
      <c r="B179" s="2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A180" s="9"/>
      <c r="B180" s="2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>
      <c r="A181" s="9"/>
      <c r="B181" s="2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>
      <c r="A182" s="9"/>
      <c r="B182" s="2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>
      <c r="A183" s="9"/>
      <c r="B183" s="2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A184" s="9"/>
      <c r="B184" s="2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>
      <c r="A185" s="9"/>
      <c r="B185" s="2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>
      <c r="A186" s="9"/>
      <c r="B186" s="2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>
      <c r="A187" s="9"/>
      <c r="B187" s="2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>
      <c r="A188" s="9"/>
      <c r="B188" s="2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>
      <c r="A189" s="9"/>
      <c r="B189" s="2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>
      <c r="A190" s="9"/>
      <c r="B190" s="2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>
      <c r="A191" s="9"/>
      <c r="B191" s="2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>
      <c r="A192" s="9"/>
      <c r="B192" s="2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>
      <c r="A193" s="9"/>
      <c r="B193" s="2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>
      <c r="A194" s="9"/>
      <c r="B194" s="2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A195" s="9"/>
      <c r="B195" s="2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>
      <c r="A196" s="9"/>
      <c r="B196" s="2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>
      <c r="A197" s="9"/>
      <c r="B197" s="2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>
      <c r="A198" s="9"/>
      <c r="B198" s="2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>
      <c r="A199" s="9"/>
      <c r="B199" s="2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>
      <c r="A200" s="9"/>
      <c r="B200" s="2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A201" s="9"/>
      <c r="B201" s="2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>
      <c r="A202" s="9"/>
      <c r="B202" s="2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</sheetData>
  <hyperlinks>
    <hyperlink ref="B5" display="机修工（Greasehand）" r:id="rId1"/>
    <hyperlink ref="B4" display="机修工（Greasehand）" r:id="rId2"/>
    <hyperlink ref="B11" display="管线技师（Pipewright）" r:id="rId3"/>
    <hyperlink ref="B10" display="管线技师（Pipewright）" r:id="rId4"/>
    <hyperlink ref="B6" display="钉枪工（Boltspitter）" r:id="rId5"/>
    <hyperlink ref="B13" display="重装工头（Steel Foreman）" r:id="rId6"/>
    <hyperlink ref="B7" display="钉枪工（Boltspitter）" r:id="rId7"/>
    <hyperlink ref="B12" display="重装工头（Steel Foreman）" r:id="rId8"/>
    <hyperlink ref="B9" display="挖掘工（Tunnelrat）" r:id="rId9"/>
    <hyperlink ref="B8" display="挖掘工（Tunnelrat）" r:id="rId10"/>
  </hyperlink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12"/>
    <col collapsed="false" customWidth="true" hidden="false" max="5" min="5" style="0" width="9"/>
    <col collapsed="false" customWidth="true" hidden="false" max="6" min="6" style="0" width="10"/>
    <col collapsed="false" customWidth="true" hidden="false" max="7" min="7" style="0" width="7"/>
    <col collapsed="false" customWidth="true" hidden="false" max="8" min="8" style="0" width="7"/>
    <col collapsed="false" customWidth="true" hidden="false" max="9" min="9" style="0" width="7"/>
    <col collapsed="false" customWidth="true" hidden="false" max="10" min="10" style="0" width="23"/>
    <col collapsed="false" customWidth="true" hidden="false" max="11" min="11" style="0" width="32"/>
    <col collapsed="false" customWidth="true" hidden="false" max="12" min="12" style="0" width="23"/>
    <col collapsed="false" customWidth="true" hidden="false" max="13" min="13" style="0" width="9"/>
    <col collapsed="false" customWidth="true" hidden="false" max="14" min="14" style="0" width="14"/>
    <col collapsed="false" customWidth="true" hidden="false" max="15" min="15" style="0" width="51"/>
  </cols>
  <sheetData>
    <row r="1">
      <c r="A1" s="168" t="str">
        <v>No</v>
      </c>
      <c r="B1" s="168" t="str">
        <v>资产命名</v>
      </c>
      <c r="C1" s="168" t="str">
        <v>阵营</v>
      </c>
      <c r="D1" s="168" t="str">
        <v>类型</v>
      </c>
      <c r="E1" s="168" t="str">
        <v>注释A</v>
      </c>
      <c r="F1" s="168" t="str">
        <v>注释B</v>
      </c>
      <c r="G1" s="168" t="str">
        <v>UE-X</v>
      </c>
      <c r="H1" s="168" t="str">
        <v>UE-Y</v>
      </c>
      <c r="I1" s="168" t="str">
        <v>UE-Z</v>
      </c>
      <c r="J1" s="169" t="str">
        <v>Figma图例</v>
      </c>
      <c r="K1" s="169" t="str">
        <v>关卡功能描述</v>
      </c>
      <c r="L1" s="169" t="str">
        <v>英文</v>
      </c>
      <c r="M1" s="169" t="str">
        <v>UE图例</v>
      </c>
      <c r="N1" s="169" t="str">
        <v>尺寸 (X x Y x Z)</v>
      </c>
      <c r="O1" s="169" t="str">
        <v>用途</v>
      </c>
      <c r="P1" s="38" t="str">
        <v>布局规范</v>
      </c>
      <c r="Q1" s="38" t="str">
        <v>视觉规范</v>
      </c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>
      <c r="A2" s="165"/>
      <c r="B2" s="167" t="str">
        <v>type_category_subtype_name_variation_version</v>
      </c>
      <c r="C2" s="165"/>
      <c r="D2" s="165"/>
      <c r="E2" s="166"/>
      <c r="F2" s="165"/>
      <c r="G2" s="165" t="str">
        <v>cm</v>
      </c>
      <c r="H2" s="165" t="str">
        <v>cm</v>
      </c>
      <c r="I2" s="165" t="str">
        <v>cm</v>
      </c>
      <c r="J2" s="160"/>
      <c r="K2" s="157"/>
      <c r="L2" s="157" t="str">
        <v>FloorIndoor</v>
      </c>
      <c r="M2" s="164" t="str">
        <v>蓝色</v>
      </c>
      <c r="N2" s="157" t="str">
        <v>N x N x 0.2</v>
      </c>
      <c r="O2" s="157" t="str">
        <v>室内战斗区域</v>
      </c>
      <c r="P2" s="2"/>
    </row>
    <row customHeight="true" ht="19" r="3">
      <c r="A3" s="158">
        <v>1</v>
      </c>
      <c r="B3" s="3">
        <f>"BP_" &amp; C3 &amp; IF(D3&lt;&gt;"", "_" &amp; D3, "") &amp; IF(E3&lt;&gt;"", "_" &amp; E3, "")  &amp; IF(F3&lt;&gt;"", "_" &amp; F3, "") &amp; IF(G3&lt;&gt;"", "_X" &amp; G3, "") &amp; IF(H3&lt;&gt;"", "_Y" &amp; H3, "") &amp; IF(I3&lt;&gt;"", "_Z" &amp; I3, "")</f>
      </c>
      <c r="C3" s="3" t="str">
        <v>Prototype</v>
      </c>
      <c r="D3" s="3" t="str">
        <v>Door</v>
      </c>
      <c r="E3" s="3" t="str">
        <v>Small</v>
      </c>
      <c r="F3" s="3" t="str">
        <v>DoubleSide</v>
      </c>
      <c r="G3" s="107">
        <v>40</v>
      </c>
      <c r="H3" s="107">
        <v>200</v>
      </c>
      <c r="I3" s="107">
        <v>300</v>
      </c>
      <c r="J3" s="160"/>
      <c r="K3" s="157" t="str">
        <v>双向可通行的门，门洞宽度100</v>
      </c>
      <c r="L3" s="157" t="str">
        <v>FloorIndoorTriangle</v>
      </c>
      <c r="M3" s="164" t="str">
        <v>蓝色</v>
      </c>
      <c r="N3" s="157" t="str">
        <v>N x N x 0.2</v>
      </c>
      <c r="O3" s="157" t="str">
        <v>室内战斗区域，三角形</v>
      </c>
    </row>
    <row customHeight="true" ht="19" r="4">
      <c r="A4" s="158">
        <v>2</v>
      </c>
      <c r="B4" s="3">
        <f>"BP_" &amp; C4 &amp; IF(D4&lt;&gt;"", "_" &amp; D4, "") &amp; IF(E4&lt;&gt;"", "_" &amp; E4, "")  &amp; IF(F4&lt;&gt;"", "_" &amp; F4, "") &amp; IF(G4&lt;&gt;"", "_X" &amp; G4, "") &amp; IF(H4&lt;&gt;"", "_Y" &amp; H4, "") &amp; IF(I4&lt;&gt;"", "_Z" &amp; I4, "")</f>
      </c>
      <c r="C4" s="3" t="str">
        <v>Prototype</v>
      </c>
      <c r="D4" s="3" t="str">
        <v>Door</v>
      </c>
      <c r="E4" s="3" t="str">
        <v>Small</v>
      </c>
      <c r="F4" s="3" t="str">
        <v>SingleSide</v>
      </c>
      <c r="G4" s="107">
        <v>40</v>
      </c>
      <c r="H4" s="107">
        <v>200</v>
      </c>
      <c r="I4" s="107">
        <v>300</v>
      </c>
      <c r="J4" s="160"/>
      <c r="K4" s="157" t="str">
        <v>单向可通行的门，开启后无法关闭</v>
      </c>
      <c r="L4" s="157" t="str">
        <v>FloorOutdoor</v>
      </c>
      <c r="M4" s="163" t="str">
        <v>绿色</v>
      </c>
      <c r="N4" s="157" t="str">
        <v>N x N x 0.2</v>
      </c>
      <c r="O4" s="157" t="str">
        <v>室外战斗区域</v>
      </c>
    </row>
    <row customHeight="true" ht="19" r="5">
      <c r="A5" s="158">
        <v>3</v>
      </c>
      <c r="B5" s="3">
        <f>"BP_" &amp; C5 &amp; IF(D5&lt;&gt;"", "_" &amp; D5, "") &amp; IF(E5&lt;&gt;"", "_" &amp; E5, "")  &amp; IF(F5&lt;&gt;"", "_" &amp; F5, "") &amp; IF(G5&lt;&gt;"", "_X" &amp; G5, "") &amp; IF(H5&lt;&gt;"", "_Y" &amp; H5, "") &amp; IF(I5&lt;&gt;"", "_Z" &amp; I5, "")</f>
      </c>
      <c r="C5" s="3" t="str">
        <v>Prototype</v>
      </c>
      <c r="D5" s="3" t="str">
        <v>Door</v>
      </c>
      <c r="E5" s="3" t="str">
        <v>Small</v>
      </c>
      <c r="F5" s="3" t="str">
        <v>Breakable</v>
      </c>
      <c r="G5" s="107">
        <v>40</v>
      </c>
      <c r="H5" s="107">
        <v>200</v>
      </c>
      <c r="I5" s="107">
        <v>300</v>
      </c>
      <c r="J5" s="160"/>
      <c r="K5" s="157" t="str">
        <v>无法打开的门，受到一定伤害后永久开启</v>
      </c>
      <c r="L5" s="157" t="str">
        <v>FloorOutdoorTriangle</v>
      </c>
      <c r="M5" s="163" t="str">
        <v>绿色</v>
      </c>
      <c r="N5" s="157" t="str">
        <v>N x N x 0.2</v>
      </c>
      <c r="O5" s="157" t="str">
        <v>室外战斗区域，三角形</v>
      </c>
    </row>
    <row r="6">
      <c r="A6" s="158">
        <v>4</v>
      </c>
      <c r="B6" s="3">
        <f>"BP_" &amp; C6 &amp; IF(D6&lt;&gt;"", "_" &amp; D6, "") &amp; IF(E6&lt;&gt;"", "_" &amp; E6, "")  &amp; IF(F6&lt;&gt;"", "_" &amp; F6, "") &amp; IF(G6&lt;&gt;"", "_X" &amp; G6, "") &amp; IF(H6&lt;&gt;"", "_Y" &amp; H6, "") &amp; IF(I6&lt;&gt;"", "_Z" &amp; I6, "")</f>
      </c>
      <c r="C6" s="3" t="str">
        <v>Prototype</v>
      </c>
      <c r="D6" s="3" t="str">
        <v>Door</v>
      </c>
      <c r="E6" s="3" t="str">
        <v>Mid</v>
      </c>
      <c r="F6" s="3" t="str">
        <v>DoubleSide</v>
      </c>
      <c r="G6" s="107">
        <v>40</v>
      </c>
      <c r="H6" s="107">
        <v>300</v>
      </c>
      <c r="I6" s="107">
        <v>300</v>
      </c>
      <c r="J6" s="160"/>
      <c r="K6" s="157" t="str">
        <v>双向可通行的门，门洞宽度200</v>
      </c>
      <c r="L6" s="157" t="str">
        <v>FloorBonus</v>
      </c>
      <c r="M6" s="170" t="str">
        <v>红色</v>
      </c>
      <c r="N6" s="157" t="str">
        <v>N x N x 0.2</v>
      </c>
      <c r="O6" s="157" t="str">
        <v>奖励房间/电梯空间</v>
      </c>
    </row>
    <row customHeight="true" ht="19" r="7">
      <c r="A7" s="158">
        <v>5</v>
      </c>
      <c r="B7" s="3">
        <f>"BP_" &amp; C7 &amp; IF(D7&lt;&gt;"", "_" &amp; D7, "") &amp; IF(E7&lt;&gt;"", "_" &amp; E7, "")  &amp; IF(F7&lt;&gt;"", "_" &amp; F7, "") &amp; IF(G7&lt;&gt;"", "_X" &amp; G7, "") &amp; IF(H7&lt;&gt;"", "_Y" &amp; H7, "") &amp; IF(I7&lt;&gt;"", "_Z" &amp; I7, "")</f>
      </c>
      <c r="C7" s="3" t="str">
        <v>Prototype</v>
      </c>
      <c r="D7" s="3" t="str">
        <v>Door</v>
      </c>
      <c r="E7" s="3" t="str">
        <v>Mid</v>
      </c>
      <c r="F7" s="3" t="str">
        <v>SingleSide</v>
      </c>
      <c r="G7" s="107">
        <v>40</v>
      </c>
      <c r="H7" s="107">
        <v>300</v>
      </c>
      <c r="I7" s="107">
        <v>300</v>
      </c>
      <c r="J7" s="160"/>
      <c r="K7" s="157" t="str">
        <v>单向可通行的门，开启后无法关闭</v>
      </c>
      <c r="L7" s="157" t="str">
        <v>FloorBonusTriangle</v>
      </c>
      <c r="M7" s="170" t="str">
        <v>红色</v>
      </c>
      <c r="N7" s="157" t="str">
        <v>N x N x 0.2</v>
      </c>
      <c r="O7" s="157" t="str">
        <v>奖励房间/电梯空间，三角形</v>
      </c>
    </row>
    <row r="8">
      <c r="A8" s="158">
        <v>6</v>
      </c>
      <c r="B8" s="3">
        <f>"BP_" &amp; C8 &amp; IF(D8&lt;&gt;"", "_" &amp; D8, "") &amp; IF(E8&lt;&gt;"", "_" &amp; E8, "")  &amp; IF(F8&lt;&gt;"", "_" &amp; F8, "") &amp; IF(G8&lt;&gt;"", "_X" &amp; G8, "") &amp; IF(H8&lt;&gt;"", "_Y" &amp; H8, "") &amp; IF(I8&lt;&gt;"", "_Z" &amp; I8, "")</f>
      </c>
      <c r="C8" s="3" t="str">
        <v>Prototype</v>
      </c>
      <c r="D8" s="3" t="str">
        <v>Door</v>
      </c>
      <c r="E8" s="3" t="str">
        <v>Mid</v>
      </c>
      <c r="F8" s="3" t="str">
        <v>Breakable</v>
      </c>
      <c r="G8" s="107">
        <v>40</v>
      </c>
      <c r="H8" s="107">
        <v>300</v>
      </c>
      <c r="I8" s="107">
        <v>300</v>
      </c>
      <c r="J8" s="160"/>
      <c r="K8" s="157" t="str">
        <v>无法打开的门，受到一定伤害后永久开启</v>
      </c>
      <c r="L8" s="157" t="str">
        <v>FloorView</v>
      </c>
      <c r="M8" s="161" t="str">
        <v>灰色</v>
      </c>
      <c r="N8" s="157" t="str">
        <v>N x N x 0.2</v>
      </c>
      <c r="O8" s="157" t="str">
        <v>不可访问区域</v>
      </c>
    </row>
    <row customHeight="true" ht="19" r="9">
      <c r="A9" s="158">
        <v>7</v>
      </c>
      <c r="B9" s="3">
        <f>"BP_" &amp; C9 &amp; IF(D9&lt;&gt;"", "_" &amp; D9, "") &amp; IF(E9&lt;&gt;"", "_" &amp; E9, "")  &amp; IF(F9&lt;&gt;"", "_" &amp; F9, "") &amp; IF(G9&lt;&gt;"", "_X" &amp; G9, "") &amp; IF(H9&lt;&gt;"", "_Y" &amp; H9, "") &amp; IF(I9&lt;&gt;"", "_Z" &amp; I9, "")</f>
      </c>
      <c r="C9" s="3" t="str">
        <v>Prototype</v>
      </c>
      <c r="D9" s="3" t="str">
        <v>Door</v>
      </c>
      <c r="E9" s="3" t="str">
        <v>Big</v>
      </c>
      <c r="F9" s="3" t="str">
        <v>DoubleSide</v>
      </c>
      <c r="G9" s="107">
        <v>40</v>
      </c>
      <c r="H9" s="107">
        <v>400</v>
      </c>
      <c r="I9" s="107">
        <v>300</v>
      </c>
      <c r="J9" s="160"/>
      <c r="K9" s="157" t="str">
        <v>双向可通行的门，门洞宽度300</v>
      </c>
      <c r="L9" s="157" t="str">
        <v>FloorViewTriangle</v>
      </c>
      <c r="M9" s="161" t="str">
        <v>灰色</v>
      </c>
      <c r="N9" s="157" t="str">
        <v>N x N x 0.2</v>
      </c>
      <c r="O9" s="157" t="str">
        <v>不可访问区域，三角形</v>
      </c>
    </row>
    <row customHeight="true" ht="19" r="10">
      <c r="A10" s="158">
        <v>8</v>
      </c>
      <c r="B10" s="3">
        <f>"BP_" &amp; C10 &amp; IF(D10&lt;&gt;"", "_" &amp; D10, "") &amp; IF(E10&lt;&gt;"", "_" &amp; E10, "")  &amp; IF(F10&lt;&gt;"", "_" &amp; F10, "") &amp; IF(G10&lt;&gt;"", "_X" &amp; G10, "") &amp; IF(H10&lt;&gt;"", "_Y" &amp; H10, "") &amp; IF(I10&lt;&gt;"", "_Z" &amp; I10, "")</f>
      </c>
      <c r="C10" s="3" t="str">
        <v>Prototype</v>
      </c>
      <c r="D10" s="3" t="str">
        <v>Door</v>
      </c>
      <c r="E10" s="3" t="str">
        <v>Big</v>
      </c>
      <c r="F10" s="3" t="str">
        <v>SingleSide</v>
      </c>
      <c r="G10" s="107">
        <v>40</v>
      </c>
      <c r="H10" s="107">
        <v>400</v>
      </c>
      <c r="I10" s="107">
        <v>300</v>
      </c>
      <c r="J10" s="160"/>
      <c r="K10" s="157" t="str">
        <v>单向可通行的门，开启后无法关闭</v>
      </c>
      <c r="L10" s="157" t="str">
        <v>WallSemi</v>
      </c>
      <c r="M10" s="159" t="str">
        <v>橙色</v>
      </c>
      <c r="N10" s="157"/>
      <c r="O10" s="157"/>
    </row>
    <row r="11">
      <c r="A11" s="158">
        <v>9</v>
      </c>
      <c r="B11" s="3">
        <f>"BP_" &amp; C11 &amp; IF(D11&lt;&gt;"", "_" &amp; D11, "") &amp; IF(E11&lt;&gt;"", "_" &amp; E11, "")  &amp; IF(F11&lt;&gt;"", "_" &amp; F11, "") &amp; IF(G11&lt;&gt;"", "_X" &amp; G11, "") &amp; IF(H11&lt;&gt;"", "_Y" &amp; H11, "") &amp; IF(I11&lt;&gt;"", "_Z" &amp; I11, "")</f>
      </c>
      <c r="C11" s="3" t="str">
        <v>Prototype</v>
      </c>
      <c r="D11" s="3" t="str">
        <v>Door</v>
      </c>
      <c r="E11" s="3" t="str">
        <v>Big</v>
      </c>
      <c r="F11" s="3" t="str">
        <v>Breakable</v>
      </c>
      <c r="G11" s="107">
        <v>40</v>
      </c>
      <c r="H11" s="107">
        <v>400</v>
      </c>
      <c r="I11" s="107">
        <v>300</v>
      </c>
      <c r="J11" s="160"/>
      <c r="K11" s="157" t="str">
        <v>无法打开的门，受到一定伤害后永久开启</v>
      </c>
      <c r="L11" s="157" t="str">
        <v>Wall</v>
      </c>
      <c r="M11" s="162" t="str">
        <v>黄色</v>
      </c>
      <c r="N11" s="157" t="str">
        <v>N x 0.4 x 3</v>
      </c>
      <c r="O11" s="157" t="str">
        <v>阻挡角色、子弹和视野；深度、高度、固定，宽度自由</v>
      </c>
    </row>
    <row customHeight="true" ht="19" r="12">
      <c r="A12" s="158">
        <v>10</v>
      </c>
      <c r="B12" s="3">
        <f>"BP_" &amp; C12 &amp; IF(D12&lt;&gt;"", "_" &amp; D12, "") &amp; IF(E12&lt;&gt;"", "_" &amp; E12, "")  &amp; IF(F12&lt;&gt;"", "_" &amp; F12, "") &amp; IF(G12&lt;&gt;"", "_X" &amp; G12, "") &amp; IF(H12&lt;&gt;"", "_Y" &amp; H12, "") &amp; IF(I12&lt;&gt;"", "_Z" &amp; I12, "")</f>
      </c>
      <c r="C12" s="3" t="str">
        <v>Prototype</v>
      </c>
      <c r="D12" s="3" t="str">
        <v>Door</v>
      </c>
      <c r="E12" s="3" t="str">
        <v>Large</v>
      </c>
      <c r="F12" s="3" t="str">
        <v>DoubleSide</v>
      </c>
      <c r="G12" s="107">
        <v>40</v>
      </c>
      <c r="H12" s="107">
        <v>500</v>
      </c>
      <c r="I12" s="107">
        <v>300</v>
      </c>
      <c r="J12" s="160"/>
      <c r="K12" s="157" t="str">
        <v>双向可通行的门，门洞宽度400</v>
      </c>
      <c r="L12" s="157" t="str">
        <v>WallShort</v>
      </c>
      <c r="M12" s="162" t="s">
        <v>28</v>
      </c>
      <c r="N12" s="157" t="str">
        <v>N x 0.4 x 3</v>
      </c>
      <c r="O12" s="157" t="str">
        <v>围栏；不阻挡子弹和视野，阻挡玩家；高度、深度固定，宽度自由</v>
      </c>
    </row>
    <row customHeight="true" ht="19" r="13">
      <c r="A13" s="158">
        <v>11</v>
      </c>
      <c r="B13" s="3">
        <f>"BP_" &amp; C13 &amp; IF(D13&lt;&gt;"", "_" &amp; D13, "") &amp; IF(E13&lt;&gt;"", "_" &amp; E13, "")  &amp; IF(F13&lt;&gt;"", "_" &amp; F13, "") &amp; IF(G13&lt;&gt;"", "_X" &amp; G13, "") &amp; IF(H13&lt;&gt;"", "_Y" &amp; H13, "") &amp; IF(I13&lt;&gt;"", "_Z" &amp; I13, "")</f>
      </c>
      <c r="C13" s="3" t="str">
        <v>Prototype</v>
      </c>
      <c r="D13" s="3" t="str">
        <v>Door</v>
      </c>
      <c r="E13" s="3" t="str">
        <v>Large</v>
      </c>
      <c r="F13" s="3" t="str">
        <v>SingleSide</v>
      </c>
      <c r="G13" s="107">
        <v>40</v>
      </c>
      <c r="H13" s="107">
        <v>500</v>
      </c>
      <c r="I13" s="107">
        <v>300</v>
      </c>
      <c r="J13" s="160"/>
      <c r="K13" s="157" t="str">
        <v>单向可通行的门，开启后无法关闭</v>
      </c>
      <c r="L13" s="157" t="str">
        <v>WallEscape</v>
      </c>
      <c r="M13" s="162" t="str">
        <v>黄色</v>
      </c>
      <c r="N13" s="157" t="str">
        <v>N x 0.4 x 1</v>
      </c>
      <c r="O13" s="157" t="str">
        <v>逃生阳台的围栏，尺寸固定</v>
      </c>
    </row>
    <row r="14">
      <c r="A14" s="158">
        <v>12</v>
      </c>
      <c r="B14" s="3">
        <f>"BP_" &amp; C14 &amp; IF(D14&lt;&gt;"", "_" &amp; D14, "") &amp; IF(E14&lt;&gt;"", "_" &amp; E14, "")  &amp; IF(F14&lt;&gt;"", "_" &amp; F14, "") &amp; IF(G14&lt;&gt;"", "_X" &amp; G14, "") &amp; IF(H14&lt;&gt;"", "_Y" &amp; H14, "") &amp; IF(I14&lt;&gt;"", "_Z" &amp; I14, "")</f>
      </c>
      <c r="C14" s="3" t="str">
        <v>Prototype</v>
      </c>
      <c r="D14" s="3" t="str">
        <v>Door</v>
      </c>
      <c r="E14" s="3" t="str">
        <v>Large</v>
      </c>
      <c r="F14" s="3" t="str">
        <v>Breakable</v>
      </c>
      <c r="G14" s="107">
        <v>40</v>
      </c>
      <c r="H14" s="107">
        <v>500</v>
      </c>
      <c r="I14" s="107">
        <v>300</v>
      </c>
      <c r="J14" s="160"/>
      <c r="K14" s="157" t="str">
        <v>无法打开的门，受到一定伤害后永久开启</v>
      </c>
      <c r="L14" s="157" t="str">
        <v>WallGlass</v>
      </c>
      <c r="M14" s="162" t="str">
        <v>黄色</v>
      </c>
      <c r="N14" s="157" t="str">
        <v>N x 0.4 x 3</v>
      </c>
      <c r="O14" s="157" t="str">
        <v>阻挡角色、子弹，不阻挡视野；深度、高度固定，宽度自由</v>
      </c>
    </row>
    <row r="15">
      <c r="A15" s="158">
        <v>13</v>
      </c>
      <c r="B15" s="3">
        <f>"BP_" &amp; C15 &amp; IF(D15&lt;&gt;"", "_" &amp; D15, "") &amp; IF(E15&lt;&gt;"", "_" &amp; E15, "")  &amp; IF(F15&lt;&gt;"", "_" &amp; F15, "") &amp; IF(G15&lt;&gt;"", "_X" &amp; G15, "") &amp; IF(H15&lt;&gt;"", "_Y" &amp; H15, "") &amp; IF(I15&lt;&gt;"", "_Z" &amp; I15, "")</f>
      </c>
      <c r="C15" s="3" t="str">
        <v>Labor</v>
      </c>
      <c r="D15" s="3" t="str">
        <v>Door</v>
      </c>
      <c r="E15" s="3" t="str">
        <v>Single</v>
      </c>
      <c r="F15" s="3"/>
      <c r="G15" s="107">
        <v>30</v>
      </c>
      <c r="H15" s="107">
        <v>100</v>
      </c>
      <c r="I15" s="107">
        <v>250</v>
      </c>
      <c r="J15" s="160"/>
      <c r="K15" s="157"/>
      <c r="L15" s="157" t="str">
        <v>WallHole</v>
      </c>
      <c r="M15" s="162" t="str">
        <v>黄色</v>
      </c>
      <c r="N15" s="157" t="str">
        <v>N x 0.4 x 3</v>
      </c>
      <c r="O15" s="157" t="str">
        <v>阻挡角色，不阻挡子弹和视野；深度、高度固定，宽度自由</v>
      </c>
    </row>
    <row r="16">
      <c r="A16" s="158">
        <v>14</v>
      </c>
      <c r="B16" s="3">
        <f>"BP_" &amp; C16 &amp; IF(D16&lt;&gt;"", "_" &amp; D16, "") &amp; IF(E16&lt;&gt;"", "_" &amp; E16, "")  &amp; IF(F16&lt;&gt;"", "_" &amp; F16, "") &amp; IF(G16&lt;&gt;"", "_X" &amp; G16, "") &amp; IF(H16&lt;&gt;"", "_Y" &amp; H16, "") &amp; IF(I16&lt;&gt;"", "_Z" &amp; I16, "")</f>
      </c>
      <c r="C16" s="3" t="str">
        <v>Labor</v>
      </c>
      <c r="D16" s="3" t="str">
        <v>Door</v>
      </c>
      <c r="E16" s="3" t="str">
        <v>Small</v>
      </c>
      <c r="F16" s="3" t="str">
        <v>Left</v>
      </c>
      <c r="G16" s="107">
        <v>30</v>
      </c>
      <c r="H16" s="107">
        <v>100</v>
      </c>
      <c r="I16" s="107">
        <v>250</v>
      </c>
      <c r="J16" s="160"/>
      <c r="K16" s="157"/>
      <c r="L16" s="157" t="str">
        <v>Block</v>
      </c>
      <c r="M16" s="162" t="str">
        <v>黄色</v>
      </c>
      <c r="N16" s="157" t="str">
        <v>N x N x 0.5~1</v>
      </c>
      <c r="O16" s="157" t="str">
        <v>阻挡角色，不阻挡子弹和视野；深度、宽度固定，高度相对自由</v>
      </c>
    </row>
    <row r="17">
      <c r="A17" s="158">
        <v>15</v>
      </c>
      <c r="B17" s="3">
        <f>"BP_" &amp; C17 &amp; IF(D17&lt;&gt;"", "_" &amp; D17, "") &amp; IF(E17&lt;&gt;"", "_" &amp; E17, "")  &amp; IF(F17&lt;&gt;"", "_" &amp; F17, "") &amp; IF(G17&lt;&gt;"", "_X" &amp; G17, "") &amp; IF(H17&lt;&gt;"", "_Y" &amp; H17, "") &amp; IF(I17&lt;&gt;"", "_Z" &amp; I17, "")</f>
      </c>
      <c r="C17" s="3" t="str">
        <v>Labor</v>
      </c>
      <c r="D17" s="3" t="str">
        <v>Door</v>
      </c>
      <c r="E17" s="3" t="str">
        <v>Small</v>
      </c>
      <c r="F17" s="3" t="str">
        <v>Right</v>
      </c>
      <c r="G17" s="107">
        <v>30</v>
      </c>
      <c r="H17" s="107">
        <v>100</v>
      </c>
      <c r="I17" s="107">
        <v>250</v>
      </c>
      <c r="J17" s="160"/>
      <c r="K17" s="157"/>
      <c r="L17" s="157" t="str">
        <v>DoorSmall</v>
      </c>
      <c r="M17" s="157" t="s">
        <v>25</v>
      </c>
      <c r="N17" s="157" t="str">
        <v>2 x 0.4 x 3</v>
      </c>
      <c r="O17" s="157" t="str">
        <v>手动开关</v>
      </c>
    </row>
    <row customHeight="true" ht="19" r="18">
      <c r="A18" s="158">
        <v>16</v>
      </c>
      <c r="B18" s="3">
        <f>"BP_" &amp; C18 &amp; IF(D18&lt;&gt;"", "_" &amp; D18, "") &amp; IF(E18&lt;&gt;"", "_" &amp; E18, "")  &amp; IF(F18&lt;&gt;"", "_" &amp; F18, "") &amp; IF(G18&lt;&gt;"", "_X" &amp; G18, "") &amp; IF(H18&lt;&gt;"", "_Y" &amp; H18, "") &amp; IF(I18&lt;&gt;"", "_Z" &amp; I18, "")</f>
      </c>
      <c r="C18" s="3" t="str">
        <v>Labor</v>
      </c>
      <c r="D18" s="3" t="str">
        <v>Door</v>
      </c>
      <c r="E18" s="3" t="str">
        <v>Mid</v>
      </c>
      <c r="F18" s="3" t="str">
        <v>Left</v>
      </c>
      <c r="G18" s="107">
        <v>30</v>
      </c>
      <c r="H18" s="107">
        <v>150</v>
      </c>
      <c r="I18" s="107">
        <v>250</v>
      </c>
      <c r="J18" s="160"/>
      <c r="K18" s="157"/>
      <c r="L18" s="157" t="str">
        <v>DoorMid</v>
      </c>
      <c r="M18" s="157" t="s">
        <v>25</v>
      </c>
      <c r="N18" s="157" t="str">
        <v>3 x 0.4 x 3</v>
      </c>
      <c r="O18" s="157" t="str">
        <v>手动开关</v>
      </c>
    </row>
    <row r="19">
      <c r="A19" s="158">
        <v>17</v>
      </c>
      <c r="B19" s="3">
        <f>"BP_" &amp; C19 &amp; IF(D19&lt;&gt;"", "_" &amp; D19, "") &amp; IF(E19&lt;&gt;"", "_" &amp; E19, "")  &amp; IF(F19&lt;&gt;"", "_" &amp; F19, "") &amp; IF(G19&lt;&gt;"", "_X" &amp; G19, "") &amp; IF(H19&lt;&gt;"", "_Y" &amp; H19, "") &amp; IF(I19&lt;&gt;"", "_Z" &amp; I19, "")</f>
      </c>
      <c r="C19" s="3" t="str">
        <v>Labor</v>
      </c>
      <c r="D19" s="3" t="str">
        <v>Door</v>
      </c>
      <c r="E19" s="3" t="str">
        <v>Mid</v>
      </c>
      <c r="F19" s="3" t="str">
        <v>Right</v>
      </c>
      <c r="G19" s="107">
        <v>30</v>
      </c>
      <c r="H19" s="107">
        <v>150</v>
      </c>
      <c r="I19" s="107">
        <v>250</v>
      </c>
      <c r="J19" s="160"/>
      <c r="K19" s="157"/>
      <c r="L19" s="157" t="str">
        <v>DoorLarge</v>
      </c>
      <c r="M19" s="157" t="s">
        <v>25</v>
      </c>
      <c r="N19" s="157" t="str">
        <v>4 x 0.4 x 4</v>
      </c>
      <c r="O19" s="157" t="str">
        <v>手动开关</v>
      </c>
    </row>
    <row customHeight="true" ht="19" r="20">
      <c r="A20" s="158">
        <v>18</v>
      </c>
      <c r="B20" s="3">
        <f>"BP_" &amp; C20 &amp; IF(D20&lt;&gt;"", "_" &amp; D20, "") &amp; IF(E20&lt;&gt;"", "_" &amp; E20, "")  &amp; IF(F20&lt;&gt;"", "_" &amp; F20, "") &amp; IF(G20&lt;&gt;"", "_X" &amp; G20, "") &amp; IF(H20&lt;&gt;"", "_Y" &amp; H20, "") &amp; IF(I20&lt;&gt;"", "_Z" &amp; I20, "")</f>
      </c>
      <c r="C20" s="3" t="str">
        <v>Labor</v>
      </c>
      <c r="D20" s="3" t="str">
        <v>Door</v>
      </c>
      <c r="E20" s="1" t="str">
        <v>Big</v>
      </c>
      <c r="F20" s="3" t="str">
        <v>Left</v>
      </c>
      <c r="G20" s="31">
        <v>30</v>
      </c>
      <c r="H20" s="31">
        <v>200</v>
      </c>
      <c r="I20" s="31">
        <v>250</v>
      </c>
      <c r="J20" s="160"/>
      <c r="K20" s="157"/>
      <c r="L20" s="157" t="str">
        <v>DoorLift</v>
      </c>
      <c r="M20" s="170" t="str">
        <v>红色</v>
      </c>
      <c r="N20" s="157"/>
      <c r="O20" s="157"/>
    </row>
    <row customHeight="true" ht="19" r="21">
      <c r="A21" s="158">
        <v>19</v>
      </c>
      <c r="B21" s="3">
        <f>"BP_" &amp; C21 &amp; IF(D21&lt;&gt;"", "_" &amp; D21, "") &amp; IF(E21&lt;&gt;"", "_" &amp; E21, "")  &amp; IF(F21&lt;&gt;"", "_" &amp; F21, "") &amp; IF(G21&lt;&gt;"", "_X" &amp; G21, "") &amp; IF(H21&lt;&gt;"", "_Y" &amp; H21, "") &amp; IF(I21&lt;&gt;"", "_Z" &amp; I21, "")</f>
      </c>
      <c r="C21" s="3" t="str">
        <v>Labor</v>
      </c>
      <c r="D21" s="3" t="str">
        <v>Door</v>
      </c>
      <c r="E21" s="1" t="str">
        <v>Big</v>
      </c>
      <c r="F21" s="3" t="str">
        <v>Right</v>
      </c>
      <c r="G21" s="31">
        <v>30</v>
      </c>
      <c r="H21" s="31">
        <v>200</v>
      </c>
      <c r="I21" s="31">
        <v>250</v>
      </c>
      <c r="J21" s="160"/>
      <c r="K21" s="157"/>
      <c r="L21" s="157" t="str">
        <v>DoorSection</v>
      </c>
      <c r="M21" s="157" t="s">
        <v>27</v>
      </c>
      <c r="N21" s="157"/>
      <c r="O21" s="157"/>
    </row>
    <row customHeight="true" ht="19" r="22">
      <c r="A22" s="158">
        <v>20</v>
      </c>
      <c r="B22" s="3">
        <f>"BP_" &amp; C22 &amp; IF(D22&lt;&gt;"", "_" &amp; D22, "") &amp; IF(E22&lt;&gt;"", "_" &amp; E22, "")  &amp; IF(F22&lt;&gt;"", "_" &amp; F22, "") &amp; IF(G22&lt;&gt;"", "_X" &amp; G22, "") &amp; IF(H22&lt;&gt;"", "_Y" &amp; H22, "") &amp; IF(I22&lt;&gt;"", "_Z" &amp; I22, "")</f>
      </c>
      <c r="C22" s="3" t="str">
        <v>Labor</v>
      </c>
      <c r="D22" s="3" t="str">
        <v>Door</v>
      </c>
      <c r="E22" s="1" t="str">
        <v>Large</v>
      </c>
      <c r="F22" s="1"/>
      <c r="G22" s="31">
        <v>30</v>
      </c>
      <c r="H22" s="31">
        <v>500</v>
      </c>
      <c r="I22" s="31">
        <v>250</v>
      </c>
      <c r="J22" s="160"/>
      <c r="K22" s="157"/>
      <c r="L22" s="157" t="str">
        <v>DoorSmallFake</v>
      </c>
      <c r="M22" s="157" t="s">
        <v>26</v>
      </c>
      <c r="N22" s="157" t="str">
        <v>2 x 0.4 x 2</v>
      </c>
      <c r="O22" s="157" t="str">
        <v>无法开关，装饰物/障碍物</v>
      </c>
    </row>
    <row customHeight="true" ht="19" r="23">
      <c r="A23" s="158">
        <v>21</v>
      </c>
      <c r="B23" s="3">
        <f>"BP_" &amp; C23 &amp; IF(D23&lt;&gt;"", "_" &amp; D23, "") &amp; IF(E23&lt;&gt;"", "_" &amp; E23, "")  &amp; IF(F23&lt;&gt;"", "_" &amp; F23, "") &amp; IF(G23&lt;&gt;"", "_X" &amp; G23, "") &amp; IF(H23&lt;&gt;"", "_Y" &amp; H23, "") &amp; IF(I23&lt;&gt;"", "_Z" &amp; I23, "")</f>
      </c>
      <c r="C23" s="3" t="str">
        <v>Labor</v>
      </c>
      <c r="D23" s="2" t="str">
        <v>DoorFrame</v>
      </c>
      <c r="E23" s="1" t="str">
        <v>Single</v>
      </c>
      <c r="F23" s="1"/>
      <c r="G23" s="31">
        <v>50</v>
      </c>
      <c r="H23" s="31">
        <v>100</v>
      </c>
      <c r="I23" s="31">
        <v>250</v>
      </c>
      <c r="J23" s="160"/>
      <c r="K23" s="157"/>
      <c r="L23" s="157" t="str">
        <v>DoorMidFake</v>
      </c>
      <c r="M23" s="157" t="s">
        <v>26</v>
      </c>
      <c r="N23" s="157" t="str">
        <v>2 x 0.4 x 2</v>
      </c>
      <c r="O23" s="157" t="str">
        <v>无法开关，装饰物/障碍物</v>
      </c>
    </row>
    <row customHeight="true" ht="19" r="24">
      <c r="A24" s="158">
        <v>22</v>
      </c>
      <c r="B24" s="3">
        <f>"BP_" &amp; C24 &amp; IF(D24&lt;&gt;"", "_" &amp; D24, "") &amp; IF(E24&lt;&gt;"", "_" &amp; E24, "")  &amp; IF(F24&lt;&gt;"", "_" &amp; F24, "") &amp; IF(G24&lt;&gt;"", "_X" &amp; G24, "") &amp; IF(H24&lt;&gt;"", "_Y" &amp; H24, "") &amp; IF(I24&lt;&gt;"", "_Z" &amp; I24, "")</f>
      </c>
      <c r="C24" s="3" t="str">
        <v>Labor</v>
      </c>
      <c r="D24" s="2" t="str">
        <v>DoorFrame</v>
      </c>
      <c r="E24" s="1" t="str">
        <v>Small</v>
      </c>
      <c r="F24" s="1"/>
      <c r="G24" s="31">
        <v>50</v>
      </c>
      <c r="H24" s="31">
        <v>200</v>
      </c>
      <c r="I24" s="31">
        <v>250</v>
      </c>
      <c r="J24" s="160"/>
      <c r="K24" s="157"/>
      <c r="L24" s="157" t="str">
        <v>DoorLargeFake</v>
      </c>
      <c r="M24" s="157" t="s">
        <v>26</v>
      </c>
      <c r="N24" s="157" t="str">
        <v>2 x 0.4 x 2</v>
      </c>
      <c r="O24" s="157" t="str">
        <v>无法开关，装饰物/障碍物</v>
      </c>
    </row>
    <row r="25">
      <c r="A25" s="158">
        <v>23</v>
      </c>
      <c r="B25" s="3">
        <f>"BP_" &amp; C25 &amp; IF(D25&lt;&gt;"", "_" &amp; D25, "") &amp; IF(E25&lt;&gt;"", "_" &amp; E25, "")  &amp; IF(F25&lt;&gt;"", "_" &amp; F25, "") &amp; IF(G25&lt;&gt;"", "_X" &amp; G25, "") &amp; IF(H25&lt;&gt;"", "_Y" &amp; H25, "") &amp; IF(I25&lt;&gt;"", "_Z" &amp; I25, "")</f>
      </c>
      <c r="C25" s="3" t="str">
        <v>Labor</v>
      </c>
      <c r="D25" s="2" t="str">
        <v>DoorFrame</v>
      </c>
      <c r="E25" s="1" t="str">
        <v>Mid</v>
      </c>
      <c r="F25" s="1"/>
      <c r="G25" s="31">
        <v>50</v>
      </c>
      <c r="H25" s="31">
        <v>250</v>
      </c>
      <c r="I25" s="31">
        <v>250</v>
      </c>
      <c r="J25" s="160"/>
      <c r="K25" s="157"/>
      <c r="L25" s="157" t="str">
        <v>DoorLift</v>
      </c>
      <c r="M25" s="170" t="str">
        <v>红色</v>
      </c>
      <c r="N25" s="157" t="str">
        <v>3 x 0.4 x 3</v>
      </c>
      <c r="O25" s="157" t="str">
        <v>手动交互；关卡开始、结束于此</v>
      </c>
    </row>
    <row r="26">
      <c r="A26" s="158">
        <v>24</v>
      </c>
      <c r="B26" s="3">
        <f>"BP_" &amp; C26 &amp; IF(D26&lt;&gt;"", "_" &amp; D26, "") &amp; IF(E26&lt;&gt;"", "_" &amp; E26, "")  &amp; IF(F26&lt;&gt;"", "_" &amp; F26, "") &amp; IF(G26&lt;&gt;"", "_X" &amp; G26, "") &amp; IF(H26&lt;&gt;"", "_Y" &amp; H26, "") &amp; IF(I26&lt;&gt;"", "_Z" &amp; I26, "")</f>
      </c>
      <c r="C26" s="3" t="str">
        <v>Labor</v>
      </c>
      <c r="D26" s="2" t="str">
        <v>DoorFrame</v>
      </c>
      <c r="E26" s="1" t="str">
        <v>Big</v>
      </c>
      <c r="F26" s="1"/>
      <c r="G26" s="31">
        <v>50</v>
      </c>
      <c r="H26" s="31">
        <v>400</v>
      </c>
      <c r="I26" s="31">
        <v>250</v>
      </c>
      <c r="J26" s="160"/>
      <c r="K26" s="157"/>
      <c r="L26" s="157" t="str">
        <v>ArchSmall</v>
      </c>
      <c r="M26" s="162" t="str">
        <v>黄色</v>
      </c>
      <c r="N26" s="157" t="str">
        <v>2 x 0.4 x 3</v>
      </c>
      <c r="O26" s="157" t="str">
        <v>不阻挡任何对象，不可拉伸</v>
      </c>
    </row>
    <row r="27">
      <c r="A27" s="158">
        <v>25</v>
      </c>
      <c r="B27" s="3">
        <f>"BP_" &amp; C27 &amp; IF(D27&lt;&gt;"", "_" &amp; D27, "") &amp; IF(E27&lt;&gt;"", "_" &amp; E27, "")  &amp; IF(F27&lt;&gt;"", "_" &amp; F27, "") &amp; IF(G27&lt;&gt;"", "_X" &amp; G27, "") &amp; IF(H27&lt;&gt;"", "_Y" &amp; H27, "") &amp; IF(I27&lt;&gt;"", "_Z" &amp; I27, "")</f>
      </c>
      <c r="C27" s="3" t="str">
        <v>Labor</v>
      </c>
      <c r="D27" s="2" t="str">
        <v>DoorFrame</v>
      </c>
      <c r="E27" s="1" t="str">
        <v>Large</v>
      </c>
      <c r="F27" s="1"/>
      <c r="G27" s="31">
        <v>50</v>
      </c>
      <c r="H27" s="31">
        <v>500</v>
      </c>
      <c r="I27" s="31">
        <v>250</v>
      </c>
      <c r="J27" s="160"/>
      <c r="K27" s="157"/>
      <c r="L27" s="157" t="str">
        <v>ArchMid</v>
      </c>
      <c r="M27" s="162" t="str">
        <v>黄色</v>
      </c>
      <c r="N27" s="157" t="str">
        <v>3 x 0.4 x 3</v>
      </c>
      <c r="O27" s="157" t="str">
        <v>不阻挡任何对象，不可拉伸</v>
      </c>
    </row>
    <row r="28">
      <c r="B28" s="3">
        <f>"BP_" &amp; C28 &amp; IF(D28&lt;&gt;"", "_" &amp; D28, "") &amp; IF(E28&lt;&gt;"", "_" &amp; E28, "")  &amp; IF(F28&lt;&gt;"", "_" &amp; F28, "") &amp; IF(G28&lt;&gt;"", "_X" &amp; G28, "") &amp; IF(H28&lt;&gt;"", "_Y" &amp; H28, "") &amp; IF(I28&lt;&gt;"", "_Z" &amp; I28, "")</f>
      </c>
      <c r="C28" s="3" t="str">
        <v>Labor</v>
      </c>
      <c r="D28" s="2" t="str">
        <v>Floor</v>
      </c>
      <c r="E28" s="1" t="str">
        <v>Square</v>
      </c>
      <c r="F28" s="1"/>
      <c r="G28" s="31">
        <v>200</v>
      </c>
      <c r="H28" s="31">
        <v>200</v>
      </c>
      <c r="I28" s="31">
        <v>20</v>
      </c>
      <c r="J28" s="160"/>
      <c r="K28" s="157"/>
      <c r="L28" s="157" t="str">
        <v>ArchLarge</v>
      </c>
      <c r="M28" s="162" t="str">
        <v>黄色</v>
      </c>
      <c r="N28" s="157" t="str">
        <v>4 x 0.4 x 3</v>
      </c>
      <c r="O28" s="157" t="str">
        <v>不阻挡任何对象，不可拉伸</v>
      </c>
    </row>
    <row r="29">
      <c r="B29" s="3">
        <f>"BP_" &amp; C29 &amp; IF(D29&lt;&gt;"", "_" &amp; D29, "") &amp; IF(E29&lt;&gt;"", "_" &amp; E29, "")  &amp; IF(F29&lt;&gt;"", "_" &amp; F29, "") &amp; IF(G29&lt;&gt;"", "_X" &amp; G29, "") &amp; IF(H29&lt;&gt;"", "_Y" &amp; H29, "") &amp; IF(I29&lt;&gt;"", "_Z" &amp; I29, "")</f>
      </c>
      <c r="C29" s="3" t="str">
        <v>Labor</v>
      </c>
      <c r="D29" s="2" t="str">
        <v>Floor</v>
      </c>
      <c r="E29" s="1" t="str">
        <v>Triangle</v>
      </c>
      <c r="F29" s="1"/>
      <c r="G29" s="31">
        <v>200</v>
      </c>
      <c r="H29" s="31">
        <v>200</v>
      </c>
      <c r="I29" s="31">
        <v>20</v>
      </c>
      <c r="J29" s="160"/>
      <c r="K29" s="157"/>
      <c r="L29" s="157" t="str">
        <v>
</v>
      </c>
      <c r="M29" s="157" t="str">
        <v>
</v>
      </c>
      <c r="N29" s="157" t="str">
        <v>
</v>
      </c>
      <c r="O29" s="157" t="str">
        <v>
</v>
      </c>
    </row>
    <row r="30">
      <c r="B30" s="3">
        <f>"BP_" &amp; C30 &amp; IF(D30&lt;&gt;"", "_" &amp; D30, "") &amp; IF(E30&lt;&gt;"", "_" &amp; E30, "")  &amp; IF(F30&lt;&gt;"", "_" &amp; F30, "") &amp; IF(G30&lt;&gt;"", "_X" &amp; G30, "") &amp; IF(H30&lt;&gt;"", "_Y" &amp; H30, "") &amp; IF(I30&lt;&gt;"", "_Z" &amp; I30, "")</f>
      </c>
      <c r="C30" s="3" t="str">
        <v>Labor</v>
      </c>
      <c r="D30" s="2"/>
      <c r="E30" s="1"/>
      <c r="F30" s="1"/>
      <c r="G30" s="31"/>
      <c r="H30" s="31"/>
      <c r="I30" s="31"/>
      <c r="J30" s="31"/>
    </row>
    <row r="31">
      <c r="B31" s="3">
        <f>"BP_" &amp; C31 &amp; IF(D31&lt;&gt;"", "_" &amp; D31, "") &amp; IF(E31&lt;&gt;"", "_" &amp; E31, "")  &amp; IF(F31&lt;&gt;"", "_" &amp; F31, "") &amp; IF(G31&lt;&gt;"", "_X" &amp; G31, "") &amp; IF(H31&lt;&gt;"", "_Y" &amp; H31, "") &amp; IF(I31&lt;&gt;"", "_Z" &amp; I31, "")</f>
      </c>
      <c r="C31" s="3" t="str">
        <v>Labor</v>
      </c>
      <c r="D31" s="2"/>
      <c r="E31" s="1"/>
      <c r="F31" s="1"/>
      <c r="G31" s="31"/>
      <c r="H31" s="31"/>
      <c r="I31" s="31"/>
      <c r="J31" s="31"/>
    </row>
    <row r="32">
      <c r="B32" s="3">
        <f>"BP_" &amp; C32 &amp; IF(D32&lt;&gt;"", "_" &amp; D32, "") &amp; IF(E32&lt;&gt;"", "_" &amp; E32, "")  &amp; IF(F32&lt;&gt;"", "_" &amp; F32, "") &amp; IF(G32&lt;&gt;"", "_X" &amp; G32, "") &amp; IF(H32&lt;&gt;"", "_Y" &amp; H32, "") &amp; IF(I32&lt;&gt;"", "_Z" &amp; I32, "")</f>
      </c>
      <c r="C32" s="3" t="str">
        <v>Labor</v>
      </c>
      <c r="D32" s="2"/>
      <c r="E32" s="1"/>
      <c r="F32" s="1"/>
      <c r="G32" s="31"/>
      <c r="H32" s="31"/>
      <c r="I32" s="31"/>
      <c r="J32" s="31"/>
    </row>
    <row r="33">
      <c r="B33" s="3">
        <f>"BP_" &amp; C33 &amp; IF(D33&lt;&gt;"", "_" &amp; D33, "") &amp; IF(E33&lt;&gt;"", "_" &amp; E33, "")  &amp; IF(F33&lt;&gt;"", "_" &amp; F33, "") &amp; IF(G33&lt;&gt;"", "_X" &amp; G33, "") &amp; IF(H33&lt;&gt;"", "_Y" &amp; H33, "") &amp; IF(I33&lt;&gt;"", "_Z" &amp; I33, "")</f>
      </c>
      <c r="C33" s="3" t="str">
        <v>Labor</v>
      </c>
      <c r="D33" s="2"/>
      <c r="E33" s="1"/>
      <c r="F33" s="1"/>
      <c r="G33" s="31"/>
      <c r="H33" s="31"/>
      <c r="I33" s="31"/>
      <c r="J33" s="31"/>
    </row>
    <row r="34">
      <c r="B34" s="3">
        <f>"BP_" &amp; C34 &amp; IF(D34&lt;&gt;"", "_" &amp; D34, "") &amp; IF(E34&lt;&gt;"", "_" &amp; E34, "")  &amp; IF(F34&lt;&gt;"", "_" &amp; F34, "") &amp; IF(G34&lt;&gt;"", "_X" &amp; G34, "") &amp; IF(H34&lt;&gt;"", "_Y" &amp; H34, "") &amp; IF(I34&lt;&gt;"", "_Z" &amp; I34, "")</f>
      </c>
      <c r="C34" s="3" t="str">
        <v>Labor</v>
      </c>
      <c r="D34" s="2"/>
      <c r="E34" s="1"/>
      <c r="F34" s="1"/>
      <c r="G34" s="31"/>
      <c r="H34" s="31"/>
      <c r="I34" s="31"/>
      <c r="J34" s="31"/>
    </row>
    <row r="35">
      <c r="D35" s="2"/>
      <c r="E35" s="1"/>
      <c r="F35" s="1"/>
      <c r="G35" s="31"/>
      <c r="H35" s="31"/>
      <c r="I35" s="31"/>
      <c r="J35" s="31"/>
    </row>
    <row r="36">
      <c r="D36" s="2"/>
      <c r="E36" s="1"/>
      <c r="F36" s="1"/>
      <c r="G36" s="31"/>
      <c r="H36" s="31"/>
      <c r="I36" s="31"/>
      <c r="J36" s="31"/>
    </row>
    <row r="37">
      <c r="E37" s="1"/>
      <c r="F37" s="1"/>
      <c r="G37" s="31"/>
      <c r="H37" s="31"/>
      <c r="I37" s="31"/>
      <c r="J37" s="31"/>
    </row>
    <row r="38">
      <c r="E38" s="1"/>
      <c r="F38" s="1"/>
      <c r="G38" s="31"/>
      <c r="H38" s="31"/>
      <c r="I38" s="31"/>
      <c r="J38" s="31"/>
    </row>
    <row r="39">
      <c r="E39" s="1"/>
      <c r="F39" s="1"/>
      <c r="G39" s="31"/>
      <c r="H39" s="31"/>
      <c r="I39" s="31"/>
      <c r="J39" s="31"/>
    </row>
    <row r="40">
      <c r="E40" s="1"/>
      <c r="F40" s="1"/>
      <c r="G40" s="31"/>
      <c r="H40" s="31"/>
      <c r="I40" s="31"/>
      <c r="J40" s="31"/>
    </row>
    <row r="41">
      <c r="E41" s="1"/>
      <c r="F41" s="1"/>
      <c r="G41" s="31"/>
      <c r="H41" s="31"/>
      <c r="I41" s="31"/>
      <c r="J41" s="31"/>
    </row>
    <row r="42">
      <c r="E42" s="1"/>
      <c r="F42" s="1"/>
      <c r="G42" s="31"/>
      <c r="H42" s="31"/>
      <c r="I42" s="31"/>
      <c r="J42" s="31"/>
    </row>
    <row r="43">
      <c r="E43" s="1"/>
      <c r="F43" s="1"/>
      <c r="G43" s="31"/>
      <c r="H43" s="31"/>
      <c r="I43" s="31"/>
      <c r="J43" s="31"/>
    </row>
    <row r="44">
      <c r="E44" s="1"/>
      <c r="F44" s="1"/>
      <c r="G44" s="31"/>
      <c r="H44" s="31"/>
      <c r="I44" s="31"/>
      <c r="J44" s="31"/>
    </row>
    <row r="45">
      <c r="E45" s="1"/>
      <c r="F45" s="1"/>
      <c r="G45" s="31"/>
      <c r="H45" s="31"/>
      <c r="I45" s="31"/>
      <c r="J45" s="31"/>
    </row>
    <row r="46">
      <c r="E46" s="1"/>
      <c r="F46" s="1"/>
      <c r="G46" s="31"/>
      <c r="H46" s="31"/>
      <c r="I46" s="31"/>
      <c r="J46" s="31"/>
    </row>
    <row r="47">
      <c r="E47" s="1"/>
      <c r="F47" s="1"/>
      <c r="G47" s="31"/>
      <c r="H47" s="31"/>
      <c r="I47" s="31"/>
      <c r="J47" s="31"/>
    </row>
    <row r="48">
      <c r="E48" s="1"/>
      <c r="F48" s="1"/>
      <c r="G48" s="31"/>
      <c r="H48" s="31"/>
      <c r="I48" s="31"/>
      <c r="J48" s="31"/>
    </row>
    <row r="49">
      <c r="E49" s="1"/>
      <c r="F49" s="1"/>
      <c r="G49" s="31"/>
      <c r="H49" s="31"/>
      <c r="I49" s="31"/>
      <c r="J49" s="31"/>
    </row>
    <row r="50">
      <c r="E50" s="1"/>
      <c r="F50" s="1"/>
      <c r="G50" s="31"/>
      <c r="H50" s="31"/>
      <c r="I50" s="31"/>
      <c r="J50" s="31"/>
    </row>
    <row r="51">
      <c r="E51" s="1"/>
      <c r="F51" s="1"/>
      <c r="G51" s="31"/>
      <c r="H51" s="31"/>
      <c r="I51" s="31"/>
      <c r="J51" s="31"/>
    </row>
    <row r="52">
      <c r="E52" s="1"/>
      <c r="F52" s="1"/>
      <c r="G52" s="31"/>
      <c r="H52" s="31"/>
      <c r="I52" s="31"/>
      <c r="J52" s="31"/>
    </row>
    <row r="53">
      <c r="E53" s="1"/>
      <c r="F53" s="1"/>
      <c r="G53" s="31"/>
      <c r="H53" s="31"/>
      <c r="I53" s="31"/>
      <c r="J53" s="31"/>
    </row>
    <row r="54">
      <c r="E54" s="1"/>
      <c r="F54" s="1"/>
      <c r="G54" s="31"/>
      <c r="H54" s="31"/>
      <c r="I54" s="31"/>
      <c r="J54" s="31"/>
    </row>
    <row r="55">
      <c r="E55" s="1"/>
      <c r="F55" s="1"/>
      <c r="G55" s="31"/>
      <c r="H55" s="31"/>
      <c r="I55" s="31"/>
      <c r="J55" s="31"/>
    </row>
    <row r="56">
      <c r="E56" s="1"/>
      <c r="F56" s="1"/>
      <c r="G56" s="31"/>
      <c r="H56" s="31"/>
      <c r="I56" s="31"/>
      <c r="J56" s="31"/>
    </row>
    <row r="57">
      <c r="E57" s="1"/>
      <c r="F57" s="1"/>
      <c r="G57" s="31"/>
      <c r="H57" s="31"/>
      <c r="I57" s="31"/>
      <c r="J57" s="31"/>
    </row>
    <row r="58">
      <c r="E58" s="1"/>
      <c r="F58" s="1"/>
      <c r="G58" s="31"/>
      <c r="H58" s="31"/>
      <c r="I58" s="31"/>
      <c r="J58" s="31"/>
    </row>
    <row r="59">
      <c r="E59" s="1"/>
      <c r="F59" s="1"/>
      <c r="G59" s="31"/>
      <c r="H59" s="31"/>
      <c r="I59" s="31"/>
      <c r="J59" s="31"/>
    </row>
    <row r="60">
      <c r="E60" s="1"/>
      <c r="F60" s="1"/>
      <c r="G60" s="31"/>
      <c r="H60" s="31"/>
      <c r="I60" s="31"/>
      <c r="J60" s="31"/>
    </row>
    <row r="61">
      <c r="E61" s="1"/>
      <c r="F61" s="1"/>
      <c r="G61" s="31"/>
      <c r="H61" s="31"/>
      <c r="I61" s="31"/>
      <c r="J61" s="31"/>
    </row>
    <row r="62">
      <c r="E62" s="1"/>
      <c r="F62" s="1"/>
      <c r="G62" s="31"/>
      <c r="H62" s="31"/>
      <c r="I62" s="31"/>
      <c r="J62" s="31"/>
    </row>
    <row r="63">
      <c r="E63" s="1"/>
      <c r="F63" s="1"/>
      <c r="G63" s="31"/>
      <c r="H63" s="31"/>
      <c r="I63" s="31"/>
      <c r="J63" s="31"/>
    </row>
    <row r="64">
      <c r="E64" s="1"/>
      <c r="F64" s="1"/>
      <c r="G64" s="31"/>
      <c r="H64" s="31"/>
      <c r="I64" s="31"/>
      <c r="J64" s="31"/>
    </row>
    <row r="65">
      <c r="E65" s="1"/>
      <c r="F65" s="1"/>
      <c r="G65" s="31"/>
      <c r="H65" s="31"/>
      <c r="I65" s="31"/>
      <c r="J65" s="31"/>
    </row>
    <row r="66">
      <c r="E66" s="1"/>
      <c r="F66" s="1"/>
      <c r="G66" s="31"/>
      <c r="H66" s="31"/>
      <c r="I66" s="31"/>
      <c r="J66" s="31"/>
    </row>
    <row r="67">
      <c r="E67" s="1"/>
      <c r="F67" s="1"/>
      <c r="G67" s="31"/>
      <c r="H67" s="31"/>
      <c r="I67" s="31"/>
      <c r="J67" s="31"/>
    </row>
    <row r="68">
      <c r="E68" s="1"/>
      <c r="F68" s="1"/>
      <c r="G68" s="31"/>
      <c r="H68" s="31"/>
      <c r="I68" s="31"/>
      <c r="J68" s="31"/>
    </row>
    <row r="69">
      <c r="E69" s="1"/>
      <c r="F69" s="1"/>
      <c r="G69" s="31"/>
      <c r="H69" s="31"/>
      <c r="I69" s="31"/>
      <c r="J69" s="31"/>
    </row>
    <row r="70">
      <c r="E70" s="1"/>
      <c r="F70" s="1"/>
      <c r="G70" s="31"/>
      <c r="H70" s="31"/>
      <c r="I70" s="31"/>
      <c r="J70" s="31"/>
    </row>
    <row r="71">
      <c r="E71" s="1"/>
      <c r="F71" s="1"/>
      <c r="G71" s="31"/>
      <c r="H71" s="31"/>
      <c r="I71" s="31"/>
      <c r="J71" s="31"/>
    </row>
    <row r="72">
      <c r="E72" s="1"/>
      <c r="F72" s="1"/>
      <c r="G72" s="31"/>
      <c r="H72" s="31"/>
      <c r="I72" s="31"/>
      <c r="J72" s="31"/>
    </row>
    <row r="73">
      <c r="E73" s="1"/>
      <c r="F73" s="1"/>
      <c r="G73" s="31"/>
      <c r="H73" s="31"/>
      <c r="I73" s="31"/>
      <c r="J73" s="31"/>
    </row>
    <row r="74">
      <c r="E74" s="1"/>
      <c r="F74" s="1"/>
      <c r="G74" s="31"/>
      <c r="H74" s="31"/>
      <c r="I74" s="31"/>
      <c r="J74" s="31"/>
    </row>
    <row r="75">
      <c r="E75" s="1"/>
      <c r="F75" s="1"/>
      <c r="G75" s="31"/>
      <c r="H75" s="31"/>
      <c r="I75" s="31"/>
      <c r="J75" s="31"/>
    </row>
    <row r="76">
      <c r="E76" s="1"/>
      <c r="F76" s="1"/>
      <c r="G76" s="31"/>
      <c r="H76" s="31"/>
      <c r="I76" s="31"/>
      <c r="J76" s="31"/>
    </row>
    <row r="77">
      <c r="E77" s="1"/>
      <c r="F77" s="1"/>
      <c r="G77" s="31"/>
      <c r="H77" s="31"/>
      <c r="I77" s="31"/>
      <c r="J77" s="31"/>
    </row>
    <row r="78">
      <c r="E78" s="1"/>
      <c r="F78" s="1"/>
      <c r="G78" s="31"/>
      <c r="H78" s="31"/>
      <c r="I78" s="31"/>
      <c r="J78" s="31"/>
    </row>
    <row r="79">
      <c r="E79" s="1"/>
      <c r="F79" s="1"/>
      <c r="G79" s="31"/>
      <c r="H79" s="31"/>
      <c r="I79" s="31"/>
      <c r="J79" s="31"/>
    </row>
    <row r="80">
      <c r="E80" s="1"/>
      <c r="F80" s="1"/>
      <c r="G80" s="31"/>
      <c r="H80" s="31"/>
      <c r="I80" s="31"/>
      <c r="J80" s="31"/>
    </row>
    <row r="81">
      <c r="E81" s="1"/>
      <c r="F81" s="1"/>
      <c r="G81" s="31"/>
      <c r="H81" s="31"/>
      <c r="I81" s="31"/>
      <c r="J81" s="31"/>
    </row>
    <row r="82">
      <c r="E82" s="1"/>
      <c r="F82" s="1"/>
      <c r="G82" s="31"/>
      <c r="H82" s="31"/>
      <c r="I82" s="31"/>
      <c r="J82" s="31"/>
    </row>
    <row r="83">
      <c r="E83" s="1"/>
      <c r="F83" s="1"/>
      <c r="G83" s="31"/>
      <c r="H83" s="31"/>
      <c r="I83" s="31"/>
      <c r="J83" s="31"/>
    </row>
    <row r="84">
      <c r="E84" s="1"/>
      <c r="F84" s="1"/>
      <c r="G84" s="31"/>
      <c r="H84" s="31"/>
      <c r="I84" s="31"/>
      <c r="J84" s="31"/>
    </row>
    <row r="85">
      <c r="E85" s="1"/>
      <c r="F85" s="1"/>
      <c r="G85" s="31"/>
      <c r="H85" s="31"/>
      <c r="I85" s="31"/>
      <c r="J85" s="31"/>
    </row>
    <row r="86">
      <c r="E86" s="1"/>
      <c r="F86" s="1"/>
      <c r="G86" s="31"/>
      <c r="H86" s="31"/>
      <c r="I86" s="31"/>
      <c r="J86" s="31"/>
    </row>
    <row r="87">
      <c r="E87" s="1"/>
      <c r="F87" s="1"/>
      <c r="G87" s="31"/>
      <c r="H87" s="31"/>
      <c r="I87" s="31"/>
      <c r="J87" s="31"/>
    </row>
    <row r="88">
      <c r="E88" s="1"/>
      <c r="F88" s="1"/>
      <c r="G88" s="31"/>
      <c r="H88" s="31"/>
      <c r="I88" s="31"/>
      <c r="J88" s="31"/>
    </row>
    <row r="89">
      <c r="E89" s="1"/>
      <c r="F89" s="1"/>
      <c r="G89" s="31"/>
      <c r="H89" s="31"/>
      <c r="I89" s="31"/>
      <c r="J89" s="31"/>
    </row>
    <row r="90">
      <c r="E90" s="1"/>
      <c r="F90" s="1"/>
      <c r="G90" s="31"/>
      <c r="H90" s="31"/>
      <c r="I90" s="31"/>
      <c r="J90" s="31"/>
    </row>
    <row r="91">
      <c r="E91" s="1"/>
      <c r="F91" s="1"/>
      <c r="G91" s="31"/>
      <c r="H91" s="31"/>
      <c r="I91" s="31"/>
      <c r="J91" s="31"/>
    </row>
    <row r="92">
      <c r="E92" s="1"/>
      <c r="F92" s="1"/>
      <c r="G92" s="31"/>
      <c r="H92" s="31"/>
      <c r="I92" s="31"/>
      <c r="J92" s="31"/>
    </row>
    <row r="93">
      <c r="E93" s="1"/>
      <c r="F93" s="1"/>
      <c r="G93" s="31"/>
      <c r="H93" s="31"/>
      <c r="I93" s="31"/>
      <c r="J93" s="31"/>
    </row>
    <row r="94">
      <c r="E94" s="1"/>
      <c r="F94" s="1"/>
      <c r="G94" s="31"/>
      <c r="H94" s="31"/>
      <c r="I94" s="31"/>
      <c r="J94" s="31"/>
    </row>
    <row r="95">
      <c r="E95" s="1"/>
      <c r="F95" s="1"/>
      <c r="G95" s="31"/>
      <c r="H95" s="31"/>
      <c r="I95" s="31"/>
      <c r="J95" s="31"/>
    </row>
    <row r="96">
      <c r="E96" s="1"/>
      <c r="F96" s="1"/>
      <c r="G96" s="31"/>
      <c r="H96" s="31"/>
      <c r="I96" s="31"/>
      <c r="J96" s="31"/>
    </row>
    <row r="97">
      <c r="E97" s="1"/>
      <c r="F97" s="1"/>
      <c r="G97" s="31"/>
      <c r="H97" s="31"/>
      <c r="I97" s="31"/>
      <c r="J97" s="31"/>
    </row>
    <row r="98">
      <c r="E98" s="1"/>
      <c r="F98" s="1"/>
      <c r="G98" s="31"/>
      <c r="H98" s="31"/>
      <c r="I98" s="31"/>
      <c r="J98" s="31"/>
    </row>
    <row r="99">
      <c r="E99" s="1"/>
      <c r="F99" s="1"/>
      <c r="G99" s="31"/>
      <c r="H99" s="31"/>
      <c r="I99" s="31"/>
      <c r="J99" s="31"/>
    </row>
    <row r="100">
      <c r="E100" s="1"/>
      <c r="F100" s="1"/>
      <c r="G100" s="31"/>
      <c r="H100" s="31"/>
      <c r="I100" s="31"/>
      <c r="J100" s="31"/>
    </row>
    <row r="101">
      <c r="E101" s="1"/>
      <c r="F101" s="1"/>
      <c r="G101" s="31"/>
      <c r="H101" s="31"/>
      <c r="I101" s="31"/>
      <c r="J101" s="31"/>
    </row>
    <row r="102">
      <c r="E102" s="1"/>
      <c r="F102" s="1"/>
      <c r="G102" s="31"/>
      <c r="H102" s="31"/>
      <c r="I102" s="31"/>
      <c r="J102" s="31"/>
    </row>
    <row r="103">
      <c r="E103" s="1"/>
      <c r="F103" s="1"/>
      <c r="G103" s="31"/>
      <c r="H103" s="31"/>
      <c r="I103" s="31"/>
      <c r="J103" s="31"/>
    </row>
    <row r="104">
      <c r="E104" s="1"/>
      <c r="F104" s="1"/>
      <c r="G104" s="31"/>
      <c r="H104" s="31"/>
      <c r="I104" s="31"/>
      <c r="J104" s="31"/>
    </row>
    <row r="105">
      <c r="E105" s="1"/>
      <c r="F105" s="1"/>
      <c r="G105" s="31"/>
      <c r="H105" s="31"/>
      <c r="I105" s="31"/>
      <c r="J105" s="31"/>
    </row>
    <row r="106">
      <c r="E106" s="1"/>
      <c r="F106" s="1"/>
      <c r="G106" s="31"/>
      <c r="H106" s="31"/>
      <c r="I106" s="31"/>
      <c r="J106" s="31"/>
    </row>
    <row r="107">
      <c r="E107" s="1"/>
      <c r="F107" s="1"/>
      <c r="G107" s="31"/>
      <c r="H107" s="31"/>
      <c r="I107" s="31"/>
      <c r="J107" s="31"/>
    </row>
    <row r="108">
      <c r="E108" s="1"/>
      <c r="F108" s="1"/>
      <c r="G108" s="31"/>
      <c r="H108" s="31"/>
      <c r="I108" s="31"/>
      <c r="J108" s="31"/>
    </row>
    <row r="109">
      <c r="E109" s="1"/>
      <c r="F109" s="1"/>
      <c r="G109" s="31"/>
      <c r="H109" s="31"/>
      <c r="I109" s="31"/>
      <c r="J109" s="31"/>
    </row>
    <row r="110">
      <c r="E110" s="1"/>
      <c r="F110" s="1"/>
      <c r="G110" s="31"/>
      <c r="H110" s="31"/>
      <c r="I110" s="31"/>
      <c r="J110" s="31"/>
    </row>
    <row r="111">
      <c r="E111" s="1"/>
      <c r="F111" s="1"/>
      <c r="G111" s="31"/>
      <c r="H111" s="31"/>
      <c r="I111" s="31"/>
      <c r="J111" s="31"/>
    </row>
    <row r="112">
      <c r="E112" s="1"/>
      <c r="F112" s="1"/>
      <c r="G112" s="31"/>
      <c r="H112" s="31"/>
      <c r="I112" s="31"/>
      <c r="J112" s="31"/>
    </row>
    <row r="113">
      <c r="E113" s="1"/>
      <c r="F113" s="1"/>
      <c r="G113" s="31"/>
      <c r="H113" s="31"/>
      <c r="I113" s="31"/>
      <c r="J113" s="31"/>
    </row>
    <row r="114">
      <c r="E114" s="1"/>
      <c r="F114" s="1"/>
      <c r="G114" s="31"/>
      <c r="H114" s="31"/>
      <c r="I114" s="31"/>
      <c r="J114" s="31"/>
    </row>
    <row r="115">
      <c r="E115" s="1"/>
      <c r="F115" s="1"/>
      <c r="G115" s="31"/>
      <c r="H115" s="31"/>
      <c r="I115" s="31"/>
      <c r="J115" s="31"/>
    </row>
    <row r="116">
      <c r="E116" s="1"/>
      <c r="F116" s="1"/>
      <c r="G116" s="31"/>
      <c r="H116" s="31"/>
      <c r="I116" s="31"/>
      <c r="J116" s="31"/>
    </row>
    <row r="117">
      <c r="E117" s="1"/>
      <c r="F117" s="1"/>
      <c r="G117" s="31"/>
      <c r="H117" s="31"/>
      <c r="I117" s="31"/>
      <c r="J117" s="31"/>
    </row>
    <row r="118">
      <c r="E118" s="1"/>
      <c r="F118" s="1"/>
      <c r="G118" s="31"/>
      <c r="H118" s="31"/>
      <c r="I118" s="31"/>
      <c r="J118" s="31"/>
    </row>
    <row r="119">
      <c r="E119" s="1"/>
      <c r="F119" s="1"/>
      <c r="G119" s="31"/>
      <c r="H119" s="31"/>
      <c r="I119" s="31"/>
      <c r="J119" s="31"/>
    </row>
    <row r="120">
      <c r="E120" s="1"/>
      <c r="F120" s="1"/>
      <c r="G120" s="31"/>
      <c r="H120" s="31"/>
      <c r="I120" s="31"/>
      <c r="J120" s="31"/>
    </row>
    <row r="121">
      <c r="E121" s="1"/>
      <c r="F121" s="1"/>
      <c r="G121" s="31"/>
      <c r="H121" s="31"/>
      <c r="I121" s="31"/>
      <c r="J121" s="31"/>
    </row>
    <row r="122">
      <c r="E122" s="1"/>
      <c r="F122" s="1"/>
      <c r="G122" s="31"/>
      <c r="H122" s="31"/>
      <c r="I122" s="31"/>
      <c r="J122" s="31"/>
    </row>
    <row r="123">
      <c r="E123" s="1"/>
      <c r="F123" s="1"/>
      <c r="G123" s="31"/>
      <c r="H123" s="31"/>
      <c r="I123" s="31"/>
      <c r="J123" s="31"/>
    </row>
    <row r="124">
      <c r="E124" s="1"/>
      <c r="F124" s="1"/>
      <c r="G124" s="31"/>
      <c r="H124" s="31"/>
      <c r="I124" s="31"/>
      <c r="J124" s="31"/>
    </row>
    <row r="125">
      <c r="E125" s="1"/>
      <c r="F125" s="1"/>
      <c r="G125" s="31"/>
      <c r="H125" s="31"/>
      <c r="I125" s="31"/>
      <c r="J125" s="31"/>
    </row>
    <row r="126">
      <c r="E126" s="1"/>
      <c r="F126" s="1"/>
      <c r="G126" s="31"/>
      <c r="H126" s="31"/>
      <c r="I126" s="31"/>
      <c r="J126" s="31"/>
    </row>
    <row r="127">
      <c r="E127" s="1"/>
      <c r="F127" s="1"/>
      <c r="G127" s="31"/>
      <c r="H127" s="31"/>
      <c r="I127" s="31"/>
      <c r="J127" s="31"/>
    </row>
    <row r="128">
      <c r="E128" s="1"/>
      <c r="F128" s="1"/>
      <c r="G128" s="31"/>
      <c r="H128" s="31"/>
      <c r="I128" s="31"/>
      <c r="J128" s="31"/>
    </row>
    <row r="129">
      <c r="E129" s="1"/>
      <c r="F129" s="1"/>
      <c r="G129" s="31"/>
      <c r="H129" s="31"/>
      <c r="I129" s="31"/>
      <c r="J129" s="31"/>
    </row>
    <row r="130">
      <c r="E130" s="1"/>
      <c r="F130" s="1"/>
      <c r="G130" s="31"/>
      <c r="H130" s="31"/>
      <c r="I130" s="31"/>
      <c r="J130" s="31"/>
    </row>
    <row r="131">
      <c r="E131" s="1"/>
      <c r="F131" s="1"/>
      <c r="G131" s="31"/>
      <c r="H131" s="31"/>
      <c r="I131" s="31"/>
      <c r="J131" s="31"/>
    </row>
    <row r="132">
      <c r="E132" s="1"/>
      <c r="F132" s="1"/>
      <c r="G132" s="31"/>
      <c r="H132" s="31"/>
      <c r="I132" s="31"/>
      <c r="J132" s="31"/>
    </row>
    <row r="133">
      <c r="E133" s="1"/>
      <c r="F133" s="1"/>
      <c r="G133" s="31"/>
      <c r="H133" s="31"/>
      <c r="I133" s="31"/>
      <c r="J133" s="31"/>
    </row>
    <row r="134">
      <c r="E134" s="1"/>
      <c r="F134" s="1"/>
      <c r="G134" s="31"/>
      <c r="H134" s="31"/>
      <c r="I134" s="31"/>
      <c r="J134" s="31"/>
    </row>
    <row r="135">
      <c r="E135" s="1"/>
      <c r="F135" s="1"/>
      <c r="G135" s="31"/>
      <c r="H135" s="31"/>
      <c r="I135" s="31"/>
      <c r="J135" s="31"/>
    </row>
    <row r="136">
      <c r="E136" s="1"/>
      <c r="F136" s="1"/>
      <c r="G136" s="31"/>
      <c r="H136" s="31"/>
      <c r="I136" s="31"/>
      <c r="J136" s="31"/>
    </row>
    <row r="137">
      <c r="E137" s="1"/>
      <c r="F137" s="1"/>
      <c r="G137" s="31"/>
      <c r="H137" s="31"/>
      <c r="I137" s="31"/>
      <c r="J137" s="31"/>
    </row>
    <row r="138">
      <c r="E138" s="1"/>
      <c r="F138" s="1"/>
      <c r="G138" s="31"/>
      <c r="H138" s="31"/>
      <c r="I138" s="31"/>
      <c r="J138" s="31"/>
    </row>
    <row r="139">
      <c r="E139" s="1"/>
      <c r="F139" s="1"/>
      <c r="G139" s="31"/>
      <c r="H139" s="31"/>
      <c r="I139" s="31"/>
      <c r="J139" s="31"/>
    </row>
    <row r="140">
      <c r="E140" s="1"/>
      <c r="F140" s="1"/>
      <c r="G140" s="31"/>
      <c r="H140" s="31"/>
      <c r="I140" s="31"/>
      <c r="J140" s="31"/>
    </row>
    <row r="141">
      <c r="E141" s="1"/>
      <c r="F141" s="1"/>
      <c r="G141" s="31"/>
      <c r="H141" s="31"/>
      <c r="I141" s="31"/>
      <c r="J141" s="31"/>
    </row>
    <row r="142">
      <c r="E142" s="1"/>
      <c r="F142" s="1"/>
      <c r="G142" s="31"/>
      <c r="H142" s="31"/>
      <c r="I142" s="31"/>
      <c r="J142" s="31"/>
    </row>
    <row r="143">
      <c r="E143" s="1"/>
      <c r="F143" s="1"/>
      <c r="G143" s="31"/>
      <c r="H143" s="31"/>
      <c r="I143" s="31"/>
      <c r="J143" s="31"/>
    </row>
    <row r="144">
      <c r="E144" s="1"/>
      <c r="F144" s="1"/>
      <c r="G144" s="31"/>
      <c r="H144" s="31"/>
      <c r="I144" s="31"/>
      <c r="J144" s="31"/>
    </row>
    <row r="145">
      <c r="E145" s="1"/>
      <c r="F145" s="1"/>
      <c r="G145" s="31"/>
      <c r="H145" s="31"/>
      <c r="I145" s="31"/>
      <c r="J145" s="31"/>
    </row>
    <row r="146">
      <c r="E146" s="1"/>
      <c r="F146" s="1"/>
      <c r="G146" s="31"/>
      <c r="H146" s="31"/>
      <c r="I146" s="31"/>
      <c r="J146" s="31"/>
    </row>
    <row r="147">
      <c r="E147" s="1"/>
      <c r="F147" s="1"/>
      <c r="G147" s="31"/>
      <c r="H147" s="31"/>
      <c r="I147" s="31"/>
      <c r="J147" s="31"/>
    </row>
    <row r="148">
      <c r="E148" s="1"/>
      <c r="F148" s="1"/>
      <c r="G148" s="31"/>
      <c r="H148" s="31"/>
      <c r="I148" s="31"/>
      <c r="J148" s="31"/>
    </row>
    <row r="149">
      <c r="E149" s="1"/>
      <c r="F149" s="1"/>
      <c r="G149" s="31"/>
      <c r="H149" s="31"/>
      <c r="I149" s="31"/>
      <c r="J149" s="31"/>
    </row>
    <row r="150">
      <c r="E150" s="1"/>
      <c r="F150" s="1"/>
      <c r="G150" s="31"/>
      <c r="H150" s="31"/>
      <c r="I150" s="31"/>
      <c r="J150" s="31"/>
    </row>
    <row r="151">
      <c r="E151" s="1"/>
      <c r="F151" s="1"/>
      <c r="G151" s="31"/>
      <c r="H151" s="31"/>
      <c r="I151" s="31"/>
      <c r="J151" s="31"/>
    </row>
    <row r="152">
      <c r="E152" s="1"/>
      <c r="F152" s="1"/>
      <c r="G152" s="31"/>
      <c r="H152" s="31"/>
      <c r="I152" s="31"/>
      <c r="J152" s="31"/>
    </row>
    <row r="153">
      <c r="E153" s="1"/>
      <c r="F153" s="1"/>
      <c r="G153" s="31"/>
      <c r="H153" s="31"/>
      <c r="I153" s="31"/>
      <c r="J153" s="31"/>
    </row>
    <row r="154">
      <c r="E154" s="1"/>
      <c r="F154" s="1"/>
      <c r="G154" s="31"/>
      <c r="H154" s="31"/>
      <c r="I154" s="31"/>
      <c r="J154" s="31"/>
    </row>
    <row r="155">
      <c r="E155" s="1"/>
      <c r="F155" s="1"/>
      <c r="G155" s="31"/>
      <c r="H155" s="31"/>
      <c r="I155" s="31"/>
      <c r="J155" s="31"/>
    </row>
    <row r="156">
      <c r="E156" s="1"/>
      <c r="F156" s="1"/>
      <c r="G156" s="31"/>
      <c r="H156" s="31"/>
      <c r="I156" s="31"/>
      <c r="J156" s="31"/>
    </row>
    <row r="157">
      <c r="E157" s="1"/>
      <c r="F157" s="1"/>
      <c r="G157" s="31"/>
      <c r="H157" s="31"/>
      <c r="I157" s="31"/>
      <c r="J157" s="31"/>
    </row>
    <row r="158">
      <c r="E158" s="1"/>
      <c r="F158" s="1"/>
      <c r="G158" s="31"/>
      <c r="H158" s="31"/>
      <c r="I158" s="31"/>
      <c r="J158" s="31"/>
    </row>
    <row r="159">
      <c r="E159" s="1"/>
      <c r="F159" s="1"/>
      <c r="G159" s="31"/>
      <c r="H159" s="31"/>
      <c r="I159" s="31"/>
      <c r="J159" s="31"/>
    </row>
    <row r="160">
      <c r="E160" s="1"/>
      <c r="F160" s="1"/>
      <c r="G160" s="31"/>
      <c r="H160" s="31"/>
      <c r="I160" s="31"/>
      <c r="J160" s="31"/>
    </row>
    <row r="161">
      <c r="E161" s="1"/>
      <c r="F161" s="1"/>
      <c r="G161" s="31"/>
      <c r="H161" s="31"/>
      <c r="I161" s="31"/>
      <c r="J161" s="31"/>
    </row>
    <row r="162">
      <c r="E162" s="1"/>
      <c r="F162" s="1"/>
      <c r="G162" s="31"/>
      <c r="H162" s="31"/>
      <c r="I162" s="31"/>
      <c r="J162" s="31"/>
    </row>
    <row r="163">
      <c r="E163" s="1"/>
      <c r="F163" s="1"/>
      <c r="G163" s="31"/>
      <c r="H163" s="31"/>
      <c r="I163" s="31"/>
      <c r="J163" s="31"/>
    </row>
    <row r="164">
      <c r="E164" s="1"/>
      <c r="F164" s="1"/>
      <c r="G164" s="31"/>
      <c r="H164" s="31"/>
      <c r="I164" s="31"/>
      <c r="J164" s="31"/>
    </row>
    <row r="165">
      <c r="E165" s="1"/>
      <c r="F165" s="1"/>
      <c r="G165" s="31"/>
      <c r="H165" s="31"/>
      <c r="I165" s="31"/>
      <c r="J165" s="31"/>
    </row>
    <row r="166">
      <c r="E166" s="1"/>
      <c r="F166" s="1"/>
      <c r="G166" s="31"/>
      <c r="H166" s="31"/>
      <c r="I166" s="31"/>
      <c r="J166" s="31"/>
    </row>
    <row r="167">
      <c r="E167" s="1"/>
      <c r="F167" s="1"/>
      <c r="G167" s="31"/>
      <c r="H167" s="31"/>
      <c r="I167" s="31"/>
      <c r="J167" s="31"/>
    </row>
    <row r="168">
      <c r="E168" s="1"/>
      <c r="F168" s="1"/>
      <c r="G168" s="31"/>
      <c r="H168" s="31"/>
      <c r="I168" s="31"/>
      <c r="J168" s="31"/>
    </row>
    <row r="169">
      <c r="E169" s="1"/>
      <c r="F169" s="1"/>
      <c r="G169" s="31"/>
      <c r="H169" s="31"/>
      <c r="I169" s="31"/>
      <c r="J169" s="31"/>
    </row>
    <row r="170">
      <c r="E170" s="1"/>
      <c r="F170" s="1"/>
      <c r="G170" s="31"/>
      <c r="H170" s="31"/>
      <c r="I170" s="31"/>
      <c r="J170" s="31"/>
    </row>
    <row r="171">
      <c r="E171" s="1"/>
      <c r="F171" s="1"/>
      <c r="G171" s="31"/>
      <c r="H171" s="31"/>
      <c r="I171" s="31"/>
      <c r="J171" s="31"/>
    </row>
    <row r="172">
      <c r="E172" s="1"/>
      <c r="F172" s="1"/>
      <c r="G172" s="31"/>
      <c r="H172" s="31"/>
      <c r="I172" s="31"/>
      <c r="J172" s="31"/>
    </row>
    <row r="173">
      <c r="E173" s="1"/>
      <c r="F173" s="1"/>
      <c r="G173" s="31"/>
      <c r="H173" s="31"/>
      <c r="I173" s="31"/>
      <c r="J173" s="31"/>
    </row>
    <row r="174">
      <c r="E174" s="1"/>
      <c r="F174" s="1"/>
      <c r="G174" s="31"/>
      <c r="H174" s="31"/>
      <c r="I174" s="31"/>
      <c r="J174" s="31"/>
    </row>
    <row r="175">
      <c r="E175" s="1"/>
      <c r="F175" s="1"/>
      <c r="G175" s="31"/>
      <c r="H175" s="31"/>
      <c r="I175" s="31"/>
      <c r="J175" s="31"/>
    </row>
    <row r="176">
      <c r="E176" s="1"/>
      <c r="F176" s="1"/>
      <c r="G176" s="31"/>
      <c r="H176" s="31"/>
      <c r="I176" s="31"/>
      <c r="J176" s="31"/>
    </row>
    <row r="177">
      <c r="E177" s="1"/>
      <c r="F177" s="1"/>
      <c r="G177" s="31"/>
      <c r="H177" s="31"/>
      <c r="I177" s="31"/>
      <c r="J177" s="31"/>
    </row>
    <row r="178">
      <c r="E178" s="1"/>
      <c r="F178" s="1"/>
      <c r="G178" s="31"/>
      <c r="H178" s="31"/>
      <c r="I178" s="31"/>
      <c r="J178" s="31"/>
    </row>
    <row r="179">
      <c r="E179" s="1"/>
      <c r="F179" s="1"/>
      <c r="G179" s="31"/>
      <c r="H179" s="31"/>
      <c r="I179" s="31"/>
      <c r="J179" s="31"/>
    </row>
    <row r="180">
      <c r="E180" s="1"/>
      <c r="F180" s="1"/>
      <c r="G180" s="31"/>
      <c r="H180" s="31"/>
      <c r="I180" s="31"/>
      <c r="J180" s="31"/>
    </row>
    <row r="181">
      <c r="E181" s="1"/>
      <c r="F181" s="1"/>
      <c r="G181" s="31"/>
      <c r="H181" s="31"/>
      <c r="I181" s="31"/>
      <c r="J181" s="31"/>
    </row>
    <row r="182">
      <c r="E182" s="1"/>
      <c r="F182" s="1"/>
      <c r="G182" s="31"/>
      <c r="H182" s="31"/>
      <c r="I182" s="31"/>
      <c r="J182" s="31"/>
    </row>
    <row r="183">
      <c r="E183" s="1"/>
      <c r="F183" s="1"/>
      <c r="G183" s="31"/>
      <c r="H183" s="31"/>
      <c r="I183" s="31"/>
      <c r="J183" s="31"/>
    </row>
    <row r="184">
      <c r="E184" s="1"/>
      <c r="F184" s="1"/>
      <c r="G184" s="31"/>
      <c r="H184" s="31"/>
      <c r="I184" s="31"/>
      <c r="J184" s="31"/>
    </row>
    <row r="185">
      <c r="E185" s="1"/>
      <c r="F185" s="1"/>
      <c r="G185" s="31"/>
      <c r="H185" s="31"/>
      <c r="I185" s="31"/>
      <c r="J185" s="31"/>
    </row>
    <row r="186">
      <c r="E186" s="1"/>
      <c r="F186" s="1"/>
      <c r="G186" s="31"/>
      <c r="H186" s="31"/>
      <c r="I186" s="31"/>
      <c r="J186" s="31"/>
    </row>
    <row r="187">
      <c r="E187" s="1"/>
      <c r="F187" s="1"/>
      <c r="G187" s="31"/>
      <c r="H187" s="31"/>
      <c r="I187" s="31"/>
      <c r="J187" s="31"/>
    </row>
    <row r="188">
      <c r="E188" s="1"/>
      <c r="F188" s="1"/>
      <c r="G188" s="31"/>
      <c r="H188" s="31"/>
      <c r="I188" s="31"/>
      <c r="J188" s="31"/>
    </row>
    <row r="189">
      <c r="E189" s="1"/>
      <c r="F189" s="1"/>
      <c r="G189" s="31"/>
      <c r="H189" s="31"/>
      <c r="I189" s="31"/>
      <c r="J189" s="31"/>
    </row>
    <row r="190">
      <c r="E190" s="1"/>
      <c r="F190" s="1"/>
      <c r="G190" s="31"/>
      <c r="H190" s="31"/>
      <c r="I190" s="31"/>
      <c r="J190" s="31"/>
    </row>
    <row r="191">
      <c r="E191" s="1"/>
      <c r="F191" s="1"/>
      <c r="G191" s="31"/>
      <c r="H191" s="31"/>
      <c r="I191" s="31"/>
      <c r="J191" s="31"/>
    </row>
    <row r="192">
      <c r="E192" s="1"/>
      <c r="F192" s="1"/>
      <c r="G192" s="31"/>
      <c r="H192" s="31"/>
      <c r="I192" s="31"/>
      <c r="J192" s="31"/>
    </row>
    <row r="193">
      <c r="E193" s="1"/>
      <c r="F193" s="1"/>
      <c r="G193" s="31"/>
      <c r="H193" s="31"/>
      <c r="I193" s="31"/>
      <c r="J193" s="31"/>
    </row>
    <row r="194">
      <c r="E194" s="1"/>
      <c r="F194" s="1"/>
      <c r="G194" s="31"/>
      <c r="H194" s="31"/>
      <c r="I194" s="31"/>
      <c r="J194" s="31"/>
    </row>
    <row r="195">
      <c r="E195" s="1"/>
      <c r="F195" s="1"/>
      <c r="G195" s="31"/>
      <c r="H195" s="31"/>
      <c r="I195" s="31"/>
      <c r="J195" s="31"/>
    </row>
    <row r="196">
      <c r="E196" s="1"/>
      <c r="F196" s="1"/>
      <c r="G196" s="31"/>
      <c r="H196" s="31"/>
      <c r="I196" s="31"/>
      <c r="J196" s="31"/>
    </row>
    <row r="197">
      <c r="E197" s="1"/>
      <c r="F197" s="1"/>
      <c r="G197" s="31"/>
      <c r="H197" s="31"/>
      <c r="I197" s="31"/>
      <c r="J197" s="31"/>
    </row>
    <row r="198">
      <c r="E198" s="1"/>
      <c r="F198" s="1"/>
      <c r="G198" s="31"/>
      <c r="H198" s="31"/>
      <c r="I198" s="31"/>
      <c r="J198" s="31"/>
    </row>
    <row r="199">
      <c r="E199" s="1"/>
      <c r="F199" s="1"/>
      <c r="G199" s="31"/>
      <c r="H199" s="31"/>
      <c r="I199" s="31"/>
      <c r="J199" s="31"/>
    </row>
    <row r="200">
      <c r="E200" s="1"/>
      <c r="F200" s="1"/>
      <c r="G200" s="31"/>
      <c r="H200" s="31"/>
      <c r="I200" s="31"/>
      <c r="J200" s="31"/>
    </row>
    <row r="201">
      <c r="J201" s="31"/>
    </row>
    <row r="202">
      <c r="J202" s="31"/>
    </row>
    <row r="203">
      <c r="J203" s="31"/>
    </row>
    <row r="204">
      <c r="J204" s="31"/>
    </row>
    <row r="205">
      <c r="J205" s="31"/>
    </row>
    <row r="206">
      <c r="J206" s="31"/>
    </row>
    <row r="207">
      <c r="J207" s="31"/>
    </row>
    <row r="208">
      <c r="J208" s="31"/>
    </row>
    <row r="209">
      <c r="J209" s="31"/>
    </row>
    <row r="210">
      <c r="J210" s="31"/>
    </row>
  </sheetData>
  <dataValidations count="1">
    <dataValidation allowBlank="true" errorStyle="stop" showDropDown="true" showErrorMessage="true" sqref="H201:H210" type="list">
      <formula1>"白模,劳旅"</formula1>
    </dataValidation>
  </dataValidation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