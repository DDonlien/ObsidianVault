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动画分类" sheetId="2" r:id="rId6"/>
    <sheet name="动画列表" sheetId="3" r:id="rId7"/>
    <sheet name="攻击动作拆分" sheetId="4" r:id="rId8"/>
    <sheet name="VFX分类" sheetId="5" r:id="rId9"/>
    <sheet name="VFX列表" sheetId="6" r:id="rId10"/>
    <sheet name="VFX规则" sheetId="7" r:id="rId11"/>
    <sheet name="SFX分类" sheetId="8" r:id="rId12"/>
    <sheet name="SFX列表" sheetId="9" r:id="rId13"/>
    <sheet name="Sheet9" sheetId="10" r:id="rId14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tc={1484A1C2-D6F8-4236-B253-7503FB7AFE6F}</author>
    <author>tc={53BB487A-3933-4EF7-8C42-302B45576BAD}</author>
  </authors>
  <commentList>
    <comment ref="O1" authorId="0" shapeId="0" xr:uid="{1484A1C2-D6F8-4236-B253-7503FB7AFE6F}">
      <text>
        <t>[Threaded comment] Your version of Excel allows you to read this threaded comment; however, any edits to it will get removed if the file is opened in a newer version of Excel. Learn more: https://go.microsoft.com/fwlink/?linkid=870924 Comment: https://dikpa4hrtn9.feishu.cn/sync/ACJldzUgTsYHhwbkU4pcPahvnPb</t>
      </text>
    </comment>
    <comment ref="P1" authorId="1" shapeId="0" xr:uid="{53BB487A-3933-4EF7-8C42-302B45576BAD}">
      <text>
        <t>[Threaded comment] Your version of Excel allows you to read this threaded comment; however, any edits to it will get removed if the file is opened in a newer version of Excel. Learn more: https://go.microsoft.com/fwlink/?linkid=870924 Comment: https://dikpa4hrtn9.feishu.cn/sync/ACJldzUgTsYHhwbkU4pcPahvnPb</t>
      </text>
    </comment>
  </commentList>
</comments>
</file>

<file path=xl/sharedStrings.xml><?xml version="1.0" encoding="utf-8"?>
<sst xmlns="http://schemas.openxmlformats.org/spreadsheetml/2006/main" count="15" uniqueCount="15">
  <si>
    <t xml:space="preserve">  </t>
  </si>
  <si>
    <t/>
    <r>
      <rPr>
        <strike/>
        <sz val="9.75"/>
        <color rgb="FF000000"/>
        <rFont val="Calibri"/>
        <family val="2"/>
      </rPr>
      <t>火箭筒动画；针对</t>
    </r>
    <r>
      <rPr>
        <b/>
        <strike/>
        <sz val="9.75"/>
        <color rgb="FF000000"/>
        <rFont val="Calibri"/>
        <family val="2"/>
      </rPr>
      <t>主手在抢柄</t>
    </r>
    <r>
      <rPr>
        <strike/>
        <sz val="9.75"/>
        <color rgb="FF000000"/>
        <rFont val="Calibri"/>
        <family val="2"/>
      </rPr>
      <t>、</t>
    </r>
    <r>
      <rPr>
        <b/>
        <strike/>
        <sz val="9.75"/>
        <color rgb="FF000000"/>
        <rFont val="Calibri"/>
        <family val="2"/>
      </rPr>
      <t>副手在枪身或握把</t>
    </r>
    <r>
      <rPr>
        <strike/>
        <sz val="9.75"/>
        <color rgb="FF000000"/>
        <rFont val="Calibri"/>
        <family val="2"/>
      </rPr>
      <t>、</t>
    </r>
    <r>
      <rPr>
        <b/>
        <strike/>
        <sz val="9.75"/>
        <color rgb="FF000000"/>
        <rFont val="Calibri"/>
        <family val="2"/>
      </rPr>
      <t>肩扛射击</t>
    </r>
    <r>
      <rPr>
        <strike/>
        <sz val="9.75"/>
        <color rgb="FF000000"/>
        <rFont val="Calibri"/>
        <family val="2"/>
      </rPr>
      <t>的武器使用的动画</t>
    </r>
  </si>
  <si>
    <t/>
    <r>
      <rPr>
        <strike/>
        <sz val="9.75"/>
        <color rgb="FF000000"/>
        <rFont val="Calibri"/>
        <family val="2"/>
      </rPr>
      <t>长剑动画；针对</t>
    </r>
    <r>
      <rPr>
        <b/>
        <strike/>
        <sz val="9.75"/>
        <color rgb="FF000000"/>
        <rFont val="Calibri"/>
        <family val="2"/>
      </rPr>
      <t>主、副手在剑柄2处</t>
    </r>
    <r>
      <rPr>
        <strike/>
        <sz val="9.75"/>
        <color rgb="FF000000"/>
        <rFont val="Calibri"/>
        <family val="2"/>
      </rPr>
      <t>、</t>
    </r>
    <r>
      <rPr>
        <b/>
        <strike/>
        <sz val="9.75"/>
        <color rgb="FF000000"/>
        <rFont val="Calibri"/>
        <family val="2"/>
      </rPr>
      <t>双手挥舞</t>
    </r>
    <r>
      <rPr>
        <strike/>
        <sz val="9.75"/>
        <color rgb="FF000000"/>
        <rFont val="Calibri"/>
        <family val="2"/>
      </rPr>
      <t>的</t>
    </r>
    <r>
      <rPr>
        <b/>
        <strike/>
        <sz val="9.75"/>
        <color rgb="FF000000"/>
        <rFont val="Calibri"/>
        <family val="2"/>
      </rPr>
      <t>中型利器或钝器</t>
    </r>
    <r>
      <rPr>
        <strike/>
        <sz val="9.75"/>
        <color rgb="FF000000"/>
        <rFont val="Calibri"/>
        <family val="2"/>
      </rPr>
      <t>武器使用的动画</t>
    </r>
  </si>
  <si>
    <t/>
    <r>
      <rPr>
        <sz val="9.75"/>
        <color rgb="FF000000"/>
        <rFont val="Calibri"/>
        <family val="2"/>
      </rPr>
      <t>双拳动画；针对</t>
    </r>
    <r>
      <rPr>
        <b/>
        <sz val="9.75"/>
        <color rgb="FF000000"/>
        <rFont val="Calibri"/>
        <family val="2"/>
      </rPr>
      <t>主、副手都挥拳</t>
    </r>
    <r>
      <rPr>
        <sz val="9.75"/>
        <color rgb="FF000000"/>
        <rFont val="Calibri"/>
        <family val="2"/>
      </rPr>
      <t>的武器使用的动画</t>
    </r>
  </si>
  <si>
    <t/>
    <r>
      <rPr>
        <strike/>
        <sz val="9.75"/>
        <color rgb="FF000000"/>
        <rFont val="Calibri"/>
        <family val="2"/>
      </rPr>
      <t>步枪动画；针对</t>
    </r>
    <r>
      <rPr>
        <b/>
        <strike/>
        <sz val="9.75"/>
        <color rgb="FF000000"/>
        <rFont val="Calibri"/>
        <family val="2"/>
      </rPr>
      <t>主手在抢柄</t>
    </r>
    <r>
      <rPr>
        <strike/>
        <sz val="9.75"/>
        <color rgb="FF000000"/>
        <rFont val="Calibri"/>
        <family val="2"/>
      </rPr>
      <t>、</t>
    </r>
    <r>
      <rPr>
        <b/>
        <strike/>
        <sz val="9.75"/>
        <color rgb="FF000000"/>
        <rFont val="Calibri"/>
        <family val="2"/>
      </rPr>
      <t>副手在护木</t>
    </r>
    <r>
      <rPr>
        <strike/>
        <sz val="9.75"/>
        <color rgb="FF000000"/>
        <rFont val="Calibri"/>
        <family val="2"/>
      </rPr>
      <t>、</t>
    </r>
    <r>
      <rPr>
        <b/>
        <strike/>
        <sz val="9.75"/>
        <color rgb="FF000000"/>
        <rFont val="Calibri"/>
        <family val="2"/>
      </rPr>
      <t>抵肩射击</t>
    </r>
    <r>
      <rPr>
        <strike/>
        <sz val="9.75"/>
        <color rgb="FF000000"/>
        <rFont val="Calibri"/>
        <family val="2"/>
      </rPr>
      <t>的武器使用的动画</t>
    </r>
  </si>
  <si>
    <t/>
    <r>
      <rPr>
        <sz val="9.75"/>
        <color rgb="FF000000"/>
        <rFont val="Calibri"/>
        <family val="2"/>
      </rPr>
      <t>短剑动画；针对</t>
    </r>
    <r>
      <rPr>
        <b/>
        <sz val="9.75"/>
        <color rgb="FF000000"/>
        <rFont val="Calibri"/>
        <family val="2"/>
      </rPr>
      <t>主、副手在剑柄</t>
    </r>
    <r>
      <rPr>
        <sz val="9.75"/>
        <color rgb="FF000000"/>
        <rFont val="Calibri"/>
        <family val="2"/>
      </rPr>
      <t>、</t>
    </r>
    <r>
      <rPr>
        <b/>
        <sz val="9.75"/>
        <color rgb="FF000000"/>
        <rFont val="Calibri"/>
        <family val="2"/>
      </rPr>
      <t>双手各挥舞1把轻型利器或钝器</t>
    </r>
    <r>
      <rPr>
        <sz val="9.75"/>
        <color rgb="FF000000"/>
        <rFont val="Calibri"/>
        <family val="2"/>
      </rPr>
      <t>武器使用的动画</t>
    </r>
  </si>
  <si>
    <t/>
    <r>
      <rPr>
        <sz val="9.75"/>
        <color rgb="FF000000"/>
        <rFont val="Calibri"/>
        <family val="2"/>
      </rPr>
      <t>单拳动画；针对</t>
    </r>
    <r>
      <rPr>
        <b/>
        <sz val="9.75"/>
        <color rgb="FF000000"/>
        <rFont val="Calibri"/>
        <family val="2"/>
      </rPr>
      <t>仅主手挥拳</t>
    </r>
    <r>
      <rPr>
        <sz val="9.75"/>
        <color rgb="FF000000"/>
        <rFont val="Calibri"/>
        <family val="2"/>
      </rPr>
      <t>的武器使用的动画</t>
    </r>
  </si>
  <si>
    <t/>
    <r>
      <rPr>
        <sz val="9.75"/>
        <color rgb="FF000000"/>
        <rFont val="Calibri"/>
        <family val="2"/>
      </rPr>
      <t>双枪动画；针对</t>
    </r>
    <r>
      <rPr>
        <b/>
        <sz val="9.75"/>
        <color rgb="FF000000"/>
        <rFont val="Calibri"/>
        <family val="2"/>
      </rPr>
      <t>主、副手在枪柄处</t>
    </r>
    <r>
      <rPr>
        <sz val="9.75"/>
        <color rgb="FF000000"/>
        <rFont val="Calibri"/>
        <family val="2"/>
      </rPr>
      <t>，</t>
    </r>
    <r>
      <rPr>
        <b/>
        <sz val="9.75"/>
        <color rgb="FF000000"/>
        <rFont val="Calibri"/>
        <family val="2"/>
      </rPr>
      <t>手持2把武器射击</t>
    </r>
    <r>
      <rPr>
        <sz val="9.75"/>
        <color rgb="FF000000"/>
        <rFont val="Calibri"/>
        <family val="2"/>
      </rPr>
      <t>的武器动画</t>
    </r>
  </si>
  <si>
    <t/>
    <r>
      <rPr>
        <strike/>
        <sz val="9.75"/>
        <color rgb="FF000000"/>
        <rFont val="Calibri"/>
        <family val="2"/>
      </rPr>
      <t>短剑动画；针对</t>
    </r>
    <r>
      <rPr>
        <b/>
        <strike/>
        <sz val="9.75"/>
        <color rgb="FF000000"/>
        <rFont val="Calibri"/>
        <family val="2"/>
      </rPr>
      <t>主手在剑柄</t>
    </r>
    <r>
      <rPr>
        <strike/>
        <sz val="9.75"/>
        <color rgb="FF000000"/>
        <rFont val="Calibri"/>
        <family val="2"/>
      </rPr>
      <t>、</t>
    </r>
    <r>
      <rPr>
        <b/>
        <strike/>
        <sz val="9.75"/>
        <color rgb="FF000000"/>
        <rFont val="Calibri"/>
        <family val="2"/>
      </rPr>
      <t>单手挥舞</t>
    </r>
    <r>
      <rPr>
        <strike/>
        <sz val="9.75"/>
        <color rgb="FF000000"/>
        <rFont val="Calibri"/>
        <family val="2"/>
      </rPr>
      <t>的</t>
    </r>
    <r>
      <rPr>
        <b/>
        <strike/>
        <sz val="9.75"/>
        <color rgb="FF000000"/>
        <rFont val="Calibri"/>
        <family val="2"/>
      </rPr>
      <t>轻型利器或钝器</t>
    </r>
    <r>
      <rPr>
        <strike/>
        <sz val="9.75"/>
        <color rgb="FF000000"/>
        <rFont val="Calibri"/>
        <family val="2"/>
      </rPr>
      <t>武器使用的动画</t>
    </r>
  </si>
  <si>
    <t/>
    <r>
      <rPr>
        <strike/>
        <sz val="9.75"/>
        <color rgb="FF000000"/>
        <rFont val="Calibri"/>
        <family val="2"/>
      </rPr>
      <t>巨剑动画；针对</t>
    </r>
    <r>
      <rPr>
        <b/>
        <strike/>
        <sz val="9.75"/>
        <color rgb="FF000000"/>
        <rFont val="Calibri"/>
        <family val="2"/>
      </rPr>
      <t>主、副手在剑柄2处</t>
    </r>
    <r>
      <rPr>
        <strike/>
        <sz val="9.75"/>
        <color rgb="FF000000"/>
        <rFont val="Calibri"/>
        <family val="2"/>
      </rPr>
      <t>、</t>
    </r>
    <r>
      <rPr>
        <b/>
        <strike/>
        <sz val="9.75"/>
        <color rgb="FF000000"/>
        <rFont val="Calibri"/>
        <family val="2"/>
      </rPr>
      <t>双手挥舞</t>
    </r>
    <r>
      <rPr>
        <strike/>
        <sz val="9.75"/>
        <color rgb="FF000000"/>
        <rFont val="Calibri"/>
        <family val="2"/>
      </rPr>
      <t>的</t>
    </r>
    <r>
      <rPr>
        <b/>
        <strike/>
        <sz val="9.75"/>
        <color rgb="FF000000"/>
        <rFont val="Calibri"/>
        <family val="2"/>
      </rPr>
      <t>重型利器或钝器</t>
    </r>
    <r>
      <rPr>
        <strike/>
        <sz val="9.75"/>
        <color rgb="FF000000"/>
        <rFont val="Calibri"/>
        <family val="2"/>
      </rPr>
      <t>武器使用的动画</t>
    </r>
  </si>
  <si>
    <t/>
    <r>
      <rPr>
        <strike/>
        <sz val="9.75"/>
        <color rgb="FF000000"/>
        <rFont val="Calibri"/>
        <family val="2"/>
      </rPr>
      <t>手枪动画；针对</t>
    </r>
    <r>
      <rPr>
        <b/>
        <strike/>
        <sz val="9.75"/>
        <color rgb="FF000000"/>
        <rFont val="Calibri"/>
        <family val="2"/>
      </rPr>
      <t>主、副手在枪柄1处</t>
    </r>
    <r>
      <rPr>
        <strike/>
        <sz val="9.75"/>
        <color rgb="FF000000"/>
        <rFont val="Calibri"/>
        <family val="2"/>
      </rPr>
      <t>，</t>
    </r>
    <r>
      <rPr>
        <b/>
        <strike/>
        <sz val="9.75"/>
        <color rgb="FF000000"/>
        <rFont val="Calibri"/>
        <family val="2"/>
      </rPr>
      <t>手持射击</t>
    </r>
    <r>
      <rPr>
        <strike/>
        <sz val="9.75"/>
        <color rgb="FF000000"/>
        <rFont val="Calibri"/>
        <family val="2"/>
      </rPr>
      <t>的武器动画</t>
    </r>
  </si>
  <si>
    <t/>
    <r>
      <rPr>
        <strike/>
        <sz val="9.75"/>
        <color rgb="FF000000"/>
        <rFont val="Calibri"/>
        <family val="2"/>
      </rPr>
      <t>机关枪动画；针对</t>
    </r>
    <r>
      <rPr>
        <b/>
        <strike/>
        <sz val="9.75"/>
        <color rgb="FF000000"/>
        <rFont val="Calibri"/>
        <family val="2"/>
      </rPr>
      <t>主手在抢柄</t>
    </r>
    <r>
      <rPr>
        <strike/>
        <sz val="9.75"/>
        <color rgb="FF000000"/>
        <rFont val="Calibri"/>
        <family val="2"/>
      </rPr>
      <t>、</t>
    </r>
    <r>
      <rPr>
        <b/>
        <strike/>
        <sz val="9.75"/>
        <color rgb="FF000000"/>
        <rFont val="Calibri"/>
        <family val="2"/>
      </rPr>
      <t>副手在枪身或握把</t>
    </r>
    <r>
      <rPr>
        <strike/>
        <sz val="9.75"/>
        <color rgb="FF000000"/>
        <rFont val="Calibri"/>
        <family val="2"/>
      </rPr>
      <t>、</t>
    </r>
    <r>
      <rPr>
        <b/>
        <strike/>
        <sz val="9.75"/>
        <color rgb="FF000000"/>
        <rFont val="Calibri"/>
        <family val="2"/>
      </rPr>
      <t>手提射击</t>
    </r>
    <r>
      <rPr>
        <strike/>
        <sz val="9.75"/>
        <color rgb="FF000000"/>
        <rFont val="Calibri"/>
        <family val="2"/>
      </rPr>
      <t>的武器使用的动画</t>
    </r>
  </si>
  <si>
    <t/>
    <r>
      <rPr>
        <sz val="9.75"/>
        <color rgb="FF000000"/>
        <rFont val="Calibri"/>
        <family val="2"/>
      </rPr>
      <t>太刀动画；类似于</t>
    </r>
    <r>
      <rPr>
        <b/>
        <sz val="9.75"/>
        <color rgb="FF000000"/>
        <rFont val="Calibri"/>
        <family val="2"/>
      </rPr>
      <t>长剑动画</t>
    </r>
    <r>
      <rPr>
        <sz val="9.75"/>
        <color rgb="FF000000"/>
        <rFont val="Calibri"/>
        <family val="2"/>
      </rPr>
      <t>，只是针对</t>
    </r>
    <r>
      <rPr>
        <b/>
        <sz val="9.75"/>
        <color rgb="FF000000"/>
        <rFont val="Calibri"/>
        <family val="2"/>
      </rPr>
      <t>太刀</t>
    </r>
    <r>
      <rPr>
        <sz val="9.75"/>
        <color rgb="FF000000"/>
        <rFont val="Calibri"/>
        <family val="2"/>
      </rPr>
      <t>优化动作</t>
    </r>
  </si>
  <si>
    <t/>
    <r>
      <rPr>
        <strike/>
        <sz val="9.75"/>
        <color rgb="FF000000"/>
        <rFont val="Calibri"/>
        <family val="2"/>
      </rPr>
      <t>空手动画；</t>
    </r>
    <r>
      <rPr>
        <b/>
        <strike/>
        <sz val="9.75"/>
        <color rgb="FF000000"/>
        <rFont val="Calibri"/>
        <family val="2"/>
      </rPr>
      <t>未装备武器</t>
    </r>
    <r>
      <rPr>
        <strike/>
        <sz val="9.75"/>
        <color rgb="FF000000"/>
        <rFont val="Calibri"/>
        <family val="2"/>
      </rPr>
      <t>时的动画</t>
    </r>
  </si>
  <si>
    <t/>
    <r>
      <rPr>
        <b/>
        <u/>
        <sz val="9.75"/>
        <color theme="10"/>
        <rFont val="Calibri"/>
        <family val="2"/>
      </rPr>
      <t>https://www.figma.com/board/XpRcYn51iokcAnq5kT85nf/%E8%B7%83%E5%85%A5%E8%BF%B7%E5%9F%8E---%E7%99%BD%E6%9D%BF?node-id=785-2206&amp;t=MIq0fZbAOAJhjy8i-4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</si>
</sst>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"/>
    <numFmt numFmtId="165" formatCode="0.000"/>
    <numFmt numFmtId="166" formatCode="@"/>
  </numFmts>
  <fonts count="11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trike val="true"/>
      <sz val="9.75"/>
      <color rgb="FF000000"/>
      <name val="Calibri"/>
      <family val="2"/>
      <scheme val="minor"/>
    </font>
    <font>
      <b val="true"/>
      <strike val="true"/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b val="true"/>
      <sz val="9.75"/>
      <color rgb="FF1F2329"/>
      <name val="Calibri"/>
      <family val="2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F5D6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1F2329"/>
        <bgColor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3" numFmtId="0" xfId="0">
      <alignment vertical="center"/>
    </xf>
    <xf applyAlignment="true" applyBorder="false" applyFill="false" applyFont="true" applyNumberFormat="false" applyProtection="false" borderId="5" fillId="0" fontId="4" numFmtId="0" xfId="0">
      <alignment vertical="center"/>
    </xf>
    <xf applyAlignment="true" applyBorder="false" applyFill="false" applyFont="true" applyNumberFormat="false" applyProtection="false" borderId="6" fillId="0" fontId="5" numFmtId="0" xfId="0">
      <alignment vertical="center"/>
    </xf>
    <xf applyAlignment="false" applyBorder="false" applyFill="true" applyFont="false" applyNumberFormat="false" applyProtection="false" borderId="7" fillId="2" fontId="0" numFmtId="0" xfId="0">
      <alignment/>
    </xf>
    <xf applyAlignment="true" applyBorder="false" applyFill="false" applyFont="true" applyNumberFormat="false" applyProtection="false" borderId="8" fillId="0" fontId="2" numFmtId="0" xfId="0">
      <alignment vertical="center" wrapText="true"/>
    </xf>
    <xf applyAlignment="true" applyBorder="false" applyFill="false" applyFont="true" applyNumberFormat="false" applyProtection="false" borderId="9" fillId="0" fontId="3" numFmtId="0" xfId="0">
      <alignment vertical="center" wrapText="true"/>
    </xf>
    <xf applyAlignment="true" applyBorder="false" applyFill="false" applyFont="true" applyNumberFormat="false" applyProtection="false" borderId="10" fillId="0" fontId="5" numFmtId="0" xfId="0">
      <alignment vertical="center" wrapText="true"/>
    </xf>
    <xf applyAlignment="true" applyBorder="false" applyFill="false" applyFont="true" applyNumberFormat="false" applyProtection="false" borderId="11" fillId="0" fontId="4" numFmtId="0" xfId="0">
      <alignment vertical="center" wrapText="true"/>
    </xf>
    <xf applyAlignment="true" applyBorder="false" applyFill="false" applyFont="true" applyNumberFormat="false" applyProtection="false" borderId="12" fillId="0" fontId="1" numFmtId="0" xfId="0">
      <alignment horizontal="center" vertical="center" wrapText="true"/>
    </xf>
    <xf applyAlignment="true" applyBorder="false" applyFill="false" applyFont="true" applyNumberFormat="false" applyProtection="false" borderId="13" fillId="0" fontId="6" numFmtId="0" xfId="0">
      <alignment horizontal="center" vertical="center" wrapText="true"/>
    </xf>
    <xf applyAlignment="true" applyBorder="false" applyFill="false" applyFont="true" applyNumberFormat="false" applyProtection="false" borderId="14" fillId="0" fontId="7" numFmtId="0" xfId="0">
      <alignment horizontal="center" vertical="center" wrapText="true"/>
    </xf>
    <xf applyAlignment="true" applyBorder="false" applyFill="false" applyFont="true" applyNumberFormat="false" applyProtection="false" borderId="15" fillId="0" fontId="8" numFmtId="0" xfId="0">
      <alignment horizontal="center" vertical="center" wrapText="true"/>
    </xf>
    <xf applyAlignment="true" applyBorder="false" applyFill="true" applyFont="true" applyNumberFormat="false" applyProtection="false" borderId="16" fillId="3" fontId="2" numFmtId="0" xfId="0">
      <alignment horizontal="center" vertical="center"/>
    </xf>
    <xf applyAlignment="true" applyBorder="false" applyFill="false" applyFont="true" applyNumberFormat="true" applyProtection="false" borderId="17" fillId="0" fontId="2" numFmtId="164" xfId="0">
      <alignment horizontal="center" vertical="center"/>
    </xf>
    <xf applyAlignment="true" applyBorder="false" applyFill="false" applyFont="true" applyNumberFormat="false" applyProtection="false" borderId="18" fillId="0" fontId="1" numFmtId="0" xfId="0">
      <alignment vertical="center"/>
    </xf>
    <xf applyAlignment="true" applyBorder="false" applyFill="true" applyFont="true" applyNumberFormat="false" applyProtection="false" borderId="19" fillId="4" fontId="2" numFmtId="0" xfId="0">
      <alignment vertical="center"/>
    </xf>
    <xf applyAlignment="true" applyBorder="false" applyFill="true" applyFont="true" applyNumberFormat="false" applyProtection="false" borderId="20" fillId="5" fontId="1" numFmtId="0" xfId="0">
      <alignment horizontal="center" vertical="center"/>
    </xf>
    <xf applyAlignment="true" applyBorder="false" applyFill="false" applyFont="true" applyNumberFormat="true" applyProtection="false" borderId="21" fillId="0" fontId="1" numFmtId="165" xfId="0">
      <alignment horizontal="center" vertical="center"/>
    </xf>
    <xf applyAlignment="true" applyBorder="false" applyFill="false" applyFont="true" applyNumberFormat="false" applyProtection="false" borderId="22" fillId="0" fontId="2" numFmtId="0" xfId="0">
      <alignment vertical="top" wrapText="true"/>
    </xf>
    <xf applyAlignment="true" applyBorder="false" applyFill="false" applyFont="true" applyNumberFormat="false" applyProtection="false" borderId="23" fillId="0" fontId="2" numFmtId="0" xfId="0">
      <alignment vertical="top"/>
    </xf>
    <xf applyAlignment="true" applyBorder="false" applyFill="true" applyFont="true" applyNumberFormat="false" applyProtection="false" borderId="24" fillId="6" fontId="2" numFmtId="0" xfId="0">
      <alignment vertical="top" wrapText="true"/>
    </xf>
    <xf applyAlignment="true" applyBorder="false" applyFill="false" applyFont="true" applyNumberFormat="false" applyProtection="false" borderId="25" fillId="0" fontId="5" numFmtId="0" xfId="0">
      <alignment horizontal="center" vertical="center"/>
    </xf>
    <xf applyAlignment="true" applyBorder="false" applyFill="false" applyFont="true" applyNumberFormat="false" applyProtection="false" borderId="26" fillId="0" fontId="9" numFmtId="0" xfId="0">
      <alignment horizontal="center" vertical="center"/>
    </xf>
    <xf applyAlignment="true" applyBorder="false" applyFill="false" applyFont="true" applyNumberFormat="false" applyProtection="false" borderId="27" fillId="0" fontId="5" numFmtId="0" xfId="0">
      <alignment vertical="top"/>
    </xf>
    <xf applyAlignment="true" applyBorder="false" applyFill="false" applyFont="true" applyNumberFormat="true" applyProtection="false" borderId="28" fillId="0" fontId="5" numFmtId="166" xfId="0">
      <alignment horizontal="left" vertical="center"/>
    </xf>
    <xf applyAlignment="true" applyBorder="false" applyFill="false" applyFont="true" applyNumberFormat="false" applyProtection="false" borderId="29" fillId="0" fontId="6" numFmtId="0" xfId="0">
      <alignment horizontal="center" vertical="center"/>
    </xf>
    <xf applyAlignment="true" applyBorder="false" applyFill="false" applyFont="true" applyNumberFormat="false" applyProtection="false" borderId="30" fillId="0" fontId="10" numFmtId="0" xfId="0">
      <alignment horizontal="center" vertical="center"/>
    </xf>
  </cellXfs>
  <cellStyles count="1">
    <cellStyle builtinId="0" name="Normal" xfId="0"/>
  </cellStyles>
  <dxfs count="1">
    <dxf>
      <fill>
        <patternFill patternType="solid">
          <fgColor/>
          <bgColor rgb="FFD9F5D6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Relationship Id="rId9" Target="worksheets/sheet5.xml" Type="http://schemas.openxmlformats.org/officeDocument/2006/relationships/worksheet"></Relationship><Relationship Id="rId10" Target="worksheets/sheet6.xml" Type="http://schemas.openxmlformats.org/officeDocument/2006/relationships/worksheet"></Relationship><Relationship Id="rId11" Target="worksheets/sheet7.xml" Type="http://schemas.openxmlformats.org/officeDocument/2006/relationships/worksheet"></Relationship><Relationship Id="rId12" Target="worksheets/sheet8.xml" Type="http://schemas.openxmlformats.org/officeDocument/2006/relationships/worksheet"></Relationship><Relationship Id="rId13" Target="worksheets/sheet9.xml" Type="http://schemas.openxmlformats.org/officeDocument/2006/relationships/worksheet"></Relationship><Relationship Id="rId14" Target="worksheets/sheet10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3</xdr:col>
      <xdr:colOff>38100</xdr:colOff>
      <xdr:row>9</xdr:row>
      <xdr:rowOff>38100</xdr:rowOff>
    </xdr:from>
    <xdr:to>
      <xdr:col>4</xdr:col>
      <xdr:colOff>-38100</xdr:colOff>
      <xdr:row>10</xdr:row>
      <xdr:rowOff>-38100</xdr:rowOff>
    </xdr:to>
    <xdr:pic>
      <xdr:nvPicPr>
        <xdr:cNvPr id="2" name="Picture 2" descr="sboJMd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龚政涛" id="{0162A6DF-A097-4367-BB50-C79020966464}" userId="S::::2d35021d-61a6-4c1a-9d90-efa79db37e8f" providerId="AD"/>
  <person displayName="文档导出器" id="{8E810C8D-79F7-48BB-96B5-005ECE0FBA56}" userId="S::::e39396be-8705-47d0-8a60-d7c76769dd2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1484A1C2-D6F8-4236-B253-7503FB7AFE6F}" ref="O1" dT="2024-11-18T08:25:41" personId="{0162A6DF-A097-4367-BB50-C79020966464}" parentId="{}">
    <text>https://dikpa4hrtn9.feishu.cn/sync/ACJldzUgTsYHhwbkU4pcPahvnPb</text>
  </threadedComment>
  <threadedComment id="{53BB487A-3933-4EF7-8C42-302B45576BAD}" ref="P1" dT="2024-11-18T08:25:32" personId="{0162A6DF-A097-4367-BB50-C79020966464}" parentId="{}">
    <text>https://dikpa4hrtn9.feishu.cn/sync/ACJldzUgTsYHhwbkU4pcPahvnPb</text>
  </threadedComment>
</ThreadedComments>
</file>

<file path=xl/worksheets/_rels/sheet3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/Relationships>
</file>

<file path=xl/worksheets/_rels/sheet7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https://www.figma.com/board/XpRcYn51iokcAnq5kT85nf/&#36291;&#20837;&#36855;&#22478;---&#30333;&#26495;?node-id=785-2206&amp;t=MIq0fZbAOAJhjy8i-4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34"/>
    <col collapsed="false" customWidth="true" hidden="false" max="2" min="2" style="0" width="19"/>
    <col collapsed="false" customWidth="true" hidden="false" max="3" min="3" style="0" width="6"/>
    <col collapsed="false" customWidth="true" hidden="false" max="4" min="4" style="0" width="1"/>
    <col collapsed="false" customWidth="true" hidden="false" max="5" min="5" style="0" width="25"/>
    <col collapsed="false" customWidth="true" hidden="false" max="6" min="6" style="0" width="7"/>
  </cols>
  <sheetData>
    <row r="1">
      <c r="A1" s="1" t="str">
        <v>动作来源</v>
      </c>
      <c r="B1" s="1" t="str">
        <v>供应商</v>
      </c>
      <c r="C1" s="1" t="str">
        <v>使用中</v>
      </c>
      <c r="D1" s="1" t="str" xml:space="preserve">
        <v> </v>
      </c>
      <c r="E1" s="1" t="str">
        <v>动作分类</v>
      </c>
      <c r="F1" s="1" t="str">
        <v>优先级</v>
      </c>
      <c r="G1" s="1" t="str">
        <v>定义</v>
      </c>
    </row>
    <row r="2">
      <c r="A2" s="2" t="str">
        <v>Sword Animation Pro</v>
      </c>
      <c r="B2" t="str">
        <v>MoCap</v>
      </c>
      <c r="C2" s="3">
        <f>COUNTIF('动画列表'!1:200,A2)</f>
      </c>
      <c r="D2" s="4"/>
      <c r="E2" s="4" t="str">
        <v>Pisto</v>
      </c>
      <c r="F2" s="5" t="str">
        <v>P0</v>
      </c>
      <c r="G2" s="4" t="s">
        <v>10</v>
      </c>
    </row>
    <row r="3">
      <c r="A3" t="str">
        <v>Sword Animation Pack</v>
      </c>
      <c r="B3" s="2" t="str">
        <v>9CG</v>
      </c>
      <c r="C3" s="3">
        <f>COUNTIF('动画列表'!1:200,A3)</f>
      </c>
      <c r="E3" t="str">
        <v>DuoPisto</v>
      </c>
      <c r="F3" s="6" t="str">
        <v>P2</v>
      </c>
      <c r="G3" s="2" t="s">
        <v>7</v>
      </c>
    </row>
    <row r="4">
      <c r="A4" s="2" t="str">
        <v>Dynamic Sword Animset</v>
      </c>
      <c r="B4" s="2" t="str">
        <v>Blueisland A</v>
      </c>
      <c r="C4" s="3">
        <f>COUNTIF('动画列表'!1:200,A4)</f>
      </c>
      <c r="D4" s="4"/>
      <c r="E4" s="4" t="str">
        <v>Rifle</v>
      </c>
      <c r="F4" s="5" t="str">
        <v>P0</v>
      </c>
      <c r="G4" s="4" t="s">
        <v>4</v>
      </c>
    </row>
    <row r="5">
      <c r="A5" t="str">
        <v>Frank RPG Katana</v>
      </c>
      <c r="B5" s="2" t="str">
        <v>Wemakethegame</v>
      </c>
      <c r="C5" s="3">
        <f>COUNTIF('动画列表'!1:200,A5)</f>
      </c>
      <c r="D5" s="4"/>
      <c r="E5" s="4" t="str">
        <v>Launcher</v>
      </c>
      <c r="F5" s="5" t="str">
        <v>P1</v>
      </c>
      <c r="G5" s="4" t="s">
        <v>1</v>
      </c>
    </row>
    <row r="6">
      <c r="A6" s="2" t="str">
        <v>Pisto Pro</v>
      </c>
      <c r="B6" t="str">
        <v>MoCap</v>
      </c>
      <c r="C6" s="3">
        <f>COUNTIF('动画列表'!1:200,A6)</f>
      </c>
      <c r="D6" s="4"/>
      <c r="E6" s="4" t="str">
        <v>MachineGun</v>
      </c>
      <c r="F6" s="5" t="str">
        <v>P1</v>
      </c>
      <c r="G6" s="4" t="s">
        <v>11</v>
      </c>
    </row>
    <row r="7">
      <c r="A7" s="2" t="str">
        <v>Rifle Shooter Pro</v>
      </c>
      <c r="B7" t="str">
        <v>MoCap</v>
      </c>
      <c r="C7" s="3">
        <f>COUNTIF('动画列表'!1:200,A7)</f>
      </c>
      <c r="D7" s="4"/>
      <c r="E7" s="4" t="str">
        <v>Sword</v>
      </c>
      <c r="F7" s="5" t="str">
        <v>P0</v>
      </c>
      <c r="G7" s="4" t="s">
        <v>8</v>
      </c>
    </row>
    <row r="8">
      <c r="A8" s="2" t="str">
        <v>Sword and Shield Animation Pack</v>
      </c>
      <c r="B8" t="str">
        <v>9CG</v>
      </c>
      <c r="C8" s="3">
        <f>COUNTIF('动画列表'!1:200,A8)</f>
      </c>
      <c r="E8" t="str">
        <v>DuoSword</v>
      </c>
      <c r="F8" s="6" t="str">
        <v>P2</v>
      </c>
      <c r="G8" s="2" t="s">
        <v>5</v>
      </c>
    </row>
    <row customHeight="true" ht="19" r="9">
      <c r="A9" s="2" t="str">
        <v>Longsword Animset Pro</v>
      </c>
      <c r="B9" s="2" t="str">
        <v>Kubold</v>
      </c>
      <c r="C9" s="3">
        <f>COUNTIF('动画列表'!1:200,A9)</f>
      </c>
      <c r="D9" s="4"/>
      <c r="E9" s="4" t="str">
        <v>LongSword</v>
      </c>
      <c r="F9" s="5" t="str">
        <v>P0</v>
      </c>
      <c r="G9" s="4" t="s">
        <v>2</v>
      </c>
    </row>
    <row r="10">
      <c r="A10" s="2" t="str">
        <v>Lyra</v>
      </c>
      <c r="B10" s="2" t="str">
        <v>Epic</v>
      </c>
      <c r="C10" s="3">
        <f>COUNTIF('动画列表'!1:200,A10)</f>
      </c>
      <c r="E10" t="str">
        <v>Katana</v>
      </c>
      <c r="F10" s="6" t="str">
        <v>P2</v>
      </c>
      <c r="G10" s="2" t="s">
        <v>12</v>
      </c>
    </row>
    <row r="11">
      <c r="A11" s="2" t="str">
        <v>Mixamo</v>
      </c>
      <c r="B11" s="2" t="str">
        <v>Adobe</v>
      </c>
      <c r="C11" s="3">
        <f>COUNTIF('动画列表'!1:200,A11)</f>
      </c>
      <c r="D11" s="4"/>
      <c r="E11" s="4" t="str">
        <v>GreatSword</v>
      </c>
      <c r="F11" s="5" t="str">
        <v>P1</v>
      </c>
      <c r="G11" s="4" t="s">
        <v>9</v>
      </c>
    </row>
    <row r="12">
      <c r="A12" s="2" t="str">
        <v>RollsAndDodges</v>
      </c>
      <c r="B12" s="2" t="str">
        <v>Hammerhead</v>
      </c>
      <c r="C12" s="3">
        <f>COUNTIF('动画列表'!1:200,A12)</f>
      </c>
      <c r="E12" t="str">
        <v>Fist</v>
      </c>
      <c r="F12" s="6" t="str">
        <v>P2</v>
      </c>
      <c r="G12" s="2" t="s">
        <v>6</v>
      </c>
    </row>
    <row r="13">
      <c r="A13" s="2" t="str">
        <v>GreatSword Animset</v>
      </c>
      <c r="B13" s="2" t="str">
        <v>WeaponMaster Animset</v>
      </c>
      <c r="C13" s="3">
        <f>COUNTIF('动画列表'!1:200,A13)</f>
      </c>
      <c r="E13" t="str">
        <v>DuoFist</v>
      </c>
      <c r="F13" s="6" t="str">
        <v>P2</v>
      </c>
      <c r="G13" s="2" t="s">
        <v>3</v>
      </c>
    </row>
    <row r="14">
      <c r="A14" t="str">
        <v>Essential Great Sword Animation Pack</v>
      </c>
      <c r="B14" s="2" t="str">
        <v>space.bar.anim</v>
      </c>
      <c r="C14" s="3">
        <f>COUNTIF('动画列表'!1:200,A14)</f>
      </c>
      <c r="D14" s="4"/>
      <c r="E14" s="4" t="str">
        <v>UnArmed</v>
      </c>
      <c r="F14" s="5" t="str">
        <v>P0</v>
      </c>
      <c r="G14" s="4" t="s">
        <v>13</v>
      </c>
    </row>
    <row r="15">
      <c r="A15" s="2" t="str">
        <v>Essential Sword And Shield Animation Pack</v>
      </c>
      <c r="B15" t="str">
        <v>space.bar.anim</v>
      </c>
      <c r="C15" s="3">
        <f>COUNTIF('动画列表'!1:200,A15)</f>
      </c>
      <c r="D15" s="4"/>
      <c r="E15" s="4"/>
    </row>
  </sheetData>
  <conditionalFormatting sqref="C1:C1048576">
    <cfRule dxfId="0" operator="greaterThan" priority="2" stopIfTrue="true" type="cellIs">
      <formula>0</formula>
    </cfRule>
  </conditionalFormatting>
  <dataValidations count="2">
    <dataValidation allowBlank="true" errorStyle="stop" showErrorMessage="true" sqref="E2:E15" type="list">
      <formula1>"Pisto,DuoPisto,Rifle,Launcher,MachineGun,Sword,DuoSword,LongSword,Katana,GreatSword,Fist,DuoFist,UnArmed"</formula1>
    </dataValidation>
    <dataValidation allowBlank="true" errorStyle="stop" showErrorMessage="true" sqref="F2:F14" type="list">
      <formula1>"P0,P1,P2"</formula1>
    </dataValidation>
  </dataValidation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14"/>
    <col collapsed="false" customWidth="true" hidden="false" max="3" min="3" style="0" width="38"/>
    <col collapsed="false" customWidth="true" hidden="false" max="4" min="4" style="0" width="38"/>
    <col collapsed="false" customWidth="true" hidden="false" max="5" min="5" style="0" width="38"/>
    <col collapsed="false" customWidth="true" hidden="false" max="6" min="6" style="0" width="1"/>
    <col collapsed="false" customWidth="true" hidden="false" max="7" min="7" style="0" width="38"/>
    <col collapsed="false" customWidth="true" hidden="false" max="8" min="8" style="0" width="38"/>
    <col collapsed="false" customWidth="true" hidden="false" max="9" min="9" style="0" width="38"/>
    <col collapsed="false" customWidth="true" hidden="false" max="10" min="10" style="0" width="38"/>
    <col collapsed="false" customWidth="true" hidden="false" max="11" min="11" style="0" width="38"/>
    <col collapsed="false" customWidth="true" hidden="false" max="12" min="12" style="0" width="41"/>
    <col collapsed="false" customWidth="true" hidden="false" max="13" min="13" style="0" width="38"/>
    <col collapsed="false" customWidth="true" hidden="false" max="14" min="14" style="0" width="30"/>
    <col collapsed="false" customWidth="true" hidden="false" max="15" min="15" style="0" width="38"/>
    <col collapsed="false" customWidth="true" hidden="true" max="15" min="15" style="0" width="38"/>
    <col collapsed="false" customWidth="true" hidden="false" max="16" min="16" style="0" width="38"/>
    <col collapsed="false" customWidth="true" hidden="true" max="16" min="16" style="0" width="38"/>
    <col collapsed="false" customWidth="true" hidden="false" max="17" min="17" style="0" width="30"/>
    <col collapsed="false" customWidth="true" hidden="true" max="17" min="17" style="0" width="30"/>
  </cols>
  <sheetData>
    <row r="1">
      <c r="A1" s="1" t="str">
        <v>武器类型</v>
      </c>
      <c r="B1" s="1" t="str">
        <v>动作分类</v>
      </c>
      <c r="C1" s="12"/>
      <c r="D1" s="12"/>
      <c r="E1" s="12"/>
      <c r="F1" s="12" t="str" xml:space="preserve">
        <v> </v>
      </c>
      <c r="G1" s="12" t="str">
        <v>Equip / Reload (if ranged)</v>
      </c>
      <c r="H1" s="12" t="str">
        <v>Idle / Rest</v>
      </c>
      <c r="I1" s="12" t="str">
        <v>Walk</v>
      </c>
      <c r="J1" s="12" t="str">
        <v>Turn</v>
      </c>
      <c r="K1" s="12" t="str">
        <v>Jog</v>
      </c>
      <c r="L1" s="12" t="str">
        <v>Attack</v>
      </c>
      <c r="M1" s="12" t="str">
        <v>Jump</v>
      </c>
      <c r="N1" s="13" t="str">
        <v>Dash</v>
      </c>
      <c r="O1" s="14" t="str">
        <v>Crouch Walk</v>
      </c>
      <c r="P1" s="14" t="str">
        <v>Crouch / Crouch Idle Swap</v>
      </c>
      <c r="Q1" s="15" t="str">
        <v>Roll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customHeight="true" ht="22" r="2">
      <c r="A2" t="str">
        <v>手枪</v>
      </c>
      <c r="B2" t="str">
        <v>Pisto</v>
      </c>
      <c r="C2" s="8"/>
      <c r="D2" s="8"/>
      <c r="E2" s="8"/>
      <c r="F2" s="8"/>
      <c r="G2" s="8" t="str">
        <v>Pisto Pro</v>
      </c>
      <c r="H2" s="8" t="str">
        <v>Pisto Pro</v>
      </c>
      <c r="I2" s="8" t="str">
        <v>Pisto Pro</v>
      </c>
      <c r="J2" s="8" t="str">
        <v>Pisto Pro</v>
      </c>
      <c r="K2" s="8" t="str">
        <v>Pisto Pro</v>
      </c>
      <c r="L2" s="8" t="str">
        <v>Pisto Pro</v>
      </c>
      <c r="M2" s="8" t="str">
        <v>Pisto Pro</v>
      </c>
      <c r="N2" s="8" t="str">
        <v>RollsAndDodges</v>
      </c>
      <c r="O2" s="9"/>
      <c r="P2" s="9"/>
      <c r="Q2" s="9"/>
    </row>
    <row r="3">
      <c r="A3" t="str">
        <v>手枪</v>
      </c>
      <c r="B3" t="str">
        <v>DuoPisto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 t="str">
        <v>RollsAndDodges</v>
      </c>
      <c r="O3" s="9"/>
      <c r="P3" s="9"/>
      <c r="Q3" s="9"/>
    </row>
    <row customHeight="true" ht="22" r="4">
      <c r="A4" t="str">
        <v>步枪,冲锋枪,霰弹枪</v>
      </c>
      <c r="B4" t="str">
        <v>Rifle</v>
      </c>
      <c r="C4" s="8"/>
      <c r="D4" s="8"/>
      <c r="E4" s="8"/>
      <c r="F4" s="8"/>
      <c r="G4" s="8" t="str">
        <v>Lyra</v>
      </c>
      <c r="H4" s="8" t="str">
        <v>Lyra</v>
      </c>
      <c r="I4" s="8" t="str">
        <v>Lyra</v>
      </c>
      <c r="J4" s="8" t="str">
        <v>Lyra</v>
      </c>
      <c r="K4" s="8" t="str">
        <v>Lyra</v>
      </c>
      <c r="L4" s="8" t="str">
        <v>Lyra</v>
      </c>
      <c r="M4" s="8" t="str">
        <v>Lyra</v>
      </c>
      <c r="N4" s="8" t="str">
        <v>RollsAndDodges</v>
      </c>
      <c r="O4" s="9"/>
      <c r="P4" s="9"/>
      <c r="Q4" s="9"/>
    </row>
    <row r="5">
      <c r="A5" t="str">
        <v>发射器</v>
      </c>
      <c r="B5" t="str">
        <v>Launcher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 t="str">
        <v>RollsAndDodges</v>
      </c>
      <c r="O5" s="9"/>
      <c r="P5" s="9"/>
      <c r="Q5" s="9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A6" t="str">
        <v>机关枪</v>
      </c>
      <c r="B6" t="str">
        <v>MachineGun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 t="str">
        <v>RollsAndDodges</v>
      </c>
      <c r="O6" s="9"/>
      <c r="P6" s="9"/>
      <c r="Q6" s="9"/>
    </row>
    <row r="7">
      <c r="A7" t="str">
        <v>短刀,锤</v>
      </c>
      <c r="B7" t="str">
        <v>Sword</v>
      </c>
      <c r="C7" s="10"/>
      <c r="D7" s="10"/>
      <c r="E7" s="10"/>
      <c r="F7" s="10"/>
      <c r="G7" s="10" t="str">
        <v>Essential Sword And Shield Animation Pack</v>
      </c>
      <c r="H7" s="10" t="str">
        <v>Essential Sword And Shield Animation Pack</v>
      </c>
      <c r="I7" s="10" t="str">
        <v>Essential Sword And Shield Animation Pack</v>
      </c>
      <c r="J7" s="10" t="str">
        <v>Essential Sword And Shield Animation Pack</v>
      </c>
      <c r="K7" s="10" t="str">
        <v>Essential Sword And Shield Animation Pack</v>
      </c>
      <c r="L7" s="10" t="str">
        <v>Essential Sword And Shield Animation Pack</v>
      </c>
      <c r="M7" s="10" t="str">
        <v>Essential Sword And Shield Animation Pack</v>
      </c>
      <c r="N7" s="8" t="str">
        <v>RollsAndDodges</v>
      </c>
      <c r="O7" s="10"/>
      <c r="P7" s="10"/>
      <c r="Q7" s="11"/>
    </row>
    <row customHeight="true" ht="22" r="8">
      <c r="A8" t="str">
        <v>短刀,锤</v>
      </c>
      <c r="B8" t="str">
        <v>DuoSword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 t="str">
        <v>RollsAndDodges</v>
      </c>
      <c r="O8" s="9"/>
      <c r="P8" s="9"/>
      <c r="Q8" s="9"/>
    </row>
    <row r="9">
      <c r="A9" t="str">
        <v>长刀</v>
      </c>
      <c r="B9" t="str">
        <v>LongSword</v>
      </c>
      <c r="C9" s="8"/>
      <c r="D9" s="8"/>
      <c r="E9" s="8"/>
      <c r="F9" s="8"/>
      <c r="G9" s="8" t="str">
        <v>Longsword Animset Pro</v>
      </c>
      <c r="H9" s="8" t="str">
        <v>Longsword Animset Pro</v>
      </c>
      <c r="I9" s="8" t="str">
        <v>Longsword Animset Pro</v>
      </c>
      <c r="J9" s="8" t="str">
        <v>Longsword Animset Pro</v>
      </c>
      <c r="K9" s="8" t="str">
        <v>Longsword Animset Pro</v>
      </c>
      <c r="L9" s="8" t="str">
        <v>Longsword Animset Pro</v>
      </c>
      <c r="M9" s="8" t="str">
        <v>Longsword Animset Pro</v>
      </c>
      <c r="N9" s="8" t="str">
        <v>RollsAndDodges</v>
      </c>
      <c r="O9" s="9"/>
      <c r="P9" s="9"/>
      <c r="Q9" s="9"/>
    </row>
    <row customHeight="true" ht="22" r="10">
      <c r="B10" t="str">
        <v>Katana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 t="str">
        <v>RollsAndDodges</v>
      </c>
      <c r="O10" s="9"/>
      <c r="P10" s="9"/>
      <c r="Q10" s="9"/>
    </row>
    <row r="11">
      <c r="A11" t="str">
        <v>巨锤</v>
      </c>
      <c r="B11" t="str">
        <v>GreatSword</v>
      </c>
      <c r="C11" s="8"/>
      <c r="D11" s="8"/>
      <c r="E11" s="8"/>
      <c r="F11" s="8"/>
      <c r="G11" s="8" t="str">
        <v>Essential Great Sword Animation Pack</v>
      </c>
      <c r="H11" s="8" t="str">
        <v>Essential Great Sword Animation Pack</v>
      </c>
      <c r="I11" s="8" t="str">
        <v>Essential Great Sword Animation Pack</v>
      </c>
      <c r="J11" s="8" t="str">
        <v>Essential Great Sword Animation Pack</v>
      </c>
      <c r="K11" s="8" t="str">
        <v>Essential Great Sword Animation Pack</v>
      </c>
      <c r="L11" s="8" t="str">
        <v>Essential Great Sword Animation Pack</v>
      </c>
      <c r="M11" s="8" t="str">
        <v>Essential Great Sword Animation Pack</v>
      </c>
      <c r="N11" s="8" t="str">
        <v>RollsAndDodges</v>
      </c>
      <c r="O11" s="8"/>
      <c r="P11" s="8"/>
      <c r="Q11" s="9"/>
    </row>
    <row r="12">
      <c r="A12" t="str">
        <v>单拳套</v>
      </c>
      <c r="B12" t="str">
        <v>Fist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 t="str">
        <v>RollsAndDodges</v>
      </c>
      <c r="O12" s="9"/>
      <c r="P12" s="9"/>
      <c r="Q12" s="9"/>
    </row>
    <row r="13">
      <c r="A13" t="str">
        <v>双拳套</v>
      </c>
      <c r="B13" t="str">
        <v>DuoFist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 t="str">
        <v>RollsAndDodges</v>
      </c>
      <c r="O13" s="9"/>
      <c r="P13" s="9"/>
      <c r="Q13" s="9"/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/>
      <c r="P14" s="9"/>
      <c r="Q14" s="9"/>
    </row>
    <row r="15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9"/>
      <c r="P15" s="9"/>
      <c r="Q15" s="9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9"/>
      <c r="P16" s="9"/>
      <c r="Q16" s="9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  <c r="P17" s="9"/>
      <c r="Q17" s="9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9"/>
      <c r="Q18" s="9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  <c r="P19" s="9"/>
      <c r="Q19" s="9"/>
    </row>
    <row r="20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  <c r="P20" s="9"/>
      <c r="Q20" s="9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  <c r="P21" s="9"/>
      <c r="Q21" s="9"/>
    </row>
    <row r="22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9"/>
      <c r="Q22" s="9"/>
    </row>
    <row r="2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9"/>
      <c r="P23" s="9"/>
      <c r="Q23" s="9"/>
    </row>
    <row r="24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9"/>
      <c r="P24" s="9"/>
      <c r="Q24" s="9"/>
    </row>
    <row r="25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9"/>
      <c r="P25" s="9"/>
      <c r="Q25" s="9"/>
    </row>
    <row r="26"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9"/>
      <c r="P26" s="9"/>
      <c r="Q26" s="9"/>
    </row>
    <row r="27"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9"/>
      <c r="P27" s="9"/>
      <c r="Q27" s="9"/>
    </row>
    <row r="28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9"/>
      <c r="P28" s="9"/>
      <c r="Q28" s="9"/>
    </row>
    <row r="29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9"/>
      <c r="P29" s="9"/>
      <c r="Q29" s="9"/>
    </row>
    <row r="30"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9"/>
      <c r="P30" s="9"/>
      <c r="Q30" s="9"/>
    </row>
    <row r="31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9"/>
      <c r="P31" s="9"/>
      <c r="Q31" s="9"/>
    </row>
    <row r="32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  <c r="P32" s="9"/>
      <c r="Q32" s="9"/>
    </row>
    <row r="33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9"/>
      <c r="P33" s="9"/>
      <c r="Q33" s="9"/>
    </row>
    <row r="34"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9"/>
      <c r="P34" s="9"/>
      <c r="Q34" s="9"/>
    </row>
    <row r="35"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9"/>
      <c r="P35" s="9"/>
      <c r="Q35" s="9"/>
    </row>
    <row r="36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9"/>
      <c r="P36" s="9"/>
      <c r="Q36" s="9"/>
    </row>
    <row r="37"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9"/>
      <c r="P37" s="9"/>
      <c r="Q37" s="9"/>
    </row>
    <row r="38"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9"/>
      <c r="P38" s="9"/>
      <c r="Q38" s="9"/>
    </row>
    <row r="39"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9"/>
      <c r="P39" s="9"/>
      <c r="Q39" s="9"/>
    </row>
    <row r="40"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9"/>
      <c r="P40" s="9"/>
      <c r="Q40" s="9"/>
    </row>
    <row r="41"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9"/>
      <c r="P41" s="9"/>
      <c r="Q41" s="9"/>
    </row>
    <row r="42"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9"/>
      <c r="P42" s="9"/>
      <c r="Q42" s="9"/>
    </row>
    <row r="43"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9"/>
      <c r="P43" s="9"/>
      <c r="Q43" s="9"/>
    </row>
    <row r="44"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9"/>
      <c r="P44" s="9"/>
      <c r="Q44" s="9"/>
    </row>
    <row r="45"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9"/>
      <c r="P45" s="9"/>
      <c r="Q45" s="9"/>
    </row>
    <row r="46"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9"/>
      <c r="P46" s="9"/>
      <c r="Q46" s="9"/>
    </row>
    <row r="47"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9"/>
      <c r="P47" s="9"/>
      <c r="Q47" s="9"/>
    </row>
    <row r="48"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9"/>
      <c r="P48" s="9"/>
      <c r="Q48" s="9"/>
    </row>
    <row r="49"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9"/>
      <c r="P49" s="9"/>
      <c r="Q49" s="9"/>
    </row>
    <row r="50"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9"/>
      <c r="P50" s="9"/>
      <c r="Q50" s="9"/>
    </row>
    <row r="51"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9"/>
      <c r="P51" s="9"/>
      <c r="Q51" s="9"/>
    </row>
    <row r="52"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9"/>
      <c r="P52" s="9"/>
      <c r="Q52" s="9"/>
    </row>
    <row r="53"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9"/>
      <c r="P53" s="9"/>
      <c r="Q53" s="9"/>
    </row>
    <row r="54"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9"/>
      <c r="P54" s="9"/>
      <c r="Q54" s="9"/>
    </row>
    <row r="55"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9"/>
      <c r="P55" s="9"/>
      <c r="Q55" s="9"/>
    </row>
    <row r="56"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9"/>
      <c r="P56" s="9"/>
      <c r="Q56" s="9"/>
    </row>
    <row r="57"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9"/>
      <c r="P57" s="9"/>
      <c r="Q57" s="9"/>
    </row>
    <row r="58"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9"/>
      <c r="P58" s="9"/>
      <c r="Q58" s="9"/>
    </row>
    <row r="59"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9"/>
      <c r="P59" s="9"/>
      <c r="Q59" s="9"/>
    </row>
    <row r="60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9"/>
      <c r="P60" s="9"/>
      <c r="Q60" s="9"/>
    </row>
    <row r="61"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9"/>
      <c r="P61" s="9"/>
      <c r="Q61" s="9"/>
    </row>
    <row r="62"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9"/>
      <c r="P62" s="9"/>
      <c r="Q62" s="9"/>
    </row>
    <row r="63"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9"/>
      <c r="P63" s="9"/>
      <c r="Q63" s="9"/>
    </row>
    <row r="64"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9"/>
      <c r="P64" s="9"/>
      <c r="Q64" s="9"/>
    </row>
    <row r="65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9"/>
      <c r="P65" s="9"/>
      <c r="Q65" s="9"/>
    </row>
    <row r="66"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9"/>
      <c r="P66" s="9"/>
      <c r="Q66" s="9"/>
    </row>
    <row r="67"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9"/>
      <c r="P67" s="9"/>
      <c r="Q67" s="9"/>
    </row>
    <row r="68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9"/>
      <c r="P68" s="9"/>
      <c r="Q68" s="9"/>
    </row>
    <row r="69"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9"/>
      <c r="P69" s="9"/>
      <c r="Q69" s="9"/>
    </row>
    <row r="70"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9"/>
      <c r="P70" s="9"/>
      <c r="Q70" s="9"/>
    </row>
    <row r="71"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9"/>
      <c r="P71" s="9"/>
      <c r="Q71" s="9"/>
    </row>
    <row r="72"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9"/>
      <c r="P72" s="9"/>
      <c r="Q72" s="9"/>
    </row>
    <row r="73"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9"/>
      <c r="P73" s="9"/>
      <c r="Q73" s="9"/>
    </row>
    <row r="74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9"/>
      <c r="P74" s="9"/>
      <c r="Q74" s="9"/>
    </row>
    <row r="75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9"/>
      <c r="P75" s="9"/>
      <c r="Q75" s="9"/>
    </row>
    <row r="76"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9"/>
      <c r="P76" s="9"/>
      <c r="Q76" s="9"/>
    </row>
    <row r="77"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9"/>
      <c r="P77" s="9"/>
      <c r="Q77" s="9"/>
    </row>
    <row r="78"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9"/>
      <c r="P78" s="9"/>
      <c r="Q78" s="9"/>
    </row>
    <row r="79"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9"/>
      <c r="P79" s="9"/>
      <c r="Q79" s="9"/>
    </row>
    <row r="80"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9"/>
      <c r="P80" s="9"/>
      <c r="Q80" s="9"/>
    </row>
    <row r="81"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9"/>
      <c r="P81" s="9"/>
      <c r="Q81" s="9"/>
    </row>
    <row r="82"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9"/>
      <c r="P82" s="9"/>
      <c r="Q82" s="9"/>
    </row>
    <row r="83"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9"/>
      <c r="P83" s="9"/>
      <c r="Q83" s="9"/>
    </row>
    <row r="84"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9"/>
      <c r="P84" s="9"/>
      <c r="Q84" s="9"/>
    </row>
    <row r="85"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9"/>
      <c r="P85" s="9"/>
      <c r="Q85" s="9"/>
    </row>
    <row r="86"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9"/>
      <c r="P86" s="9"/>
      <c r="Q86" s="9"/>
    </row>
    <row r="87"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9"/>
      <c r="P87" s="9"/>
      <c r="Q87" s="9"/>
    </row>
    <row r="88"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9"/>
      <c r="P88" s="9"/>
      <c r="Q88" s="9"/>
    </row>
    <row r="89"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9"/>
      <c r="P89" s="9"/>
      <c r="Q89" s="9"/>
    </row>
    <row r="90"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9"/>
      <c r="P90" s="9"/>
      <c r="Q90" s="9"/>
    </row>
    <row r="91"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9"/>
      <c r="P91" s="9"/>
      <c r="Q91" s="9"/>
    </row>
    <row r="92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9"/>
      <c r="P92" s="9"/>
      <c r="Q92" s="9"/>
    </row>
    <row r="93"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9"/>
      <c r="P93" s="9"/>
      <c r="Q93" s="9"/>
    </row>
    <row r="94"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9"/>
      <c r="P94" s="9"/>
      <c r="Q94" s="9"/>
    </row>
    <row r="95"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9"/>
      <c r="P95" s="9"/>
      <c r="Q95" s="9"/>
    </row>
    <row r="96"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9"/>
      <c r="P96" s="9"/>
      <c r="Q96" s="9"/>
    </row>
    <row r="97"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9"/>
      <c r="P97" s="9"/>
      <c r="Q97" s="9"/>
    </row>
    <row r="98"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9"/>
      <c r="P98" s="9"/>
      <c r="Q98" s="9"/>
    </row>
    <row r="99"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9"/>
      <c r="P99" s="9"/>
      <c r="Q99" s="9"/>
    </row>
    <row r="100"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9"/>
      <c r="P100" s="9"/>
      <c r="Q100" s="9"/>
    </row>
    <row r="101"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9"/>
      <c r="P101" s="9"/>
      <c r="Q101" s="9"/>
    </row>
    <row r="102"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9"/>
      <c r="P102" s="9"/>
      <c r="Q102" s="9"/>
    </row>
    <row r="103"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9"/>
      <c r="P103" s="9"/>
      <c r="Q103" s="9"/>
    </row>
    <row r="104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9"/>
      <c r="P104" s="9"/>
      <c r="Q104" s="9"/>
    </row>
    <row r="105"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9"/>
      <c r="P105" s="9"/>
      <c r="Q105" s="9"/>
    </row>
    <row r="106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9"/>
      <c r="P106" s="9"/>
      <c r="Q106" s="9"/>
    </row>
    <row r="107"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9"/>
      <c r="P107" s="9"/>
      <c r="Q107" s="9"/>
    </row>
    <row r="108"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9"/>
      <c r="P108" s="9"/>
      <c r="Q108" s="9"/>
    </row>
    <row r="109"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9"/>
      <c r="P109" s="9"/>
      <c r="Q109" s="9"/>
    </row>
    <row r="110"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9"/>
      <c r="P110" s="9"/>
      <c r="Q110" s="9"/>
    </row>
    <row r="111"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9"/>
      <c r="P111" s="9"/>
      <c r="Q111" s="9"/>
    </row>
    <row r="112"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9"/>
      <c r="P112" s="9"/>
      <c r="Q112" s="9"/>
    </row>
    <row r="113"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9"/>
      <c r="P113" s="9"/>
      <c r="Q113" s="9"/>
    </row>
    <row r="114"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9"/>
      <c r="P114" s="9"/>
      <c r="Q114" s="9"/>
    </row>
    <row r="115"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9"/>
      <c r="P115" s="9"/>
      <c r="Q115" s="9"/>
    </row>
    <row r="116"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9"/>
      <c r="P116" s="9"/>
      <c r="Q116" s="9"/>
    </row>
    <row r="117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9"/>
      <c r="P117" s="9"/>
      <c r="Q117" s="9"/>
    </row>
    <row r="118"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9"/>
      <c r="P118" s="9"/>
      <c r="Q118" s="9"/>
    </row>
    <row r="119"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9"/>
      <c r="P119" s="9"/>
      <c r="Q119" s="9"/>
    </row>
    <row r="120"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9"/>
      <c r="P120" s="9"/>
      <c r="Q120" s="9"/>
    </row>
    <row r="121"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9"/>
      <c r="P121" s="9"/>
      <c r="Q121" s="9"/>
    </row>
    <row r="122"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9"/>
      <c r="P122" s="9"/>
      <c r="Q122" s="9"/>
    </row>
    <row r="123"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9"/>
      <c r="P123" s="9"/>
      <c r="Q123" s="9"/>
    </row>
    <row r="124"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9"/>
      <c r="P124" s="9"/>
      <c r="Q124" s="9"/>
    </row>
    <row r="125"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9"/>
      <c r="P125" s="9"/>
      <c r="Q125" s="9"/>
    </row>
    <row r="126"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9"/>
      <c r="P126" s="9"/>
      <c r="Q126" s="9"/>
    </row>
    <row r="127"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9"/>
      <c r="P127" s="9"/>
      <c r="Q127" s="9"/>
    </row>
    <row r="128"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9"/>
      <c r="P128" s="9"/>
      <c r="Q128" s="9"/>
    </row>
    <row r="129"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9"/>
      <c r="P129" s="9"/>
      <c r="Q129" s="9"/>
    </row>
    <row r="130"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9"/>
      <c r="P130" s="9"/>
      <c r="Q130" s="9"/>
    </row>
    <row r="131"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9"/>
      <c r="P131" s="9"/>
      <c r="Q131" s="9"/>
    </row>
    <row r="132"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9"/>
      <c r="P132" s="9"/>
      <c r="Q132" s="9"/>
    </row>
    <row r="133"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9"/>
      <c r="P133" s="9"/>
      <c r="Q133" s="9"/>
    </row>
    <row r="134"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9"/>
      <c r="P134" s="9"/>
      <c r="Q134" s="9"/>
    </row>
    <row r="135"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9"/>
      <c r="P135" s="9"/>
      <c r="Q135" s="9"/>
    </row>
    <row r="136"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9"/>
      <c r="P136" s="9"/>
      <c r="Q136" s="9"/>
    </row>
    <row r="137"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9"/>
      <c r="P137" s="9"/>
      <c r="Q137" s="9"/>
    </row>
    <row r="138"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9"/>
      <c r="P138" s="9"/>
      <c r="Q138" s="9"/>
    </row>
    <row r="139"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9"/>
      <c r="P139" s="9"/>
      <c r="Q139" s="9"/>
    </row>
    <row r="140"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9"/>
      <c r="P140" s="9"/>
      <c r="Q140" s="9"/>
    </row>
    <row r="141"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9"/>
      <c r="P141" s="9"/>
      <c r="Q141" s="9"/>
    </row>
    <row r="142"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9"/>
      <c r="P142" s="9"/>
      <c r="Q142" s="9"/>
    </row>
    <row r="143"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9"/>
      <c r="P143" s="9"/>
      <c r="Q143" s="9"/>
    </row>
    <row r="144"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9"/>
      <c r="P144" s="9"/>
      <c r="Q144" s="9"/>
    </row>
    <row r="145"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9"/>
      <c r="P145" s="9"/>
      <c r="Q145" s="9"/>
    </row>
    <row r="146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9"/>
      <c r="P146" s="9"/>
      <c r="Q146" s="9"/>
    </row>
    <row r="147"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9"/>
      <c r="P147" s="9"/>
      <c r="Q147" s="9"/>
    </row>
    <row r="148"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9"/>
      <c r="P148" s="9"/>
      <c r="Q148" s="9"/>
    </row>
    <row r="149"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9"/>
      <c r="P149" s="9"/>
      <c r="Q149" s="9"/>
    </row>
    <row r="150"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9"/>
      <c r="P150" s="9"/>
      <c r="Q150" s="9"/>
    </row>
    <row r="151"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9"/>
      <c r="P151" s="9"/>
      <c r="Q151" s="9"/>
    </row>
    <row r="152"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9"/>
      <c r="P152" s="9"/>
      <c r="Q152" s="9"/>
    </row>
    <row r="153"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9"/>
      <c r="P153" s="9"/>
      <c r="Q153" s="9"/>
    </row>
    <row r="154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9"/>
      <c r="P154" s="9"/>
      <c r="Q154" s="9"/>
    </row>
    <row r="155"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9"/>
      <c r="P155" s="9"/>
      <c r="Q155" s="9"/>
    </row>
    <row r="156"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9"/>
      <c r="P156" s="9"/>
      <c r="Q156" s="9"/>
    </row>
    <row r="157"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9"/>
      <c r="P157" s="9"/>
      <c r="Q157" s="9"/>
    </row>
    <row r="158"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9"/>
      <c r="P158" s="9"/>
      <c r="Q158" s="9"/>
    </row>
    <row r="159"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9"/>
      <c r="P159" s="9"/>
      <c r="Q159" s="9"/>
    </row>
    <row r="160"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9"/>
      <c r="P160" s="9"/>
      <c r="Q160" s="9"/>
    </row>
    <row r="161"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9"/>
      <c r="P161" s="9"/>
      <c r="Q161" s="9"/>
    </row>
    <row r="162"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9"/>
      <c r="P162" s="9"/>
      <c r="Q162" s="9"/>
    </row>
    <row r="163"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9"/>
      <c r="P163" s="9"/>
      <c r="Q163" s="9"/>
    </row>
    <row r="164"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9"/>
      <c r="P164" s="9"/>
      <c r="Q164" s="9"/>
    </row>
    <row r="165"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9"/>
      <c r="P165" s="9"/>
      <c r="Q165" s="9"/>
    </row>
    <row r="166"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9"/>
      <c r="P166" s="9"/>
      <c r="Q166" s="9"/>
    </row>
    <row r="167"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9"/>
      <c r="P167" s="9"/>
      <c r="Q167" s="9"/>
    </row>
    <row r="168"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9"/>
      <c r="P168" s="9"/>
      <c r="Q168" s="9"/>
    </row>
    <row r="169"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9"/>
      <c r="P169" s="9"/>
      <c r="Q169" s="9"/>
    </row>
    <row r="170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9"/>
      <c r="P170" s="9"/>
      <c r="Q170" s="9"/>
    </row>
    <row r="171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9"/>
      <c r="P171" s="9"/>
      <c r="Q171" s="9"/>
    </row>
    <row r="172"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9"/>
      <c r="P172" s="9"/>
      <c r="Q172" s="9"/>
    </row>
    <row r="173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9"/>
      <c r="P173" s="9"/>
      <c r="Q173" s="9"/>
    </row>
    <row r="174"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9"/>
      <c r="P174" s="9"/>
      <c r="Q174" s="9"/>
    </row>
    <row r="175"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9"/>
      <c r="P175" s="9"/>
      <c r="Q175" s="9"/>
    </row>
    <row r="176"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9"/>
      <c r="P176" s="9"/>
      <c r="Q176" s="9"/>
    </row>
    <row r="177"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9"/>
      <c r="P177" s="9"/>
      <c r="Q177" s="9"/>
    </row>
    <row r="178"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9"/>
      <c r="P178" s="9"/>
      <c r="Q178" s="9"/>
    </row>
    <row r="179"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9"/>
      <c r="P179" s="9"/>
      <c r="Q179" s="9"/>
    </row>
    <row r="180"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9"/>
      <c r="P180" s="9"/>
      <c r="Q180" s="9"/>
    </row>
    <row r="181"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9"/>
      <c r="P181" s="9"/>
      <c r="Q181" s="9"/>
    </row>
    <row r="182"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9"/>
      <c r="P182" s="9"/>
      <c r="Q182" s="9"/>
    </row>
    <row r="183"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9"/>
      <c r="P183" s="9"/>
      <c r="Q183" s="9"/>
    </row>
    <row r="184"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9"/>
      <c r="P184" s="9"/>
      <c r="Q184" s="9"/>
    </row>
    <row r="185"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9"/>
      <c r="P185" s="9"/>
      <c r="Q185" s="9"/>
    </row>
    <row r="186"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9"/>
      <c r="P186" s="9"/>
      <c r="Q186" s="9"/>
    </row>
    <row r="187"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9"/>
      <c r="P187" s="9"/>
      <c r="Q187" s="9"/>
    </row>
    <row r="188"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9"/>
      <c r="P188" s="9"/>
      <c r="Q188" s="9"/>
    </row>
    <row r="189"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9"/>
      <c r="P189" s="9"/>
      <c r="Q189" s="9"/>
    </row>
    <row r="190"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9"/>
      <c r="P190" s="9"/>
      <c r="Q190" s="9"/>
    </row>
    <row r="191"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9"/>
      <c r="P191" s="9"/>
      <c r="Q191" s="9"/>
    </row>
    <row r="192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9"/>
      <c r="P192" s="9"/>
      <c r="Q192" s="9"/>
    </row>
    <row r="193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9"/>
      <c r="P193" s="9"/>
      <c r="Q193" s="9"/>
    </row>
    <row r="194"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9"/>
      <c r="P194" s="9"/>
      <c r="Q194" s="9"/>
    </row>
    <row r="195"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9"/>
      <c r="P195" s="9"/>
      <c r="Q195" s="9"/>
    </row>
    <row r="196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9"/>
      <c r="P196" s="9"/>
      <c r="Q196" s="9"/>
    </row>
    <row r="197"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9"/>
      <c r="P197" s="9"/>
      <c r="Q197" s="9"/>
    </row>
    <row r="198"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9"/>
      <c r="P198" s="9"/>
      <c r="Q198" s="9"/>
    </row>
    <row r="199"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9"/>
      <c r="P199" s="9"/>
      <c r="Q199" s="9"/>
    </row>
    <row r="200"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9"/>
      <c r="P200" s="9"/>
      <c r="Q200" s="9"/>
    </row>
    <row r="201"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9"/>
      <c r="P201" s="9"/>
      <c r="Q201" s="9"/>
    </row>
  </sheetData>
  <dataValidations count="1">
    <dataValidation allowBlank="true" errorStyle="stop" showErrorMessage="true" sqref="A2:A201" type="list">
      <formula1>"手枪,步枪,冲锋枪,霰弹枪,发射器,机关枪,短刀,长刀,锤,巨锤,单拳套,双拳套"</formula1>
    </dataValidation>
  </dataValidations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true" errorStyle="stop" showErrorMessage="true" xr:uid="{93815C8D-0281-480D-A8C3-1FA12816DB59}">
          <x14:formula1>
            <xm:f>'动画分类'!$A$2:$A$30</xm:f>
          </x14:formula1>
          <xm:sqref>H2:H201 K2:K201 L2:L201 P2:P201 M2:M201 N2:N201 G2:G201 J2:J201 O2:O201 I2:I201 Q2:Q201</xm:sqref>
        </x14:dataValidation>
        <x14:dataValidation type="list" allowBlank="true" errorStyle="stop" showErrorMessage="true" xr:uid="{9599A2BE-59F4-479A-A9C6-D422FC6C3C7F}">
          <x14:formula1>
            <xm:f>'动画分类'!$E$2:$E$30</xm:f>
          </x14:formula1>
          <xm:sqref>B2:B201</xm:sqref>
        </x14:dataValidation>
      </x14:dataValidations>
    </ext>
  </extLst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6"/>
    <col collapsed="false" customWidth="true" hidden="false" max="3" min="3" style="0" width="8"/>
    <col collapsed="false" customWidth="true" hidden="false" max="4" min="4" style="0" width="8"/>
    <col collapsed="false" customWidth="true" hidden="false" max="5" min="5" style="0" width="8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8"/>
    <col collapsed="false" customWidth="true" hidden="false" max="10" min="10" style="0" width="8"/>
    <col collapsed="false" customWidth="true" hidden="false" max="11" min="11" style="0" width="8"/>
    <col collapsed="false" customWidth="true" hidden="false" max="12" min="12" style="0" width="8"/>
  </cols>
  <sheetData>
    <row r="1">
      <c r="A1" s="1" t="str">
        <v>动作分类</v>
      </c>
      <c r="B1" s="1" t="str">
        <v>动画名称</v>
      </c>
      <c r="C1" s="1" t="str">
        <v>前摇截止</v>
      </c>
      <c r="D1" s="1" t="str">
        <v>间隔截止</v>
      </c>
      <c r="E1" s="1" t="str">
        <v>后摇截止</v>
      </c>
      <c r="F1" s="1" t="str">
        <v>前摇</v>
      </c>
      <c r="G1" s="1" t="str">
        <v>间隔</v>
      </c>
      <c r="H1" s="1" t="str">
        <v>后摇</v>
      </c>
      <c r="I1" s="20" t="str">
        <v>缩放目标</v>
      </c>
      <c r="J1" s="21" t="str">
        <v>缩放前摇</v>
      </c>
      <c r="K1" s="21" t="str">
        <v>缩放间隔</v>
      </c>
      <c r="L1" s="21" t="str">
        <v>缩放后摇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customHeight="true" ht="19" r="2">
      <c r="A2" t="str">
        <v>LongSword</v>
      </c>
      <c r="B2" s="18" t="str">
        <v>Average</v>
      </c>
      <c r="C2" s="3"/>
      <c r="D2" s="3"/>
      <c r="E2" s="3"/>
      <c r="F2" s="3"/>
      <c r="G2" s="3"/>
      <c r="H2" s="3"/>
      <c r="I2" s="16">
        <v>0.8</v>
      </c>
      <c r="J2" s="17">
        <f>AVERAGE(J3:J6)</f>
      </c>
      <c r="K2" s="17">
        <f>AVERAGE(K3:K6)</f>
      </c>
      <c r="L2" s="17">
        <f>AVERAGE(L3:L6)</f>
      </c>
    </row>
    <row customHeight="true" ht="19" r="3">
      <c r="A3" t="str">
        <v>LongSword</v>
      </c>
      <c r="B3" s="2" t="str">
        <v>Longs_Attack_L2</v>
      </c>
      <c r="C3" s="3">
        <v>0.44</v>
      </c>
      <c r="D3" s="3">
        <v>0.7</v>
      </c>
      <c r="E3" s="3">
        <v>1.06</v>
      </c>
      <c r="F3" s="3">
        <f>C3</f>
      </c>
      <c r="G3" s="3">
        <f>D3-F3</f>
      </c>
      <c r="H3" s="3">
        <f>E3-D3</f>
      </c>
      <c r="I3" s="16">
        <f>I2</f>
      </c>
      <c r="J3" s="17">
        <f>F3*(I3/E3)</f>
      </c>
      <c r="K3" s="17">
        <f>G3*I3/E3</f>
      </c>
      <c r="L3" s="17">
        <f>H3*I3/E3</f>
      </c>
    </row>
    <row customHeight="true" ht="19" r="4">
      <c r="A4" t="str">
        <v>LongSword</v>
      </c>
      <c r="B4" s="2" t="str">
        <v>Longs_Attack_RD3</v>
      </c>
      <c r="C4" s="3">
        <v>0.47</v>
      </c>
      <c r="D4" s="3">
        <v>0.62</v>
      </c>
      <c r="E4" s="3">
        <v>1.12</v>
      </c>
      <c r="F4" s="3">
        <f>C4</f>
      </c>
      <c r="G4" s="3">
        <f>D4-F4</f>
      </c>
      <c r="H4" s="3">
        <f>E4-D4</f>
      </c>
      <c r="I4" s="16">
        <f>I3</f>
      </c>
      <c r="J4" s="17">
        <f>F4*(I4/E4)</f>
      </c>
      <c r="K4" s="17">
        <f>G4*I4/E4</f>
      </c>
      <c r="L4" s="17">
        <f>H4*I4/E4</f>
      </c>
    </row>
    <row customHeight="true" ht="19" r="5">
      <c r="A5" t="str">
        <v>LongSword</v>
      </c>
      <c r="B5" s="2" t="str">
        <v>Longs_Attack_LD1</v>
      </c>
      <c r="C5" s="3">
        <v>0.53</v>
      </c>
      <c r="D5" s="3">
        <v>0.91</v>
      </c>
      <c r="E5" s="3">
        <v>1.2</v>
      </c>
      <c r="F5" s="3">
        <f>C5</f>
      </c>
      <c r="G5" s="3">
        <f>D5-F5</f>
      </c>
      <c r="H5" s="3">
        <f>E5-D5</f>
      </c>
      <c r="I5" s="16">
        <f>I4</f>
      </c>
      <c r="J5" s="17">
        <f>F5*(I5/E5)</f>
      </c>
      <c r="K5" s="17">
        <f>G5*I5/E5</f>
      </c>
      <c r="L5" s="17">
        <f>H5*I5/E5</f>
      </c>
    </row>
    <row customHeight="true" ht="19" r="6">
      <c r="A6" t="str">
        <v>LongSword</v>
      </c>
      <c r="B6" s="2" t="str">
        <v>Longs_Attack_RD2</v>
      </c>
      <c r="C6" s="3">
        <v>0.79</v>
      </c>
      <c r="D6" s="3">
        <v>1.05</v>
      </c>
      <c r="E6" s="3">
        <v>1.41</v>
      </c>
      <c r="F6" s="3">
        <f>C6</f>
      </c>
      <c r="G6" s="3">
        <f>D6-F6</f>
      </c>
      <c r="H6" s="3">
        <f>E6-D6</f>
      </c>
      <c r="I6" s="16">
        <f>I5</f>
      </c>
      <c r="J6" s="17">
        <f>F6*(I6/E6)</f>
      </c>
      <c r="K6" s="17">
        <f>G6*I6/E6</f>
      </c>
      <c r="L6" s="17">
        <f>H6*I6/E6</f>
      </c>
    </row>
    <row customHeight="true" ht="19" r="7">
      <c r="A7" t="str">
        <v>GreatSword</v>
      </c>
      <c r="B7" s="18" t="str">
        <v>Average</v>
      </c>
      <c r="C7" s="3"/>
      <c r="D7" s="3"/>
      <c r="E7" s="3"/>
      <c r="F7" s="3"/>
      <c r="G7" s="3"/>
      <c r="H7" s="3"/>
      <c r="I7" s="16">
        <v>1.1</v>
      </c>
      <c r="J7" s="17">
        <f>AVERAGE(J8:J9)</f>
      </c>
      <c r="K7" s="17">
        <f>AVERAGE(K8:K9)</f>
      </c>
      <c r="L7" s="17">
        <f>AVERAGE(L8:L9)</f>
      </c>
    </row>
    <row r="8">
      <c r="A8" t="str">
        <v>GreatSword</v>
      </c>
      <c r="B8" s="2" t="str">
        <v>Greats_Attack_01</v>
      </c>
      <c r="C8" s="3">
        <v>0.59</v>
      </c>
      <c r="D8" s="3">
        <v>0.71</v>
      </c>
      <c r="E8" s="3">
        <v>1.21</v>
      </c>
      <c r="F8" s="3">
        <f>C8</f>
      </c>
      <c r="G8" s="3">
        <f>D8-F8</f>
      </c>
      <c r="H8" s="3">
        <f>E8-D8</f>
      </c>
      <c r="I8" s="16">
        <f>I7</f>
      </c>
      <c r="J8" s="17">
        <f>F8*(I8/E8)</f>
      </c>
      <c r="K8" s="17">
        <f>G8*I8/E8</f>
      </c>
      <c r="L8" s="17">
        <f>H8*I8/E8</f>
      </c>
    </row>
    <row customHeight="true" ht="19" r="9">
      <c r="A9" t="str">
        <v>GreatSword</v>
      </c>
      <c r="B9" s="2" t="str">
        <v>Greats_Attack_02</v>
      </c>
      <c r="C9" s="3">
        <v>0.45</v>
      </c>
      <c r="D9" s="3">
        <v>0.53</v>
      </c>
      <c r="E9" s="3">
        <v>0.97</v>
      </c>
      <c r="F9" s="3">
        <f>C9</f>
      </c>
      <c r="G9" s="3">
        <f>D9-F9</f>
      </c>
      <c r="H9" s="3">
        <f>E9-D9</f>
      </c>
      <c r="I9" s="16">
        <f>I8</f>
      </c>
      <c r="J9" s="17">
        <f>F9*(I9/E9)</f>
      </c>
      <c r="K9" s="17">
        <f>G9*I9/E9</f>
      </c>
      <c r="L9" s="17">
        <f>H9*I9/E9</f>
      </c>
    </row>
    <row r="10">
      <c r="A10" t="str">
        <v>Sword</v>
      </c>
      <c r="B10" s="18" t="str">
        <v>Average</v>
      </c>
      <c r="C10" s="3"/>
      <c r="D10" s="3"/>
      <c r="E10" s="3"/>
      <c r="F10" s="3"/>
      <c r="G10" s="3"/>
      <c r="H10" s="3"/>
      <c r="I10" s="16">
        <v>0.6</v>
      </c>
      <c r="J10" s="17">
        <f>AVERAGE(J11:J12)</f>
      </c>
      <c r="K10" s="17">
        <f>AVERAGE(K11:K12)</f>
      </c>
      <c r="L10" s="17">
        <f>AVERAGE(L11:L12)</f>
      </c>
    </row>
    <row customHeight="true" ht="19" r="11">
      <c r="A11" t="str">
        <v>Sword</v>
      </c>
      <c r="B11" s="2" t="str">
        <v>SwordV2_Attack_02</v>
      </c>
      <c r="C11" s="3">
        <v>0.34</v>
      </c>
      <c r="D11" s="3">
        <v>0.39</v>
      </c>
      <c r="E11" s="3">
        <v>0.93</v>
      </c>
      <c r="F11" s="3">
        <f>C11</f>
      </c>
      <c r="G11" s="3">
        <f>D11-F11</f>
      </c>
      <c r="H11" s="3">
        <f>E11-D11</f>
      </c>
      <c r="I11" s="16">
        <f>I10</f>
      </c>
      <c r="J11" s="17">
        <f>F11*(I11/E11)</f>
      </c>
      <c r="K11" s="17">
        <f>G11*I11/E11</f>
      </c>
      <c r="L11" s="17">
        <f>H11*I11/E11</f>
      </c>
    </row>
    <row customHeight="true" ht="19" r="12">
      <c r="A12" t="str">
        <v>Sword</v>
      </c>
      <c r="B12" s="2" t="str">
        <v>Sword1H_Attack_2</v>
      </c>
      <c r="C12" s="3">
        <v>0.25</v>
      </c>
      <c r="D12" s="3">
        <v>0.31</v>
      </c>
      <c r="E12" s="3">
        <v>0.53</v>
      </c>
      <c r="F12" s="3">
        <f>C12</f>
      </c>
      <c r="G12" s="3">
        <f>D12-F12</f>
      </c>
      <c r="H12" s="3">
        <f>E12-D12</f>
      </c>
      <c r="I12" s="16">
        <f>I11</f>
      </c>
      <c r="J12" s="17">
        <f>F12*(I12/E12)</f>
      </c>
      <c r="K12" s="17">
        <f>G12*I12/E12</f>
      </c>
      <c r="L12" s="17">
        <f>H12*I12/E12</f>
      </c>
    </row>
    <row r="13">
      <c r="A13" t="str">
        <v>Pisto</v>
      </c>
      <c r="C13" s="3"/>
      <c r="D13" s="3"/>
      <c r="E13" s="3"/>
      <c r="F13" s="3"/>
      <c r="G13" s="3"/>
      <c r="H13" s="3"/>
      <c r="I13" s="16"/>
      <c r="J13" s="17"/>
      <c r="K13" s="17"/>
      <c r="L13" s="17"/>
    </row>
    <row r="14">
      <c r="A14" t="str">
        <v>DuoPisto</v>
      </c>
      <c r="C14" s="3"/>
      <c r="D14" s="3"/>
      <c r="E14" s="3"/>
      <c r="F14" s="3"/>
      <c r="G14" s="3"/>
      <c r="H14" s="3"/>
      <c r="I14" s="16"/>
      <c r="J14" s="17"/>
      <c r="K14" s="17"/>
      <c r="L14" s="17"/>
    </row>
    <row r="15">
      <c r="A15" t="str">
        <v>Rifle</v>
      </c>
      <c r="C15" s="3"/>
      <c r="D15" s="3"/>
      <c r="E15" s="3"/>
      <c r="F15" s="3"/>
      <c r="G15" s="3"/>
      <c r="H15" s="3"/>
      <c r="I15" s="16"/>
      <c r="J15" s="17"/>
      <c r="K15" s="17"/>
      <c r="L15" s="17"/>
    </row>
    <row r="16">
      <c r="A16" t="str">
        <v>Launcher</v>
      </c>
      <c r="C16" s="3"/>
      <c r="D16" s="3"/>
      <c r="E16" s="3"/>
      <c r="F16" s="3"/>
      <c r="G16" s="3"/>
      <c r="H16" s="3"/>
      <c r="I16" s="16"/>
      <c r="J16" s="17"/>
      <c r="K16" s="17"/>
      <c r="L16" s="17"/>
    </row>
    <row r="17">
      <c r="A17" t="str">
        <v>MachineGun</v>
      </c>
      <c r="C17" s="3"/>
      <c r="D17" s="3"/>
      <c r="E17" s="3"/>
      <c r="F17" s="3"/>
      <c r="G17" s="3"/>
      <c r="H17" s="3"/>
      <c r="I17" s="16"/>
      <c r="J17" s="17"/>
      <c r="K17" s="17"/>
      <c r="L17" s="17"/>
    </row>
    <row r="18">
      <c r="A18" t="str">
        <v>DuoSword</v>
      </c>
      <c r="C18" s="3"/>
      <c r="D18" s="3"/>
      <c r="E18" s="3"/>
      <c r="F18" s="3"/>
      <c r="G18" s="3"/>
      <c r="H18" s="3"/>
      <c r="I18" s="16"/>
      <c r="J18" s="17"/>
      <c r="K18" s="17"/>
      <c r="L18" s="17"/>
    </row>
    <row r="19">
      <c r="A19" t="str">
        <v>Katana</v>
      </c>
      <c r="C19" s="3"/>
      <c r="D19" s="3"/>
      <c r="E19" s="3"/>
      <c r="F19" s="3"/>
      <c r="G19" s="3"/>
      <c r="H19" s="3"/>
      <c r="I19" s="16"/>
      <c r="J19" s="17"/>
      <c r="K19" s="17"/>
      <c r="L19" s="17"/>
    </row>
    <row r="20">
      <c r="A20" t="str">
        <v>Fist</v>
      </c>
      <c r="C20" s="3"/>
      <c r="D20" s="3"/>
      <c r="E20" s="3"/>
      <c r="F20" s="3"/>
      <c r="G20" s="3"/>
      <c r="H20" s="3"/>
      <c r="I20" s="16"/>
      <c r="J20" s="17"/>
      <c r="K20" s="17"/>
      <c r="L20" s="17"/>
    </row>
    <row r="21">
      <c r="A21" t="str">
        <v>DuoFist</v>
      </c>
      <c r="C21" s="3"/>
      <c r="D21" s="3"/>
      <c r="E21" s="3"/>
      <c r="F21" s="3"/>
      <c r="G21" s="3"/>
      <c r="H21" s="3"/>
      <c r="I21" s="16"/>
      <c r="J21" s="17"/>
      <c r="K21" s="17"/>
      <c r="L21" s="17"/>
    </row>
    <row r="22">
      <c r="C22" s="3"/>
      <c r="D22" s="3"/>
      <c r="E22" s="3"/>
      <c r="F22" s="3"/>
      <c r="G22" s="3"/>
      <c r="H22" s="3"/>
      <c r="I22" s="19"/>
      <c r="J22" s="17"/>
      <c r="K22" s="17"/>
      <c r="L22" s="17"/>
    </row>
    <row r="23">
      <c r="C23" s="3"/>
      <c r="D23" s="3"/>
      <c r="E23" s="3"/>
      <c r="F23" s="3"/>
      <c r="G23" s="3"/>
      <c r="H23" s="3"/>
      <c r="I23" s="19"/>
      <c r="J23" s="17"/>
      <c r="K23" s="17"/>
      <c r="L23" s="17"/>
    </row>
    <row r="24">
      <c r="C24" s="3"/>
      <c r="D24" s="3"/>
      <c r="E24" s="3"/>
      <c r="F24" s="3"/>
      <c r="G24" s="3"/>
      <c r="H24" s="3"/>
      <c r="I24" s="19"/>
      <c r="J24" s="17"/>
      <c r="K24" s="17"/>
      <c r="L24" s="17"/>
    </row>
    <row r="25">
      <c r="C25" s="3"/>
      <c r="D25" s="3"/>
      <c r="E25" s="3"/>
      <c r="F25" s="3"/>
      <c r="G25" s="3"/>
      <c r="H25" s="3"/>
      <c r="I25" s="19"/>
      <c r="J25" s="17"/>
      <c r="K25" s="17"/>
      <c r="L25" s="17"/>
    </row>
    <row r="26">
      <c r="C26" s="3"/>
      <c r="D26" s="3"/>
      <c r="E26" s="3"/>
      <c r="F26" s="3"/>
      <c r="G26" s="3"/>
      <c r="H26" s="3"/>
      <c r="I26" s="19"/>
      <c r="J26" s="17"/>
      <c r="K26" s="17"/>
      <c r="L26" s="17"/>
    </row>
    <row r="27">
      <c r="C27" s="3"/>
      <c r="D27" s="3"/>
      <c r="E27" s="3"/>
      <c r="F27" s="3"/>
      <c r="G27" s="3"/>
      <c r="H27" s="3"/>
      <c r="I27" s="19"/>
      <c r="J27" s="17"/>
      <c r="K27" s="17"/>
      <c r="L27" s="17"/>
    </row>
    <row r="28">
      <c r="C28" s="3"/>
      <c r="D28" s="3"/>
      <c r="E28" s="3"/>
      <c r="F28" s="3"/>
      <c r="G28" s="3"/>
      <c r="H28" s="3"/>
      <c r="I28" s="19"/>
      <c r="J28" s="17"/>
      <c r="K28" s="17"/>
      <c r="L28" s="17"/>
    </row>
    <row r="29">
      <c r="C29" s="3"/>
      <c r="D29" s="3"/>
      <c r="E29" s="3"/>
      <c r="F29" s="3"/>
      <c r="G29" s="3"/>
      <c r="H29" s="3"/>
      <c r="I29" s="19"/>
      <c r="J29" s="17"/>
      <c r="K29" s="17"/>
      <c r="L29" s="17"/>
    </row>
    <row r="30">
      <c r="C30" s="3"/>
      <c r="D30" s="3"/>
      <c r="E30" s="3"/>
      <c r="F30" s="3"/>
      <c r="G30" s="3"/>
      <c r="H30" s="3"/>
      <c r="I30" s="19"/>
      <c r="J30" s="17"/>
      <c r="K30" s="17"/>
      <c r="L30" s="17"/>
    </row>
    <row r="31">
      <c r="C31" s="3"/>
      <c r="D31" s="3"/>
      <c r="E31" s="3"/>
      <c r="F31" s="3"/>
      <c r="G31" s="3"/>
      <c r="H31" s="3"/>
      <c r="I31" s="19"/>
      <c r="J31" s="17"/>
      <c r="K31" s="17"/>
      <c r="L31" s="17"/>
    </row>
    <row r="32">
      <c r="C32" s="3"/>
      <c r="D32" s="3"/>
      <c r="E32" s="3"/>
      <c r="F32" s="3"/>
      <c r="G32" s="3"/>
      <c r="H32" s="3"/>
      <c r="I32" s="19"/>
      <c r="J32" s="17"/>
      <c r="K32" s="17"/>
      <c r="L32" s="17"/>
    </row>
    <row r="33">
      <c r="C33" s="3"/>
      <c r="D33" s="3"/>
      <c r="E33" s="3"/>
      <c r="F33" s="3"/>
      <c r="G33" s="3"/>
      <c r="H33" s="3"/>
      <c r="I33" s="19"/>
      <c r="J33" s="17"/>
      <c r="K33" s="17"/>
      <c r="L33" s="17"/>
    </row>
    <row r="34">
      <c r="C34" s="3"/>
      <c r="D34" s="3"/>
      <c r="E34" s="3"/>
      <c r="F34" s="3"/>
      <c r="G34" s="3"/>
      <c r="H34" s="3"/>
      <c r="I34" s="19"/>
      <c r="J34" s="17"/>
      <c r="K34" s="17"/>
      <c r="L34" s="17"/>
    </row>
    <row r="35">
      <c r="C35" s="3"/>
      <c r="D35" s="3"/>
      <c r="E35" s="3"/>
      <c r="F35" s="3"/>
      <c r="G35" s="3"/>
      <c r="H35" s="3"/>
      <c r="I35" s="19"/>
      <c r="J35" s="17"/>
      <c r="K35" s="17"/>
      <c r="L35" s="17"/>
    </row>
    <row r="36">
      <c r="C36" s="3"/>
      <c r="D36" s="3"/>
      <c r="E36" s="3"/>
      <c r="F36" s="3"/>
      <c r="G36" s="3"/>
      <c r="H36" s="3"/>
      <c r="I36" s="19"/>
      <c r="J36" s="17"/>
      <c r="K36" s="17"/>
      <c r="L36" s="17"/>
    </row>
    <row r="37">
      <c r="C37" s="3"/>
      <c r="D37" s="3"/>
      <c r="E37" s="3"/>
      <c r="F37" s="3"/>
      <c r="G37" s="3"/>
      <c r="H37" s="3"/>
      <c r="I37" s="19"/>
      <c r="J37" s="17"/>
      <c r="K37" s="17"/>
      <c r="L37" s="17"/>
    </row>
    <row r="38">
      <c r="C38" s="3"/>
      <c r="D38" s="3"/>
      <c r="E38" s="3"/>
      <c r="F38" s="3"/>
      <c r="G38" s="3"/>
      <c r="H38" s="3"/>
      <c r="I38" s="19"/>
      <c r="J38" s="17"/>
      <c r="K38" s="17"/>
      <c r="L38" s="17"/>
    </row>
    <row r="39">
      <c r="C39" s="3"/>
      <c r="D39" s="3"/>
      <c r="E39" s="3"/>
      <c r="F39" s="3"/>
      <c r="G39" s="3"/>
      <c r="H39" s="3"/>
      <c r="I39" s="19"/>
      <c r="J39" s="17"/>
      <c r="K39" s="17"/>
      <c r="L39" s="17"/>
    </row>
    <row r="40">
      <c r="C40" s="3"/>
      <c r="D40" s="3"/>
      <c r="E40" s="3"/>
      <c r="F40" s="3"/>
      <c r="G40" s="3"/>
      <c r="H40" s="3"/>
      <c r="I40" s="19"/>
      <c r="J40" s="17"/>
      <c r="K40" s="17"/>
      <c r="L40" s="17"/>
    </row>
    <row r="41">
      <c r="C41" s="3"/>
      <c r="D41" s="3"/>
      <c r="E41" s="3"/>
      <c r="F41" s="3"/>
      <c r="G41" s="3"/>
      <c r="H41" s="3"/>
      <c r="I41" s="19"/>
      <c r="J41" s="17"/>
      <c r="K41" s="17"/>
      <c r="L41" s="17"/>
    </row>
    <row r="42">
      <c r="C42" s="3"/>
      <c r="D42" s="3"/>
      <c r="E42" s="3"/>
      <c r="F42" s="3"/>
      <c r="G42" s="3"/>
      <c r="H42" s="3"/>
      <c r="I42" s="19"/>
      <c r="J42" s="17"/>
      <c r="K42" s="17"/>
      <c r="L42" s="17"/>
    </row>
    <row r="43">
      <c r="C43" s="3"/>
      <c r="D43" s="3"/>
      <c r="E43" s="3"/>
      <c r="F43" s="3"/>
      <c r="G43" s="3"/>
      <c r="H43" s="3"/>
      <c r="I43" s="19"/>
      <c r="J43" s="17"/>
      <c r="K43" s="17"/>
      <c r="L43" s="17"/>
    </row>
    <row r="44">
      <c r="C44" s="3"/>
      <c r="D44" s="3"/>
      <c r="E44" s="3"/>
      <c r="F44" s="3"/>
      <c r="G44" s="3"/>
      <c r="H44" s="3"/>
      <c r="I44" s="19"/>
      <c r="J44" s="17"/>
      <c r="K44" s="17"/>
      <c r="L44" s="17"/>
    </row>
    <row r="45">
      <c r="C45" s="3"/>
      <c r="D45" s="3"/>
      <c r="E45" s="3"/>
      <c r="F45" s="3"/>
      <c r="G45" s="3"/>
      <c r="H45" s="3"/>
      <c r="I45" s="19"/>
      <c r="J45" s="17"/>
      <c r="K45" s="17"/>
      <c r="L45" s="17"/>
    </row>
    <row r="46">
      <c r="C46" s="3"/>
      <c r="D46" s="3"/>
      <c r="E46" s="3"/>
      <c r="F46" s="3"/>
      <c r="G46" s="3"/>
      <c r="H46" s="3"/>
      <c r="I46" s="19"/>
      <c r="J46" s="17"/>
      <c r="K46" s="17"/>
      <c r="L46" s="17"/>
    </row>
    <row r="47">
      <c r="C47" s="3"/>
      <c r="D47" s="3"/>
      <c r="E47" s="3"/>
      <c r="F47" s="3"/>
      <c r="G47" s="3"/>
      <c r="H47" s="3"/>
      <c r="I47" s="19"/>
      <c r="J47" s="17"/>
      <c r="K47" s="17"/>
      <c r="L47" s="17"/>
    </row>
    <row r="48">
      <c r="C48" s="3"/>
      <c r="D48" s="3"/>
      <c r="E48" s="3"/>
      <c r="F48" s="3"/>
      <c r="G48" s="3"/>
      <c r="H48" s="3"/>
      <c r="I48" s="19"/>
      <c r="J48" s="17"/>
      <c r="K48" s="17"/>
      <c r="L48" s="17"/>
    </row>
    <row r="49">
      <c r="C49" s="3"/>
      <c r="D49" s="3"/>
      <c r="E49" s="3"/>
      <c r="F49" s="3"/>
      <c r="G49" s="3"/>
      <c r="H49" s="3"/>
      <c r="I49" s="19"/>
      <c r="J49" s="17"/>
      <c r="K49" s="17"/>
      <c r="L49" s="17"/>
    </row>
    <row r="50">
      <c r="C50" s="3"/>
      <c r="D50" s="3"/>
      <c r="E50" s="3"/>
      <c r="F50" s="3"/>
      <c r="G50" s="3"/>
      <c r="H50" s="3"/>
      <c r="I50" s="19"/>
      <c r="J50" s="17"/>
      <c r="K50" s="17"/>
      <c r="L50" s="17"/>
    </row>
    <row r="51">
      <c r="C51" s="3"/>
      <c r="D51" s="3"/>
      <c r="E51" s="3"/>
      <c r="F51" s="3"/>
      <c r="G51" s="3"/>
      <c r="H51" s="3"/>
      <c r="I51" s="19"/>
      <c r="J51" s="17"/>
      <c r="K51" s="17"/>
      <c r="L51" s="17"/>
    </row>
    <row r="52">
      <c r="C52" s="3"/>
      <c r="D52" s="3"/>
      <c r="E52" s="3"/>
      <c r="F52" s="3"/>
      <c r="G52" s="3"/>
      <c r="H52" s="3"/>
      <c r="I52" s="19"/>
      <c r="J52" s="17"/>
      <c r="K52" s="17"/>
      <c r="L52" s="17"/>
    </row>
    <row r="53">
      <c r="C53" s="3"/>
      <c r="D53" s="3"/>
      <c r="E53" s="3"/>
      <c r="F53" s="3"/>
      <c r="G53" s="3"/>
      <c r="H53" s="3"/>
      <c r="I53" s="19"/>
      <c r="J53" s="17"/>
      <c r="K53" s="17"/>
      <c r="L53" s="17"/>
    </row>
    <row r="54">
      <c r="C54" s="3"/>
      <c r="D54" s="3"/>
      <c r="E54" s="3"/>
      <c r="F54" s="3"/>
      <c r="G54" s="3"/>
      <c r="H54" s="3"/>
      <c r="I54" s="19"/>
      <c r="J54" s="17"/>
      <c r="K54" s="17"/>
      <c r="L54" s="17"/>
    </row>
    <row r="55">
      <c r="C55" s="3"/>
      <c r="D55" s="3"/>
      <c r="E55" s="3"/>
      <c r="F55" s="3"/>
      <c r="G55" s="3"/>
      <c r="H55" s="3"/>
      <c r="I55" s="19"/>
      <c r="J55" s="17"/>
      <c r="K55" s="17"/>
      <c r="L55" s="17"/>
    </row>
    <row r="56">
      <c r="C56" s="3"/>
      <c r="D56" s="3"/>
      <c r="E56" s="3"/>
      <c r="F56" s="3"/>
      <c r="G56" s="3"/>
      <c r="H56" s="3"/>
      <c r="I56" s="19"/>
      <c r="J56" s="17"/>
      <c r="K56" s="17"/>
      <c r="L56" s="17"/>
    </row>
    <row r="57">
      <c r="C57" s="3"/>
      <c r="D57" s="3"/>
      <c r="E57" s="3"/>
      <c r="F57" s="3"/>
      <c r="G57" s="3"/>
      <c r="H57" s="3"/>
      <c r="I57" s="19"/>
      <c r="J57" s="17"/>
      <c r="K57" s="17"/>
      <c r="L57" s="17"/>
    </row>
    <row r="58">
      <c r="C58" s="3"/>
      <c r="D58" s="3"/>
      <c r="E58" s="3"/>
      <c r="F58" s="3"/>
      <c r="G58" s="3"/>
      <c r="H58" s="3"/>
      <c r="I58" s="19"/>
      <c r="J58" s="17"/>
      <c r="K58" s="17"/>
      <c r="L58" s="17"/>
    </row>
    <row r="59">
      <c r="C59" s="3"/>
      <c r="D59" s="3"/>
      <c r="E59" s="3"/>
      <c r="F59" s="3"/>
      <c r="G59" s="3"/>
      <c r="H59" s="3"/>
      <c r="I59" s="19"/>
      <c r="J59" s="17"/>
      <c r="K59" s="17"/>
      <c r="L59" s="17"/>
    </row>
    <row r="60">
      <c r="C60" s="3"/>
      <c r="D60" s="3"/>
      <c r="E60" s="3"/>
      <c r="F60" s="3"/>
      <c r="G60" s="3"/>
      <c r="H60" s="3"/>
      <c r="I60" s="19"/>
      <c r="J60" s="17"/>
      <c r="K60" s="17"/>
      <c r="L60" s="17"/>
    </row>
    <row r="61">
      <c r="C61" s="3"/>
      <c r="D61" s="3"/>
      <c r="E61" s="3"/>
      <c r="F61" s="3"/>
      <c r="G61" s="3"/>
      <c r="H61" s="3"/>
      <c r="I61" s="19"/>
      <c r="J61" s="17"/>
      <c r="K61" s="17"/>
      <c r="L61" s="17"/>
    </row>
    <row r="62">
      <c r="C62" s="3"/>
      <c r="D62" s="3"/>
      <c r="E62" s="3"/>
      <c r="F62" s="3"/>
      <c r="G62" s="3"/>
      <c r="H62" s="3"/>
      <c r="I62" s="19"/>
      <c r="J62" s="17"/>
      <c r="K62" s="17"/>
      <c r="L62" s="17"/>
    </row>
    <row r="63">
      <c r="C63" s="3"/>
      <c r="D63" s="3"/>
      <c r="E63" s="3"/>
      <c r="F63" s="3"/>
      <c r="G63" s="3"/>
      <c r="H63" s="3"/>
      <c r="I63" s="19"/>
      <c r="J63" s="17"/>
      <c r="K63" s="17"/>
      <c r="L63" s="17"/>
    </row>
    <row r="64">
      <c r="C64" s="3"/>
      <c r="D64" s="3"/>
      <c r="E64" s="3"/>
      <c r="F64" s="3"/>
      <c r="G64" s="3"/>
      <c r="H64" s="3"/>
      <c r="I64" s="19"/>
      <c r="J64" s="17"/>
      <c r="K64" s="17"/>
      <c r="L64" s="17"/>
    </row>
    <row r="65">
      <c r="C65" s="3"/>
      <c r="D65" s="3"/>
      <c r="E65" s="3"/>
      <c r="F65" s="3"/>
      <c r="G65" s="3"/>
      <c r="H65" s="3"/>
      <c r="I65" s="19"/>
      <c r="J65" s="17"/>
      <c r="K65" s="17"/>
      <c r="L65" s="17"/>
    </row>
    <row r="66">
      <c r="C66" s="3"/>
      <c r="D66" s="3"/>
      <c r="E66" s="3"/>
      <c r="F66" s="3"/>
      <c r="G66" s="3"/>
      <c r="H66" s="3"/>
      <c r="I66" s="19"/>
      <c r="J66" s="17"/>
      <c r="K66" s="17"/>
      <c r="L66" s="17"/>
    </row>
    <row r="67">
      <c r="C67" s="3"/>
      <c r="D67" s="3"/>
      <c r="E67" s="3"/>
      <c r="F67" s="3"/>
      <c r="G67" s="3"/>
      <c r="H67" s="3"/>
      <c r="I67" s="19"/>
      <c r="J67" s="17"/>
      <c r="K67" s="17"/>
      <c r="L67" s="17"/>
    </row>
    <row r="68">
      <c r="C68" s="3"/>
      <c r="D68" s="3"/>
      <c r="E68" s="3"/>
      <c r="F68" s="3"/>
      <c r="G68" s="3"/>
      <c r="H68" s="3"/>
      <c r="I68" s="19"/>
      <c r="J68" s="17"/>
      <c r="K68" s="17"/>
      <c r="L68" s="17"/>
    </row>
    <row r="69">
      <c r="C69" s="3"/>
      <c r="D69" s="3"/>
      <c r="E69" s="3"/>
      <c r="F69" s="3"/>
      <c r="G69" s="3"/>
      <c r="H69" s="3"/>
      <c r="I69" s="19"/>
      <c r="J69" s="17"/>
      <c r="K69" s="17"/>
      <c r="L69" s="17"/>
    </row>
    <row r="70">
      <c r="C70" s="3"/>
      <c r="D70" s="3"/>
      <c r="E70" s="3"/>
      <c r="F70" s="3"/>
      <c r="G70" s="3"/>
      <c r="H70" s="3"/>
      <c r="I70" s="19"/>
      <c r="J70" s="17"/>
      <c r="K70" s="17"/>
      <c r="L70" s="17"/>
    </row>
    <row r="71">
      <c r="C71" s="3"/>
      <c r="D71" s="3"/>
      <c r="E71" s="3"/>
      <c r="F71" s="3"/>
      <c r="G71" s="3"/>
      <c r="H71" s="3"/>
      <c r="I71" s="19"/>
      <c r="J71" s="17"/>
      <c r="K71" s="17"/>
      <c r="L71" s="17"/>
    </row>
    <row r="72">
      <c r="C72" s="3"/>
      <c r="D72" s="3"/>
      <c r="E72" s="3"/>
      <c r="F72" s="3"/>
      <c r="G72" s="3"/>
      <c r="H72" s="3"/>
      <c r="I72" s="19"/>
      <c r="J72" s="17"/>
      <c r="K72" s="17"/>
      <c r="L72" s="17"/>
    </row>
    <row r="73">
      <c r="C73" s="3"/>
      <c r="D73" s="3"/>
      <c r="E73" s="3"/>
      <c r="F73" s="3"/>
      <c r="G73" s="3"/>
      <c r="H73" s="3"/>
      <c r="I73" s="19"/>
      <c r="J73" s="17"/>
      <c r="K73" s="17"/>
      <c r="L73" s="17"/>
    </row>
    <row r="74">
      <c r="C74" s="3"/>
      <c r="D74" s="3"/>
      <c r="E74" s="3"/>
      <c r="F74" s="3"/>
      <c r="G74" s="3"/>
      <c r="H74" s="3"/>
      <c r="I74" s="19"/>
      <c r="J74" s="17"/>
      <c r="K74" s="17"/>
      <c r="L74" s="17"/>
    </row>
    <row r="75">
      <c r="C75" s="3"/>
      <c r="D75" s="3"/>
      <c r="E75" s="3"/>
      <c r="F75" s="3"/>
      <c r="G75" s="3"/>
      <c r="H75" s="3"/>
      <c r="I75" s="19"/>
      <c r="J75" s="17"/>
      <c r="K75" s="17"/>
      <c r="L75" s="17"/>
    </row>
    <row r="76">
      <c r="C76" s="3"/>
      <c r="D76" s="3"/>
      <c r="E76" s="3"/>
      <c r="F76" s="3"/>
      <c r="G76" s="3"/>
      <c r="H76" s="3"/>
      <c r="I76" s="19"/>
      <c r="J76" s="17"/>
      <c r="K76" s="17"/>
      <c r="L76" s="17"/>
    </row>
    <row r="77">
      <c r="C77" s="3"/>
      <c r="D77" s="3"/>
      <c r="E77" s="3"/>
      <c r="F77" s="3"/>
      <c r="G77" s="3"/>
      <c r="H77" s="3"/>
      <c r="I77" s="19"/>
      <c r="J77" s="17"/>
      <c r="K77" s="17"/>
      <c r="L77" s="17"/>
    </row>
    <row r="78">
      <c r="C78" s="3"/>
      <c r="D78" s="3"/>
      <c r="E78" s="3"/>
      <c r="F78" s="3"/>
      <c r="G78" s="3"/>
      <c r="H78" s="3"/>
      <c r="I78" s="19"/>
      <c r="J78" s="17"/>
      <c r="K78" s="17"/>
      <c r="L78" s="17"/>
    </row>
    <row r="79">
      <c r="C79" s="3"/>
      <c r="D79" s="3"/>
      <c r="E79" s="3"/>
      <c r="F79" s="3"/>
      <c r="G79" s="3"/>
      <c r="H79" s="3"/>
      <c r="I79" s="19"/>
      <c r="J79" s="17"/>
      <c r="K79" s="17"/>
      <c r="L79" s="17"/>
    </row>
    <row r="80">
      <c r="C80" s="3"/>
      <c r="D80" s="3"/>
      <c r="E80" s="3"/>
      <c r="F80" s="3"/>
      <c r="G80" s="3"/>
      <c r="H80" s="3"/>
      <c r="I80" s="19"/>
      <c r="J80" s="17"/>
      <c r="K80" s="17"/>
      <c r="L80" s="17"/>
    </row>
    <row r="81">
      <c r="C81" s="3"/>
      <c r="D81" s="3"/>
      <c r="E81" s="3"/>
      <c r="F81" s="3"/>
      <c r="G81" s="3"/>
      <c r="H81" s="3"/>
      <c r="I81" s="19"/>
      <c r="J81" s="17"/>
      <c r="K81" s="17"/>
      <c r="L81" s="17"/>
    </row>
    <row r="82">
      <c r="C82" s="3"/>
      <c r="D82" s="3"/>
      <c r="E82" s="3"/>
      <c r="F82" s="3"/>
      <c r="G82" s="3"/>
      <c r="H82" s="3"/>
      <c r="I82" s="19"/>
      <c r="J82" s="17"/>
      <c r="K82" s="17"/>
      <c r="L82" s="17"/>
    </row>
    <row r="83">
      <c r="C83" s="3"/>
      <c r="D83" s="3"/>
      <c r="E83" s="3"/>
      <c r="F83" s="3"/>
      <c r="G83" s="3"/>
      <c r="H83" s="3"/>
      <c r="I83" s="19"/>
      <c r="J83" s="17"/>
      <c r="K83" s="17"/>
      <c r="L83" s="17"/>
    </row>
    <row r="84">
      <c r="C84" s="3"/>
      <c r="D84" s="3"/>
      <c r="E84" s="3"/>
      <c r="F84" s="3"/>
      <c r="G84" s="3"/>
      <c r="H84" s="3"/>
      <c r="I84" s="19"/>
      <c r="J84" s="17"/>
      <c r="K84" s="17"/>
      <c r="L84" s="17"/>
    </row>
    <row r="85">
      <c r="C85" s="3"/>
      <c r="D85" s="3"/>
      <c r="E85" s="3"/>
      <c r="F85" s="3"/>
      <c r="G85" s="3"/>
      <c r="H85" s="3"/>
      <c r="I85" s="19"/>
      <c r="J85" s="17"/>
      <c r="K85" s="17"/>
      <c r="L85" s="17"/>
    </row>
    <row r="86">
      <c r="C86" s="3"/>
      <c r="D86" s="3"/>
      <c r="E86" s="3"/>
      <c r="F86" s="3"/>
      <c r="G86" s="3"/>
      <c r="H86" s="3"/>
      <c r="I86" s="19"/>
      <c r="J86" s="17"/>
      <c r="K86" s="17"/>
      <c r="L86" s="17"/>
    </row>
    <row r="87">
      <c r="C87" s="3"/>
      <c r="D87" s="3"/>
      <c r="E87" s="3"/>
      <c r="F87" s="3"/>
      <c r="G87" s="3"/>
      <c r="H87" s="3"/>
      <c r="I87" s="19"/>
      <c r="J87" s="17"/>
      <c r="K87" s="17"/>
      <c r="L87" s="17"/>
    </row>
    <row r="88">
      <c r="C88" s="3"/>
      <c r="D88" s="3"/>
      <c r="E88" s="3"/>
      <c r="F88" s="3"/>
      <c r="G88" s="3"/>
      <c r="H88" s="3"/>
      <c r="I88" s="19"/>
      <c r="J88" s="17"/>
      <c r="K88" s="17"/>
      <c r="L88" s="17"/>
    </row>
    <row r="89">
      <c r="C89" s="3"/>
      <c r="D89" s="3"/>
      <c r="E89" s="3"/>
      <c r="F89" s="3"/>
      <c r="G89" s="3"/>
      <c r="H89" s="3"/>
      <c r="I89" s="19"/>
      <c r="J89" s="17"/>
      <c r="K89" s="17"/>
      <c r="L89" s="17"/>
    </row>
    <row r="90">
      <c r="C90" s="3"/>
      <c r="D90" s="3"/>
      <c r="E90" s="3"/>
      <c r="F90" s="3"/>
      <c r="G90" s="3"/>
      <c r="H90" s="3"/>
      <c r="I90" s="19"/>
      <c r="J90" s="17"/>
      <c r="K90" s="17"/>
      <c r="L90" s="17"/>
    </row>
    <row r="91">
      <c r="C91" s="3"/>
      <c r="D91" s="3"/>
      <c r="E91" s="3"/>
      <c r="F91" s="3"/>
      <c r="G91" s="3"/>
      <c r="H91" s="3"/>
      <c r="I91" s="19"/>
      <c r="J91" s="17"/>
      <c r="K91" s="17"/>
      <c r="L91" s="17"/>
    </row>
    <row r="92">
      <c r="C92" s="3"/>
      <c r="D92" s="3"/>
      <c r="E92" s="3"/>
      <c r="F92" s="3"/>
      <c r="G92" s="3"/>
      <c r="H92" s="3"/>
      <c r="I92" s="19"/>
      <c r="J92" s="17"/>
      <c r="K92" s="17"/>
      <c r="L92" s="17"/>
    </row>
    <row r="93">
      <c r="C93" s="3"/>
      <c r="D93" s="3"/>
      <c r="E93" s="3"/>
      <c r="F93" s="3"/>
      <c r="G93" s="3"/>
      <c r="H93" s="3"/>
      <c r="I93" s="19"/>
      <c r="J93" s="17"/>
      <c r="K93" s="17"/>
      <c r="L93" s="17"/>
    </row>
    <row r="94">
      <c r="C94" s="3"/>
      <c r="D94" s="3"/>
      <c r="E94" s="3"/>
      <c r="F94" s="3"/>
      <c r="G94" s="3"/>
      <c r="H94" s="3"/>
      <c r="I94" s="19"/>
      <c r="J94" s="17"/>
      <c r="K94" s="17"/>
      <c r="L94" s="17"/>
    </row>
    <row r="95">
      <c r="C95" s="3"/>
      <c r="D95" s="3"/>
      <c r="E95" s="3"/>
      <c r="F95" s="3"/>
      <c r="G95" s="3"/>
      <c r="H95" s="3"/>
      <c r="I95" s="19"/>
      <c r="J95" s="17"/>
      <c r="K95" s="17"/>
      <c r="L95" s="17"/>
    </row>
    <row r="96">
      <c r="C96" s="3"/>
      <c r="D96" s="3"/>
      <c r="E96" s="3"/>
      <c r="F96" s="3"/>
      <c r="G96" s="3"/>
      <c r="H96" s="3"/>
      <c r="I96" s="19"/>
      <c r="J96" s="17"/>
      <c r="K96" s="17"/>
      <c r="L96" s="17"/>
    </row>
    <row r="97">
      <c r="C97" s="3"/>
      <c r="D97" s="3"/>
      <c r="E97" s="3"/>
      <c r="F97" s="3"/>
      <c r="G97" s="3"/>
      <c r="H97" s="3"/>
      <c r="I97" s="19"/>
      <c r="J97" s="17"/>
      <c r="K97" s="17"/>
      <c r="L97" s="17"/>
    </row>
    <row r="98">
      <c r="C98" s="3"/>
      <c r="D98" s="3"/>
      <c r="E98" s="3"/>
      <c r="F98" s="3"/>
      <c r="G98" s="3"/>
      <c r="H98" s="3"/>
      <c r="I98" s="19"/>
      <c r="J98" s="17"/>
      <c r="K98" s="17"/>
      <c r="L98" s="17"/>
    </row>
    <row r="99">
      <c r="C99" s="3"/>
      <c r="D99" s="3"/>
      <c r="E99" s="3"/>
      <c r="F99" s="3"/>
      <c r="G99" s="3"/>
      <c r="H99" s="3"/>
      <c r="I99" s="19"/>
      <c r="J99" s="17"/>
      <c r="K99" s="17"/>
      <c r="L99" s="17"/>
    </row>
    <row r="100">
      <c r="C100" s="3"/>
      <c r="D100" s="3"/>
      <c r="E100" s="3"/>
      <c r="F100" s="3"/>
      <c r="G100" s="3"/>
      <c r="H100" s="3"/>
      <c r="I100" s="19"/>
      <c r="J100" s="17"/>
      <c r="K100" s="17"/>
      <c r="L100" s="17"/>
    </row>
    <row r="101">
      <c r="C101" s="3"/>
      <c r="D101" s="3"/>
      <c r="E101" s="3"/>
      <c r="F101" s="3"/>
      <c r="G101" s="3"/>
      <c r="H101" s="3"/>
      <c r="I101" s="19"/>
      <c r="J101" s="17"/>
      <c r="K101" s="17"/>
      <c r="L101" s="17"/>
    </row>
    <row r="102">
      <c r="C102" s="3"/>
      <c r="D102" s="3"/>
      <c r="E102" s="3"/>
      <c r="F102" s="3"/>
      <c r="G102" s="3"/>
      <c r="H102" s="3"/>
      <c r="I102" s="19"/>
      <c r="J102" s="17"/>
      <c r="K102" s="17"/>
      <c r="L102" s="17"/>
    </row>
    <row r="103">
      <c r="C103" s="3"/>
      <c r="D103" s="3"/>
      <c r="E103" s="3"/>
      <c r="F103" s="3"/>
      <c r="G103" s="3"/>
      <c r="H103" s="3"/>
      <c r="I103" s="19"/>
      <c r="J103" s="17"/>
      <c r="K103" s="17"/>
      <c r="L103" s="17"/>
    </row>
    <row r="104">
      <c r="C104" s="3"/>
      <c r="D104" s="3"/>
      <c r="E104" s="3"/>
      <c r="F104" s="3"/>
      <c r="G104" s="3"/>
      <c r="H104" s="3"/>
      <c r="I104" s="19"/>
      <c r="J104" s="17"/>
      <c r="K104" s="17"/>
      <c r="L104" s="17"/>
    </row>
    <row r="105">
      <c r="C105" s="3"/>
      <c r="D105" s="3"/>
      <c r="E105" s="3"/>
      <c r="F105" s="3"/>
      <c r="G105" s="3"/>
      <c r="H105" s="3"/>
      <c r="I105" s="19"/>
      <c r="J105" s="17"/>
      <c r="K105" s="17"/>
      <c r="L105" s="17"/>
    </row>
    <row r="106">
      <c r="C106" s="3"/>
      <c r="D106" s="3"/>
      <c r="E106" s="3"/>
      <c r="F106" s="3"/>
      <c r="G106" s="3"/>
      <c r="H106" s="3"/>
      <c r="I106" s="19"/>
      <c r="J106" s="17"/>
      <c r="K106" s="17"/>
      <c r="L106" s="17"/>
    </row>
    <row r="107">
      <c r="C107" s="3"/>
      <c r="D107" s="3"/>
      <c r="E107" s="3"/>
      <c r="F107" s="3"/>
      <c r="G107" s="3"/>
      <c r="H107" s="3"/>
      <c r="I107" s="19"/>
      <c r="J107" s="17"/>
      <c r="K107" s="17"/>
      <c r="L107" s="17"/>
    </row>
    <row r="108">
      <c r="C108" s="3"/>
      <c r="D108" s="3"/>
      <c r="E108" s="3"/>
      <c r="F108" s="3"/>
      <c r="G108" s="3"/>
      <c r="H108" s="3"/>
      <c r="I108" s="19"/>
      <c r="J108" s="17"/>
      <c r="K108" s="17"/>
      <c r="L108" s="17"/>
    </row>
    <row r="109">
      <c r="C109" s="3"/>
      <c r="D109" s="3"/>
      <c r="E109" s="3"/>
      <c r="F109" s="3"/>
      <c r="G109" s="3"/>
      <c r="H109" s="3"/>
      <c r="I109" s="19"/>
      <c r="J109" s="17"/>
      <c r="K109" s="17"/>
      <c r="L109" s="17"/>
    </row>
    <row r="110">
      <c r="C110" s="3"/>
      <c r="D110" s="3"/>
      <c r="E110" s="3"/>
      <c r="F110" s="3"/>
      <c r="G110" s="3"/>
      <c r="H110" s="3"/>
      <c r="I110" s="19"/>
      <c r="J110" s="17"/>
      <c r="K110" s="17"/>
      <c r="L110" s="17"/>
    </row>
    <row r="111">
      <c r="C111" s="3"/>
      <c r="D111" s="3"/>
      <c r="E111" s="3"/>
      <c r="F111" s="3"/>
      <c r="G111" s="3"/>
      <c r="H111" s="3"/>
      <c r="I111" s="19"/>
      <c r="J111" s="17"/>
      <c r="K111" s="17"/>
      <c r="L111" s="17"/>
    </row>
    <row r="112">
      <c r="C112" s="3"/>
      <c r="D112" s="3"/>
      <c r="E112" s="3"/>
      <c r="F112" s="3"/>
      <c r="G112" s="3"/>
      <c r="H112" s="3"/>
      <c r="I112" s="19"/>
      <c r="J112" s="17"/>
      <c r="K112" s="17"/>
      <c r="L112" s="17"/>
    </row>
    <row r="113">
      <c r="C113" s="3"/>
      <c r="D113" s="3"/>
      <c r="E113" s="3"/>
      <c r="F113" s="3"/>
      <c r="G113" s="3"/>
      <c r="H113" s="3"/>
      <c r="I113" s="19"/>
      <c r="J113" s="17"/>
      <c r="K113" s="17"/>
      <c r="L113" s="17"/>
    </row>
    <row r="114">
      <c r="C114" s="3"/>
      <c r="D114" s="3"/>
      <c r="E114" s="3"/>
      <c r="F114" s="3"/>
      <c r="G114" s="3"/>
      <c r="H114" s="3"/>
      <c r="I114" s="19"/>
      <c r="J114" s="17"/>
      <c r="K114" s="17"/>
      <c r="L114" s="17"/>
    </row>
    <row r="115">
      <c r="C115" s="3"/>
      <c r="D115" s="3"/>
      <c r="E115" s="3"/>
      <c r="F115" s="3"/>
      <c r="G115" s="3"/>
      <c r="H115" s="3"/>
      <c r="I115" s="19"/>
      <c r="J115" s="17"/>
      <c r="K115" s="17"/>
      <c r="L115" s="17"/>
    </row>
    <row r="116">
      <c r="C116" s="3"/>
      <c r="D116" s="3"/>
      <c r="E116" s="3"/>
      <c r="F116" s="3"/>
      <c r="G116" s="3"/>
      <c r="H116" s="3"/>
      <c r="I116" s="19"/>
      <c r="J116" s="17"/>
      <c r="K116" s="17"/>
      <c r="L116" s="17"/>
    </row>
    <row r="117">
      <c r="C117" s="3"/>
      <c r="D117" s="3"/>
      <c r="E117" s="3"/>
      <c r="F117" s="3"/>
      <c r="G117" s="3"/>
      <c r="H117" s="3"/>
      <c r="I117" s="19"/>
      <c r="J117" s="17"/>
      <c r="K117" s="17"/>
      <c r="L117" s="17"/>
    </row>
    <row r="118">
      <c r="C118" s="3"/>
      <c r="D118" s="3"/>
      <c r="E118" s="3"/>
      <c r="F118" s="3"/>
      <c r="G118" s="3"/>
      <c r="H118" s="3"/>
      <c r="I118" s="19"/>
      <c r="J118" s="17"/>
      <c r="K118" s="17"/>
      <c r="L118" s="17"/>
    </row>
    <row r="119">
      <c r="C119" s="3"/>
      <c r="D119" s="3"/>
      <c r="E119" s="3"/>
      <c r="F119" s="3"/>
      <c r="G119" s="3"/>
      <c r="H119" s="3"/>
      <c r="I119" s="19"/>
      <c r="J119" s="17"/>
      <c r="K119" s="17"/>
      <c r="L119" s="17"/>
    </row>
    <row r="120">
      <c r="C120" s="3"/>
      <c r="D120" s="3"/>
      <c r="E120" s="3"/>
      <c r="F120" s="3"/>
      <c r="G120" s="3"/>
      <c r="H120" s="3"/>
      <c r="I120" s="19"/>
      <c r="J120" s="17"/>
      <c r="K120" s="17"/>
      <c r="L120" s="17"/>
    </row>
    <row r="121">
      <c r="C121" s="3"/>
      <c r="D121" s="3"/>
      <c r="E121" s="3"/>
      <c r="F121" s="3"/>
      <c r="G121" s="3"/>
      <c r="H121" s="3"/>
      <c r="I121" s="19"/>
      <c r="J121" s="17"/>
      <c r="K121" s="17"/>
      <c r="L121" s="17"/>
    </row>
    <row r="122">
      <c r="C122" s="3"/>
      <c r="D122" s="3"/>
      <c r="E122" s="3"/>
      <c r="F122" s="3"/>
      <c r="G122" s="3"/>
      <c r="H122" s="3"/>
      <c r="I122" s="19"/>
      <c r="J122" s="17"/>
      <c r="K122" s="17"/>
      <c r="L122" s="17"/>
    </row>
    <row r="123">
      <c r="C123" s="3"/>
      <c r="D123" s="3"/>
      <c r="E123" s="3"/>
      <c r="F123" s="3"/>
      <c r="G123" s="3"/>
      <c r="H123" s="3"/>
      <c r="I123" s="19"/>
      <c r="J123" s="17"/>
      <c r="K123" s="17"/>
      <c r="L123" s="17"/>
    </row>
    <row r="124">
      <c r="C124" s="3"/>
      <c r="D124" s="3"/>
      <c r="E124" s="3"/>
      <c r="F124" s="3"/>
      <c r="G124" s="3"/>
      <c r="H124" s="3"/>
      <c r="I124" s="19"/>
      <c r="J124" s="17"/>
      <c r="K124" s="17"/>
      <c r="L124" s="17"/>
    </row>
    <row r="125">
      <c r="C125" s="3"/>
      <c r="D125" s="3"/>
      <c r="E125" s="3"/>
      <c r="F125" s="3"/>
      <c r="G125" s="3"/>
      <c r="H125" s="3"/>
      <c r="I125" s="19"/>
      <c r="J125" s="17"/>
      <c r="K125" s="17"/>
      <c r="L125" s="17"/>
    </row>
    <row r="126">
      <c r="C126" s="3"/>
      <c r="D126" s="3"/>
      <c r="E126" s="3"/>
      <c r="F126" s="3"/>
      <c r="G126" s="3"/>
      <c r="H126" s="3"/>
      <c r="I126" s="19"/>
      <c r="J126" s="17"/>
      <c r="K126" s="17"/>
      <c r="L126" s="17"/>
    </row>
    <row r="127">
      <c r="C127" s="3"/>
      <c r="D127" s="3"/>
      <c r="E127" s="3"/>
      <c r="F127" s="3"/>
      <c r="G127" s="3"/>
      <c r="H127" s="3"/>
      <c r="I127" s="19"/>
      <c r="J127" s="17"/>
      <c r="K127" s="17"/>
      <c r="L127" s="17"/>
    </row>
    <row r="128">
      <c r="C128" s="3"/>
      <c r="D128" s="3"/>
      <c r="E128" s="3"/>
      <c r="F128" s="3"/>
      <c r="G128" s="3"/>
      <c r="H128" s="3"/>
      <c r="I128" s="19"/>
      <c r="J128" s="17"/>
      <c r="K128" s="17"/>
      <c r="L128" s="17"/>
    </row>
    <row r="129">
      <c r="C129" s="3"/>
      <c r="D129" s="3"/>
      <c r="E129" s="3"/>
      <c r="F129" s="3"/>
      <c r="G129" s="3"/>
      <c r="H129" s="3"/>
      <c r="I129" s="19"/>
      <c r="J129" s="17"/>
      <c r="K129" s="17"/>
      <c r="L129" s="17"/>
    </row>
    <row r="130">
      <c r="C130" s="3"/>
      <c r="D130" s="3"/>
      <c r="E130" s="3"/>
      <c r="F130" s="3"/>
      <c r="G130" s="3"/>
      <c r="H130" s="3"/>
      <c r="I130" s="19"/>
      <c r="J130" s="17"/>
      <c r="K130" s="17"/>
      <c r="L130" s="17"/>
    </row>
    <row r="131">
      <c r="C131" s="3"/>
      <c r="D131" s="3"/>
      <c r="E131" s="3"/>
      <c r="F131" s="3"/>
      <c r="G131" s="3"/>
      <c r="H131" s="3"/>
      <c r="I131" s="19"/>
      <c r="J131" s="17"/>
      <c r="K131" s="17"/>
      <c r="L131" s="17"/>
    </row>
    <row r="132">
      <c r="C132" s="3"/>
      <c r="D132" s="3"/>
      <c r="E132" s="3"/>
      <c r="F132" s="3"/>
      <c r="G132" s="3"/>
      <c r="H132" s="3"/>
      <c r="I132" s="19"/>
      <c r="J132" s="17"/>
      <c r="K132" s="17"/>
      <c r="L132" s="17"/>
    </row>
    <row r="133">
      <c r="C133" s="3"/>
      <c r="D133" s="3"/>
      <c r="E133" s="3"/>
      <c r="F133" s="3"/>
      <c r="G133" s="3"/>
      <c r="H133" s="3"/>
      <c r="I133" s="19"/>
      <c r="J133" s="17"/>
      <c r="K133" s="17"/>
      <c r="L133" s="17"/>
    </row>
    <row r="134">
      <c r="C134" s="3"/>
      <c r="D134" s="3"/>
      <c r="E134" s="3"/>
      <c r="F134" s="3"/>
      <c r="G134" s="3"/>
      <c r="H134" s="3"/>
      <c r="I134" s="19"/>
      <c r="J134" s="17"/>
      <c r="K134" s="17"/>
      <c r="L134" s="17"/>
    </row>
    <row r="135">
      <c r="C135" s="3"/>
      <c r="D135" s="3"/>
      <c r="E135" s="3"/>
      <c r="F135" s="3"/>
      <c r="G135" s="3"/>
      <c r="H135" s="3"/>
      <c r="I135" s="19"/>
      <c r="J135" s="17"/>
      <c r="K135" s="17"/>
      <c r="L135" s="17"/>
    </row>
    <row r="136">
      <c r="C136" s="3"/>
      <c r="D136" s="3"/>
      <c r="E136" s="3"/>
      <c r="F136" s="3"/>
      <c r="G136" s="3"/>
      <c r="H136" s="3"/>
      <c r="I136" s="19"/>
      <c r="J136" s="17"/>
      <c r="K136" s="17"/>
      <c r="L136" s="17"/>
    </row>
    <row r="137">
      <c r="C137" s="3"/>
      <c r="D137" s="3"/>
      <c r="E137" s="3"/>
      <c r="F137" s="3"/>
      <c r="G137" s="3"/>
      <c r="H137" s="3"/>
      <c r="I137" s="19"/>
      <c r="J137" s="17"/>
      <c r="K137" s="17"/>
      <c r="L137" s="17"/>
    </row>
    <row r="138">
      <c r="C138" s="3"/>
      <c r="D138" s="3"/>
      <c r="E138" s="3"/>
      <c r="F138" s="3"/>
      <c r="G138" s="3"/>
      <c r="H138" s="3"/>
      <c r="I138" s="19"/>
      <c r="J138" s="17"/>
      <c r="K138" s="17"/>
      <c r="L138" s="17"/>
    </row>
    <row r="139">
      <c r="C139" s="3"/>
      <c r="D139" s="3"/>
      <c r="E139" s="3"/>
      <c r="F139" s="3"/>
      <c r="G139" s="3"/>
      <c r="H139" s="3"/>
      <c r="I139" s="19"/>
      <c r="J139" s="17"/>
      <c r="K139" s="17"/>
      <c r="L139" s="17"/>
    </row>
    <row r="140">
      <c r="C140" s="3"/>
      <c r="D140" s="3"/>
      <c r="E140" s="3"/>
      <c r="F140" s="3"/>
      <c r="G140" s="3"/>
      <c r="H140" s="3"/>
      <c r="I140" s="19"/>
      <c r="J140" s="17"/>
      <c r="K140" s="17"/>
      <c r="L140" s="17"/>
    </row>
    <row r="141">
      <c r="C141" s="3"/>
      <c r="D141" s="3"/>
      <c r="E141" s="3"/>
      <c r="F141" s="3"/>
      <c r="G141" s="3"/>
      <c r="H141" s="3"/>
      <c r="I141" s="19"/>
      <c r="J141" s="17"/>
      <c r="K141" s="17"/>
      <c r="L141" s="17"/>
    </row>
    <row r="142">
      <c r="C142" s="3"/>
      <c r="D142" s="3"/>
      <c r="E142" s="3"/>
      <c r="F142" s="3"/>
      <c r="G142" s="3"/>
      <c r="H142" s="3"/>
      <c r="I142" s="19"/>
      <c r="J142" s="17"/>
      <c r="K142" s="17"/>
      <c r="L142" s="17"/>
    </row>
    <row r="143">
      <c r="C143" s="3"/>
      <c r="D143" s="3"/>
      <c r="E143" s="3"/>
      <c r="F143" s="3"/>
      <c r="G143" s="3"/>
      <c r="H143" s="3"/>
      <c r="I143" s="19"/>
      <c r="J143" s="17"/>
      <c r="K143" s="17"/>
      <c r="L143" s="17"/>
    </row>
    <row r="144">
      <c r="C144" s="3"/>
      <c r="D144" s="3"/>
      <c r="E144" s="3"/>
      <c r="F144" s="3"/>
      <c r="G144" s="3"/>
      <c r="H144" s="3"/>
      <c r="I144" s="19"/>
      <c r="J144" s="17"/>
      <c r="K144" s="17"/>
      <c r="L144" s="17"/>
    </row>
    <row r="145">
      <c r="C145" s="3"/>
      <c r="D145" s="3"/>
      <c r="E145" s="3"/>
      <c r="F145" s="3"/>
      <c r="G145" s="3"/>
      <c r="H145" s="3"/>
      <c r="I145" s="19"/>
      <c r="J145" s="17"/>
      <c r="K145" s="17"/>
      <c r="L145" s="17"/>
    </row>
    <row r="146">
      <c r="C146" s="3"/>
      <c r="D146" s="3"/>
      <c r="E146" s="3"/>
      <c r="F146" s="3"/>
      <c r="G146" s="3"/>
      <c r="H146" s="3"/>
      <c r="I146" s="19"/>
      <c r="J146" s="17"/>
      <c r="K146" s="17"/>
      <c r="L146" s="17"/>
    </row>
    <row r="147">
      <c r="C147" s="3"/>
      <c r="D147" s="3"/>
      <c r="E147" s="3"/>
      <c r="F147" s="3"/>
      <c r="G147" s="3"/>
      <c r="H147" s="3"/>
      <c r="I147" s="19"/>
      <c r="J147" s="17"/>
      <c r="K147" s="17"/>
      <c r="L147" s="17"/>
    </row>
    <row r="148">
      <c r="C148" s="3"/>
      <c r="D148" s="3"/>
      <c r="E148" s="3"/>
      <c r="F148" s="3"/>
      <c r="G148" s="3"/>
      <c r="H148" s="3"/>
      <c r="I148" s="19"/>
      <c r="J148" s="17"/>
      <c r="K148" s="17"/>
      <c r="L148" s="17"/>
    </row>
    <row r="149">
      <c r="C149" s="3"/>
      <c r="D149" s="3"/>
      <c r="E149" s="3"/>
      <c r="F149" s="3"/>
      <c r="G149" s="3"/>
      <c r="H149" s="3"/>
      <c r="I149" s="19"/>
      <c r="J149" s="17"/>
      <c r="K149" s="17"/>
      <c r="L149" s="17"/>
    </row>
    <row r="150">
      <c r="C150" s="3"/>
      <c r="D150" s="3"/>
      <c r="E150" s="3"/>
      <c r="F150" s="3"/>
      <c r="G150" s="3"/>
      <c r="H150" s="3"/>
      <c r="I150" s="19"/>
      <c r="J150" s="17"/>
      <c r="K150" s="17"/>
      <c r="L150" s="17"/>
    </row>
    <row r="151">
      <c r="C151" s="3"/>
      <c r="D151" s="3"/>
      <c r="E151" s="3"/>
      <c r="F151" s="3"/>
      <c r="G151" s="3"/>
      <c r="H151" s="3"/>
      <c r="I151" s="19"/>
      <c r="J151" s="17"/>
      <c r="K151" s="17"/>
      <c r="L151" s="17"/>
    </row>
    <row r="152">
      <c r="C152" s="3"/>
      <c r="D152" s="3"/>
      <c r="E152" s="3"/>
      <c r="F152" s="3"/>
      <c r="G152" s="3"/>
      <c r="H152" s="3"/>
      <c r="I152" s="19"/>
      <c r="J152" s="17"/>
      <c r="K152" s="17"/>
      <c r="L152" s="17"/>
    </row>
    <row r="153">
      <c r="C153" s="3"/>
      <c r="D153" s="3"/>
      <c r="E153" s="3"/>
      <c r="F153" s="3"/>
      <c r="G153" s="3"/>
      <c r="H153" s="3"/>
      <c r="I153" s="19"/>
      <c r="J153" s="17"/>
      <c r="K153" s="17"/>
      <c r="L153" s="17"/>
    </row>
    <row r="154">
      <c r="C154" s="3"/>
      <c r="D154" s="3"/>
      <c r="E154" s="3"/>
      <c r="F154" s="3"/>
      <c r="G154" s="3"/>
      <c r="H154" s="3"/>
      <c r="I154" s="19"/>
      <c r="J154" s="17"/>
      <c r="K154" s="17"/>
      <c r="L154" s="17"/>
    </row>
    <row r="155">
      <c r="C155" s="3"/>
      <c r="D155" s="3"/>
      <c r="E155" s="3"/>
      <c r="F155" s="3"/>
      <c r="G155" s="3"/>
      <c r="H155" s="3"/>
      <c r="I155" s="19"/>
      <c r="J155" s="17"/>
      <c r="K155" s="17"/>
      <c r="L155" s="17"/>
    </row>
    <row r="156">
      <c r="C156" s="3"/>
      <c r="D156" s="3"/>
      <c r="E156" s="3"/>
      <c r="F156" s="3"/>
      <c r="G156" s="3"/>
      <c r="H156" s="3"/>
      <c r="I156" s="19"/>
      <c r="J156" s="17"/>
      <c r="K156" s="17"/>
      <c r="L156" s="17"/>
    </row>
    <row r="157">
      <c r="C157" s="3"/>
      <c r="D157" s="3"/>
      <c r="E157" s="3"/>
      <c r="F157" s="3"/>
      <c r="G157" s="3"/>
      <c r="H157" s="3"/>
      <c r="I157" s="19"/>
      <c r="J157" s="17"/>
      <c r="K157" s="17"/>
      <c r="L157" s="17"/>
    </row>
    <row r="158">
      <c r="C158" s="3"/>
      <c r="D158" s="3"/>
      <c r="E158" s="3"/>
      <c r="F158" s="3"/>
      <c r="G158" s="3"/>
      <c r="H158" s="3"/>
      <c r="I158" s="19"/>
      <c r="J158" s="17"/>
      <c r="K158" s="17"/>
      <c r="L158" s="17"/>
    </row>
    <row r="159">
      <c r="C159" s="3"/>
      <c r="D159" s="3"/>
      <c r="E159" s="3"/>
      <c r="F159" s="3"/>
      <c r="G159" s="3"/>
      <c r="H159" s="3"/>
      <c r="I159" s="19"/>
      <c r="J159" s="17"/>
      <c r="K159" s="17"/>
      <c r="L159" s="17"/>
    </row>
    <row r="160">
      <c r="C160" s="3"/>
      <c r="D160" s="3"/>
      <c r="E160" s="3"/>
      <c r="F160" s="3"/>
      <c r="G160" s="3"/>
      <c r="H160" s="3"/>
      <c r="I160" s="19"/>
      <c r="J160" s="17"/>
      <c r="K160" s="17"/>
      <c r="L160" s="17"/>
    </row>
    <row r="161">
      <c r="C161" s="3"/>
      <c r="D161" s="3"/>
      <c r="E161" s="3"/>
      <c r="F161" s="3"/>
      <c r="G161" s="3"/>
      <c r="H161" s="3"/>
      <c r="I161" s="19"/>
      <c r="J161" s="17"/>
      <c r="K161" s="17"/>
      <c r="L161" s="17"/>
    </row>
    <row r="162">
      <c r="C162" s="3"/>
      <c r="D162" s="3"/>
      <c r="E162" s="3"/>
      <c r="F162" s="3"/>
      <c r="G162" s="3"/>
      <c r="H162" s="3"/>
      <c r="I162" s="19"/>
      <c r="J162" s="17"/>
      <c r="K162" s="17"/>
      <c r="L162" s="17"/>
    </row>
    <row r="163">
      <c r="C163" s="3"/>
      <c r="D163" s="3"/>
      <c r="E163" s="3"/>
      <c r="F163" s="3"/>
      <c r="G163" s="3"/>
      <c r="H163" s="3"/>
      <c r="I163" s="19"/>
      <c r="J163" s="17"/>
      <c r="K163" s="17"/>
      <c r="L163" s="17"/>
    </row>
    <row r="164">
      <c r="C164" s="3"/>
      <c r="D164" s="3"/>
      <c r="E164" s="3"/>
      <c r="F164" s="3"/>
      <c r="G164" s="3"/>
      <c r="H164" s="3"/>
      <c r="I164" s="19"/>
      <c r="J164" s="17"/>
      <c r="K164" s="17"/>
      <c r="L164" s="17"/>
    </row>
    <row r="165">
      <c r="C165" s="3"/>
      <c r="D165" s="3"/>
      <c r="E165" s="3"/>
      <c r="F165" s="3"/>
      <c r="G165" s="3"/>
      <c r="H165" s="3"/>
      <c r="I165" s="19"/>
      <c r="J165" s="17"/>
      <c r="K165" s="17"/>
      <c r="L165" s="17"/>
    </row>
    <row r="166">
      <c r="C166" s="3"/>
      <c r="D166" s="3"/>
      <c r="E166" s="3"/>
      <c r="F166" s="3"/>
      <c r="G166" s="3"/>
      <c r="H166" s="3"/>
      <c r="I166" s="19"/>
      <c r="J166" s="17"/>
      <c r="K166" s="17"/>
      <c r="L166" s="17"/>
    </row>
    <row r="167">
      <c r="C167" s="3"/>
      <c r="D167" s="3"/>
      <c r="E167" s="3"/>
      <c r="F167" s="3"/>
      <c r="G167" s="3"/>
      <c r="H167" s="3"/>
      <c r="I167" s="19"/>
      <c r="J167" s="17"/>
      <c r="K167" s="17"/>
      <c r="L167" s="17"/>
    </row>
    <row r="168">
      <c r="C168" s="3"/>
      <c r="D168" s="3"/>
      <c r="E168" s="3"/>
      <c r="F168" s="3"/>
      <c r="G168" s="3"/>
      <c r="H168" s="3"/>
      <c r="I168" s="19"/>
      <c r="J168" s="17"/>
      <c r="K168" s="17"/>
      <c r="L168" s="17"/>
    </row>
    <row r="169">
      <c r="C169" s="3"/>
      <c r="D169" s="3"/>
      <c r="E169" s="3"/>
      <c r="F169" s="3"/>
      <c r="G169" s="3"/>
      <c r="H169" s="3"/>
      <c r="I169" s="19"/>
      <c r="J169" s="17"/>
      <c r="K169" s="17"/>
      <c r="L169" s="17"/>
    </row>
    <row r="170">
      <c r="C170" s="3"/>
      <c r="D170" s="3"/>
      <c r="E170" s="3"/>
      <c r="F170" s="3"/>
      <c r="G170" s="3"/>
      <c r="H170" s="3"/>
      <c r="I170" s="19"/>
      <c r="J170" s="17"/>
      <c r="K170" s="17"/>
      <c r="L170" s="17"/>
    </row>
    <row r="171">
      <c r="C171" s="3"/>
      <c r="D171" s="3"/>
      <c r="E171" s="3"/>
      <c r="F171" s="3"/>
      <c r="G171" s="3"/>
      <c r="H171" s="3"/>
      <c r="I171" s="19"/>
      <c r="J171" s="17"/>
      <c r="K171" s="17"/>
      <c r="L171" s="17"/>
    </row>
    <row r="172">
      <c r="C172" s="3"/>
      <c r="D172" s="3"/>
      <c r="E172" s="3"/>
      <c r="F172" s="3"/>
      <c r="G172" s="3"/>
      <c r="H172" s="3"/>
      <c r="I172" s="19"/>
      <c r="J172" s="17"/>
      <c r="K172" s="17"/>
      <c r="L172" s="17"/>
    </row>
    <row r="173">
      <c r="C173" s="3"/>
      <c r="D173" s="3"/>
      <c r="E173" s="3"/>
      <c r="F173" s="3"/>
      <c r="G173" s="3"/>
      <c r="H173" s="3"/>
      <c r="I173" s="19"/>
      <c r="J173" s="17"/>
      <c r="K173" s="17"/>
      <c r="L173" s="17"/>
    </row>
    <row r="174">
      <c r="C174" s="3"/>
      <c r="D174" s="3"/>
      <c r="E174" s="3"/>
      <c r="F174" s="3"/>
      <c r="G174" s="3"/>
      <c r="H174" s="3"/>
      <c r="I174" s="19"/>
      <c r="J174" s="17"/>
      <c r="K174" s="17"/>
      <c r="L174" s="17"/>
    </row>
    <row r="175">
      <c r="C175" s="3"/>
      <c r="D175" s="3"/>
      <c r="E175" s="3"/>
      <c r="F175" s="3"/>
      <c r="G175" s="3"/>
      <c r="H175" s="3"/>
      <c r="I175" s="19"/>
      <c r="J175" s="17"/>
      <c r="K175" s="17"/>
      <c r="L175" s="17"/>
    </row>
    <row r="176">
      <c r="C176" s="3"/>
      <c r="D176" s="3"/>
      <c r="E176" s="3"/>
      <c r="F176" s="3"/>
      <c r="G176" s="3"/>
      <c r="H176" s="3"/>
      <c r="I176" s="19"/>
      <c r="J176" s="17"/>
      <c r="K176" s="17"/>
      <c r="L176" s="17"/>
    </row>
    <row r="177">
      <c r="C177" s="3"/>
      <c r="D177" s="3"/>
      <c r="E177" s="3"/>
      <c r="F177" s="3"/>
      <c r="G177" s="3"/>
      <c r="H177" s="3"/>
      <c r="I177" s="19"/>
      <c r="J177" s="17"/>
      <c r="K177" s="17"/>
      <c r="L177" s="17"/>
    </row>
    <row r="178">
      <c r="C178" s="3"/>
      <c r="D178" s="3"/>
      <c r="E178" s="3"/>
      <c r="F178" s="3"/>
      <c r="G178" s="3"/>
      <c r="H178" s="3"/>
      <c r="I178" s="19"/>
      <c r="J178" s="17"/>
      <c r="K178" s="17"/>
      <c r="L178" s="17"/>
    </row>
    <row r="179">
      <c r="C179" s="3"/>
      <c r="D179" s="3"/>
      <c r="E179" s="3"/>
      <c r="F179" s="3"/>
      <c r="G179" s="3"/>
      <c r="H179" s="3"/>
      <c r="I179" s="19"/>
      <c r="J179" s="17"/>
      <c r="K179" s="17"/>
      <c r="L179" s="17"/>
    </row>
    <row r="180">
      <c r="C180" s="3"/>
      <c r="D180" s="3"/>
      <c r="E180" s="3"/>
      <c r="F180" s="3"/>
      <c r="G180" s="3"/>
      <c r="H180" s="3"/>
      <c r="I180" s="19"/>
      <c r="J180" s="17"/>
      <c r="K180" s="17"/>
      <c r="L180" s="17"/>
    </row>
    <row r="181">
      <c r="C181" s="3"/>
      <c r="D181" s="3"/>
      <c r="E181" s="3"/>
      <c r="F181" s="3"/>
      <c r="G181" s="3"/>
      <c r="H181" s="3"/>
      <c r="I181" s="19"/>
      <c r="J181" s="17"/>
      <c r="K181" s="17"/>
      <c r="L181" s="17"/>
    </row>
    <row r="182">
      <c r="C182" s="3"/>
      <c r="D182" s="3"/>
      <c r="E182" s="3"/>
      <c r="F182" s="3"/>
      <c r="G182" s="3"/>
      <c r="H182" s="3"/>
      <c r="I182" s="19"/>
      <c r="J182" s="17"/>
      <c r="K182" s="17"/>
      <c r="L182" s="17"/>
    </row>
    <row r="183">
      <c r="C183" s="3"/>
      <c r="D183" s="3"/>
      <c r="E183" s="3"/>
      <c r="F183" s="3"/>
      <c r="G183" s="3"/>
      <c r="H183" s="3"/>
      <c r="I183" s="19"/>
      <c r="J183" s="17"/>
      <c r="K183" s="17"/>
      <c r="L183" s="17"/>
    </row>
    <row r="184">
      <c r="C184" s="3"/>
      <c r="D184" s="3"/>
      <c r="E184" s="3"/>
      <c r="F184" s="3"/>
      <c r="G184" s="3"/>
      <c r="H184" s="3"/>
      <c r="I184" s="19"/>
      <c r="J184" s="17"/>
      <c r="K184" s="17"/>
      <c r="L184" s="17"/>
    </row>
    <row r="185">
      <c r="C185" s="3"/>
      <c r="D185" s="3"/>
      <c r="E185" s="3"/>
      <c r="F185" s="3"/>
      <c r="G185" s="3"/>
      <c r="H185" s="3"/>
      <c r="I185" s="19"/>
      <c r="J185" s="17"/>
      <c r="K185" s="17"/>
      <c r="L185" s="17"/>
    </row>
    <row r="186">
      <c r="C186" s="3"/>
      <c r="D186" s="3"/>
      <c r="E186" s="3"/>
      <c r="F186" s="3"/>
      <c r="G186" s="3"/>
      <c r="H186" s="3"/>
      <c r="I186" s="19"/>
      <c r="J186" s="17"/>
      <c r="K186" s="17"/>
      <c r="L186" s="17"/>
    </row>
    <row r="187">
      <c r="C187" s="3"/>
      <c r="D187" s="3"/>
      <c r="E187" s="3"/>
      <c r="F187" s="3"/>
      <c r="G187" s="3"/>
      <c r="H187" s="3"/>
      <c r="I187" s="19"/>
      <c r="J187" s="17"/>
      <c r="K187" s="17"/>
      <c r="L187" s="17"/>
    </row>
    <row r="188">
      <c r="C188" s="3"/>
      <c r="D188" s="3"/>
      <c r="E188" s="3"/>
      <c r="F188" s="3"/>
      <c r="G188" s="3"/>
      <c r="H188" s="3"/>
      <c r="I188" s="19"/>
      <c r="J188" s="17"/>
      <c r="K188" s="17"/>
      <c r="L188" s="17"/>
    </row>
    <row r="189">
      <c r="C189" s="3"/>
      <c r="D189" s="3"/>
      <c r="E189" s="3"/>
      <c r="F189" s="3"/>
      <c r="G189" s="3"/>
      <c r="H189" s="3"/>
      <c r="I189" s="19"/>
      <c r="J189" s="17"/>
      <c r="K189" s="17"/>
      <c r="L189" s="17"/>
    </row>
    <row r="190">
      <c r="C190" s="3"/>
      <c r="D190" s="3"/>
      <c r="E190" s="3"/>
      <c r="F190" s="3"/>
      <c r="G190" s="3"/>
      <c r="H190" s="3"/>
      <c r="I190" s="19"/>
      <c r="J190" s="17"/>
      <c r="K190" s="17"/>
      <c r="L190" s="17"/>
    </row>
    <row r="191">
      <c r="C191" s="3"/>
      <c r="D191" s="3"/>
      <c r="E191" s="3"/>
      <c r="F191" s="3"/>
      <c r="G191" s="3"/>
      <c r="H191" s="3"/>
      <c r="I191" s="19"/>
      <c r="J191" s="17"/>
      <c r="K191" s="17"/>
      <c r="L191" s="17"/>
    </row>
    <row r="192">
      <c r="C192" s="3"/>
      <c r="D192" s="3"/>
      <c r="E192" s="3"/>
      <c r="F192" s="3"/>
      <c r="G192" s="3"/>
      <c r="H192" s="3"/>
      <c r="I192" s="19"/>
      <c r="J192" s="17"/>
      <c r="K192" s="17"/>
      <c r="L192" s="17"/>
    </row>
    <row r="193">
      <c r="C193" s="3"/>
      <c r="D193" s="3"/>
      <c r="E193" s="3"/>
      <c r="F193" s="3"/>
      <c r="G193" s="3"/>
      <c r="H193" s="3"/>
      <c r="I193" s="19"/>
      <c r="J193" s="17"/>
      <c r="K193" s="17"/>
      <c r="L193" s="17"/>
    </row>
    <row r="194">
      <c r="C194" s="3"/>
      <c r="D194" s="3"/>
      <c r="E194" s="3"/>
      <c r="F194" s="3"/>
      <c r="G194" s="3"/>
      <c r="H194" s="3"/>
      <c r="I194" s="19"/>
      <c r="J194" s="17"/>
      <c r="K194" s="17"/>
      <c r="L194" s="17"/>
    </row>
    <row r="195">
      <c r="C195" s="3"/>
      <c r="D195" s="3"/>
      <c r="E195" s="3"/>
      <c r="F195" s="3"/>
      <c r="G195" s="3"/>
      <c r="H195" s="3"/>
      <c r="I195" s="19"/>
      <c r="J195" s="17"/>
      <c r="K195" s="17"/>
      <c r="L195" s="17"/>
    </row>
    <row r="196">
      <c r="C196" s="3"/>
      <c r="D196" s="3"/>
      <c r="E196" s="3"/>
      <c r="F196" s="3"/>
      <c r="G196" s="3"/>
      <c r="H196" s="3"/>
      <c r="I196" s="19"/>
      <c r="J196" s="17"/>
      <c r="K196" s="17"/>
      <c r="L196" s="17"/>
    </row>
    <row r="197">
      <c r="C197" s="3"/>
      <c r="D197" s="3"/>
      <c r="E197" s="3"/>
      <c r="F197" s="3"/>
      <c r="G197" s="3"/>
      <c r="H197" s="3"/>
      <c r="I197" s="19"/>
      <c r="J197" s="17"/>
      <c r="K197" s="17"/>
      <c r="L197" s="17"/>
    </row>
    <row r="198">
      <c r="C198" s="3"/>
      <c r="D198" s="3"/>
      <c r="E198" s="3"/>
      <c r="F198" s="3"/>
      <c r="G198" s="3"/>
      <c r="H198" s="3"/>
      <c r="I198" s="19"/>
      <c r="J198" s="17"/>
      <c r="K198" s="17"/>
      <c r="L198" s="17"/>
    </row>
    <row r="199">
      <c r="C199" s="3"/>
      <c r="D199" s="3"/>
      <c r="E199" s="3"/>
      <c r="F199" s="3"/>
      <c r="G199" s="3"/>
      <c r="H199" s="3"/>
      <c r="I199" s="19"/>
      <c r="J199" s="17"/>
      <c r="K199" s="17"/>
      <c r="L199" s="17"/>
    </row>
    <row r="200">
      <c r="C200" s="3"/>
      <c r="D200" s="3"/>
      <c r="E200" s="3"/>
      <c r="F200" s="3"/>
      <c r="G200" s="3"/>
      <c r="H200" s="3"/>
      <c r="I200" s="19"/>
      <c r="J200" s="17"/>
      <c r="K200" s="17"/>
      <c r="L200" s="17"/>
    </row>
    <row r="201">
      <c r="C201" s="3"/>
      <c r="D201" s="3"/>
      <c r="E201" s="3"/>
      <c r="F201" s="3"/>
      <c r="G201" s="3"/>
      <c r="H201" s="3"/>
      <c r="I201" s="19"/>
      <c r="J201" s="17"/>
      <c r="K201" s="17"/>
      <c r="L201" s="17"/>
    </row>
    <row r="202">
      <c r="C202" s="3"/>
      <c r="D202" s="3"/>
      <c r="E202" s="3"/>
      <c r="F202" s="3"/>
      <c r="G202" s="3"/>
      <c r="H202" s="3"/>
      <c r="I202" s="19"/>
      <c r="J202" s="17"/>
      <c r="K202" s="17"/>
      <c r="L202" s="17"/>
    </row>
    <row r="203">
      <c r="C203" s="3"/>
      <c r="D203" s="3"/>
      <c r="E203" s="3"/>
      <c r="F203" s="3"/>
      <c r="G203" s="3"/>
      <c r="H203" s="3"/>
      <c r="I203" s="19"/>
      <c r="J203" s="17"/>
      <c r="K203" s="17"/>
      <c r="L203" s="17"/>
    </row>
    <row r="204">
      <c r="C204" s="3"/>
      <c r="D204" s="3"/>
      <c r="E204" s="3"/>
      <c r="F204" s="3"/>
      <c r="G204" s="3"/>
      <c r="H204" s="3"/>
      <c r="I204" s="19"/>
      <c r="J204" s="17"/>
      <c r="K204" s="17"/>
      <c r="L204" s="17"/>
    </row>
    <row r="205">
      <c r="C205" s="3"/>
      <c r="D205" s="3"/>
      <c r="E205" s="3"/>
      <c r="F205" s="3"/>
      <c r="G205" s="3"/>
      <c r="H205" s="3"/>
      <c r="I205" s="19"/>
      <c r="J205" s="17"/>
      <c r="K205" s="17"/>
      <c r="L205" s="17"/>
    </row>
    <row r="206">
      <c r="C206" s="3"/>
      <c r="D206" s="3"/>
      <c r="E206" s="3"/>
      <c r="F206" s="3"/>
      <c r="G206" s="3"/>
      <c r="H206" s="3"/>
      <c r="I206" s="19"/>
      <c r="J206" s="17"/>
      <c r="K206" s="17"/>
      <c r="L206" s="17"/>
    </row>
    <row r="207">
      <c r="C207" s="3"/>
      <c r="D207" s="3"/>
      <c r="E207" s="3"/>
      <c r="F207" s="3"/>
      <c r="G207" s="3"/>
      <c r="H207" s="3"/>
      <c r="I207" s="19"/>
      <c r="J207" s="17"/>
      <c r="K207" s="17"/>
      <c r="L207" s="17"/>
    </row>
    <row r="208">
      <c r="C208" s="3"/>
      <c r="D208" s="3"/>
      <c r="E208" s="3"/>
      <c r="F208" s="3"/>
      <c r="G208" s="3"/>
      <c r="H208" s="3"/>
      <c r="I208" s="19"/>
      <c r="J208" s="17"/>
      <c r="K208" s="17"/>
      <c r="L208" s="17"/>
    </row>
    <row r="209">
      <c r="C209" s="3"/>
      <c r="D209" s="3"/>
      <c r="E209" s="3"/>
      <c r="F209" s="3"/>
      <c r="G209" s="3"/>
      <c r="H209" s="3"/>
      <c r="I209" s="19"/>
      <c r="J209" s="17"/>
      <c r="K209" s="17"/>
      <c r="L209" s="17"/>
    </row>
  </sheetData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true" errorStyle="stop" showErrorMessage="true" xr:uid="{C4DF7D09-CD88-4C6A-BCF5-3AEE990553C7}">
          <x14:formula1>
            <xm:f>'动画分类'!$E$2:$E$30</xm:f>
          </x14:formula1>
          <xm:sqref>A2:A209</xm:sqref>
        </x14:dataValidation>
      </x14:dataValidations>
    </ext>
  </extLst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1" t="str">
        <v>供应商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</cols>
  <sheetData>
    <row r="1">
      <c r="A1" s="1" t="str">
        <v>用途</v>
      </c>
      <c r="B1" s="1" t="str">
        <v>资产</v>
      </c>
      <c r="C1" s="1" t="str">
        <v>调整</v>
      </c>
      <c r="D1" s="1" t="str">
        <v>备注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 t="str">
        <v>动能 · 远程武器 · 弹道</v>
      </c>
    </row>
    <row r="3">
      <c r="A3" s="2" t="str">
        <v>动能 · 远程武器 · 枪口</v>
      </c>
    </row>
    <row r="4">
      <c r="A4" s="2" t="str">
        <v>动能 · 远程武器 · 命中</v>
      </c>
    </row>
    <row r="5">
      <c r="A5" s="2" t="str">
        <v>远程武器 · 瞄准激光</v>
      </c>
    </row>
    <row customHeight="true" ht="19" r="6">
      <c r="A6" s="2"/>
    </row>
    <row customHeight="true" ht="19" r="7">
      <c r="A7" s="2"/>
    </row>
    <row customHeight="true" ht="19" r="8">
      <c r="A8" s="2"/>
    </row>
    <row customHeight="true" ht="19" r="9">
      <c r="A9" s="2" t="str">
        <v>动能 · 近战武器 · 尾迹</v>
      </c>
    </row>
    <row customHeight="true" ht="19" r="10">
      <c r="A10" s="2" t="str">
        <v>动能 · 近战武器 · 命中</v>
      </c>
    </row>
    <row r="11">
      <c r="A11" s="2" t="str">
        <v>角色 · 护甲受击</v>
      </c>
    </row>
    <row r="12">
      <c r="A12" s="2" t="str">
        <v>角色 · 生命受击</v>
      </c>
    </row>
    <row r="13">
      <c r="A13" s="2" t="str">
        <v>角色 · 护甲归零</v>
      </c>
    </row>
    <row r="14">
      <c r="A14" s="2" t="str">
        <v>角色 · 生命归零</v>
      </c>
    </row>
    <row r="15">
      <c r="A15" s="2" t="str">
        <v>角色 · 死亡损毁</v>
      </c>
    </row>
    <row r="16">
      <c r="A16" s="2" t="str">
        <v>角色 · 死亡出血</v>
      </c>
    </row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32"/>
    <col collapsed="false" customWidth="true" hidden="false" max="3" min="3" style="0" width="13"/>
    <col collapsed="false" customWidth="true" hidden="false" max="4" min="4" style="0" width="40"/>
    <col collapsed="false" customWidth="true" hidden="false" max="5" min="5" style="0" width="23"/>
    <col collapsed="false" customWidth="true" hidden="false" max="6" min="6" style="0" width="33"/>
  </cols>
  <sheetData>
    <row r="1">
      <c r="A1" s="2" t="str">
        <v>VFX动态规则</v>
      </c>
      <c r="B1" s="12" t="s">
        <v>14</v>
      </c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2" t="str">
        <v>瞄准性质</v>
      </c>
      <c r="B2" s="12" t="str">
        <v>释放性质</v>
      </c>
      <c r="C2" s="12" t="str">
        <v>技能示例</v>
      </c>
      <c r="D2" s="12" t="str">
        <v>VFX开始</v>
      </c>
      <c r="E2" s="12" t="str">
        <v>VFX中间</v>
      </c>
      <c r="F2" s="12" t="str">
        <v>VFX结束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22" t="str">
        <v>定向</v>
      </c>
      <c r="B3" s="22" t="str">
        <v>瞬发；没有抬手</v>
      </c>
      <c r="C3" s="22" t="str">
        <v>玩家：独头弹</v>
      </c>
      <c r="D3" s="22" t="str">
        <v>无，瞬发技能不播放瞄准VFX</v>
      </c>
      <c r="E3" s="22" t="str">
        <v>无</v>
      </c>
      <c r="F3" s="22" t="str">
        <v>无</v>
      </c>
    </row>
    <row r="4">
      <c r="A4" s="22" t="str">
        <v>定向</v>
      </c>
      <c r="B4" s="22" t="str">
        <v>瞄准</v>
      </c>
      <c r="C4" s="22" t="str">
        <v>玩家：麻痹射击</v>
      </c>
      <c r="D4" s="22" t="str">
        <v>展示完整的VFX</v>
      </c>
      <c r="E4" s="22" t="str">
        <v>维持不变</v>
      </c>
      <c r="F4" s="22" t="str">
        <v>消失</v>
      </c>
    </row>
    <row r="5">
      <c r="A5" s="23"/>
      <c r="B5" s="23"/>
      <c r="C5" s="23"/>
      <c r="D5" s="22" t="str">
        <v>箭头宽度 = 技能伤害宽度</v>
      </c>
      <c r="E5" s="22"/>
      <c r="F5" s="22"/>
    </row>
    <row r="6">
      <c r="A6" s="23"/>
      <c r="B6" s="23"/>
      <c r="C6" s="23"/>
      <c r="D6" s="22" t="str">
        <v>箭头长度 = 技能伤害距离</v>
      </c>
      <c r="E6" s="23"/>
      <c r="F6" s="23"/>
    </row>
    <row r="7">
      <c r="A7" s="22" t="str">
        <v>定向</v>
      </c>
      <c r="B7" s="22" t="str">
        <v>蓄力；影响射程，提前释放距离更短</v>
      </c>
      <c r="C7" s="22" t="str">
        <v>玩家：暂无</v>
      </c>
      <c r="D7" s="22" t="str">
        <v>展示长度被压缩的VFX</v>
      </c>
      <c r="E7" s="22" t="str">
        <v>箭头逐渐变长</v>
      </c>
      <c r="F7" s="22" t="str">
        <v>展示完整的VFX</v>
      </c>
    </row>
    <row r="8">
      <c r="A8" s="22"/>
      <c r="B8" s="23"/>
      <c r="C8" s="23"/>
      <c r="D8" s="22" t="str">
        <v>箭头宽度 = 技能伤害宽度</v>
      </c>
      <c r="E8" s="22" t="str">
        <v>箭头宽度 = 技能伤害宽度</v>
      </c>
      <c r="F8" s="22" t="str">
        <v>箭头宽度 = 技能伤害宽度</v>
      </c>
    </row>
    <row r="9">
      <c r="A9" s="23"/>
      <c r="B9" s="23"/>
      <c r="C9" s="22"/>
      <c r="D9" s="22" t="str">
        <v>箭头长度 = 预设的最小距离</v>
      </c>
      <c r="E9" s="22" t="str">
        <v>箭头长度 = 随时间变长</v>
      </c>
      <c r="F9" s="22" t="str">
        <v>箭头长度 = 技能伤害距离</v>
      </c>
    </row>
    <row customHeight="true" ht="132" r="10">
      <c r="A10" s="23"/>
      <c r="B10" s="23"/>
      <c r="C10" s="22"/>
      <c r="D10" s="24"/>
      <c r="E10" s="24"/>
      <c r="F10" s="24"/>
    </row>
    <row r="11">
      <c r="A11" s="23" t="str">
        <v>定向</v>
      </c>
      <c r="B11" s="23" t="str">
        <v>蓄力；影响释放，蓄力时长不达标会取消</v>
      </c>
      <c r="C11" s="22" t="str">
        <v>玩家：居合斩</v>
      </c>
      <c r="D11" s="22" t="str">
        <v>展示长度被压缩的VFX，和上一种类似，但VFX褪色</v>
      </c>
      <c r="E11" s="22" t="str">
        <v>箭头逐渐变长</v>
      </c>
      <c r="F11" s="22" t="str">
        <v>展示完整的VFX，并且VFX恢复成正常颜色</v>
      </c>
    </row>
    <row r="12">
      <c r="A12" s="23"/>
      <c r="B12" s="22"/>
      <c r="C12" s="22"/>
      <c r="D12" s="22" t="str">
        <v>箭头宽度 = 技能伤害宽度</v>
      </c>
      <c r="E12" s="22" t="str">
        <v>箭头宽度 = 技能伤害宽度</v>
      </c>
      <c r="F12" s="22" t="str">
        <v>箭头宽度 = 技能伤害宽度</v>
      </c>
    </row>
    <row r="13">
      <c r="A13" s="23"/>
      <c r="B13" s="23"/>
      <c r="C13" s="22"/>
      <c r="D13" s="22" t="str">
        <v>箭头长度 = 预设的最小距离</v>
      </c>
      <c r="E13" s="22" t="str">
        <v>箭头长度 = 随时间变长</v>
      </c>
      <c r="F13" s="22" t="str">
        <v>箭头长度 = 技能伤害距离</v>
      </c>
    </row>
    <row customHeight="true" ht="19" r="14">
      <c r="A14" s="23"/>
      <c r="B14" s="22"/>
      <c r="C14" s="22"/>
      <c r="D14" s="22"/>
      <c r="E14" s="22"/>
      <c r="F14" s="22"/>
    </row>
    <row r="15">
      <c r="A15" s="23" t="str">
        <v>定向</v>
      </c>
      <c r="B15" s="22" t="str">
        <v>蓄力；影响伤害</v>
      </c>
      <c r="C15" s="22" t="str">
        <v>玩家：暂无</v>
      </c>
      <c r="D15" s="22" t="str">
        <v>展示完整的VFX，但VFX褪色</v>
      </c>
      <c r="E15" s="22" t="str">
        <v>一条颜色加深的VFX逐渐变长</v>
      </c>
      <c r="F15" s="22" t="str">
        <v>展示完整的VFX</v>
      </c>
    </row>
    <row r="16">
      <c r="A16" s="23"/>
      <c r="B16" s="22" t="str">
        <v>瞬发；有明显抬手，用于提示抬手时长</v>
      </c>
      <c r="C16" s="22" t="str">
        <v>敌人：冲刺拳击</v>
      </c>
      <c r="D16" s="22" t="str">
        <v>箭头宽度 = 技能伤害宽度</v>
      </c>
      <c r="E16" s="22" t="str">
        <v>箭头宽度 = 技能伤害宽度</v>
      </c>
      <c r="F16" s="22" t="str">
        <v>箭头宽度 = 技能伤害宽度</v>
      </c>
    </row>
    <row r="17">
      <c r="A17" s="22"/>
      <c r="B17" s="22" t="str">
        <v>敌人的定向技能前摇提示</v>
      </c>
      <c r="C17" s="22"/>
      <c r="D17" s="22" t="str">
        <v>箭头长度 = 技能伤害距离</v>
      </c>
      <c r="E17" s="22" t="str">
        <v>箭头长度 = 技能伤害距离</v>
      </c>
      <c r="F17" s="22" t="str">
        <v>箭头长度 = 技能伤害距离</v>
      </c>
    </row>
    <row r="18">
      <c r="A18" s="22"/>
      <c r="B18" s="22"/>
      <c r="C18" s="22"/>
      <c r="D18" s="22"/>
      <c r="E18" s="22"/>
      <c r="F18" s="22"/>
    </row>
    <row r="19">
      <c r="A19" s="22" t="str">
        <v>定点</v>
      </c>
      <c r="B19" t="str">
        <v>瞬发；没有抬手</v>
      </c>
      <c r="C19" s="22" t="str">
        <v>玩家：暂无</v>
      </c>
      <c r="D19" s="22" t="str">
        <v>无，瞬发技能不播放瞄准VFX</v>
      </c>
      <c r="E19" s="22" t="str">
        <v>无</v>
      </c>
      <c r="F19" s="22" t="str">
        <v>无</v>
      </c>
    </row>
    <row r="20">
      <c r="A20" s="22"/>
      <c r="B20" s="22"/>
      <c r="C20" s="22"/>
      <c r="D20" s="22"/>
      <c r="E20" s="22"/>
      <c r="F20" s="22"/>
    </row>
    <row r="21">
      <c r="A21" s="22"/>
      <c r="B21" s="22"/>
      <c r="C21" s="22"/>
      <c r="D21" s="22"/>
      <c r="E21" s="22"/>
      <c r="F21" s="22"/>
    </row>
    <row r="22">
      <c r="A22" s="22"/>
      <c r="B22" s="22"/>
      <c r="C22" s="22"/>
      <c r="D22" s="22"/>
      <c r="E22" s="22"/>
      <c r="F22" s="22"/>
    </row>
    <row r="23">
      <c r="A23" s="22"/>
      <c r="B23" s="22"/>
      <c r="C23" s="22"/>
      <c r="D23" s="22"/>
      <c r="E23" s="22"/>
      <c r="F23" s="22"/>
    </row>
    <row r="24">
      <c r="A24" s="22"/>
      <c r="B24" s="22"/>
      <c r="C24" s="22"/>
      <c r="D24" s="22"/>
      <c r="E24" s="22"/>
      <c r="F24" s="22"/>
    </row>
    <row r="25">
      <c r="A25" s="22"/>
      <c r="B25" s="22"/>
      <c r="C25" s="22"/>
      <c r="D25" s="22"/>
      <c r="E25" s="22"/>
      <c r="F25" s="22"/>
    </row>
    <row r="26">
      <c r="A26" s="22"/>
      <c r="B26" s="22"/>
      <c r="C26" s="22"/>
      <c r="D26" s="22"/>
      <c r="E26" s="22"/>
      <c r="F26" s="22"/>
    </row>
    <row r="27">
      <c r="A27" s="22"/>
      <c r="B27" s="22"/>
      <c r="C27" s="22"/>
      <c r="D27" s="22"/>
      <c r="E27" s="22"/>
      <c r="F27" s="22"/>
    </row>
    <row r="28">
      <c r="A28" s="22"/>
      <c r="B28" s="22"/>
      <c r="C28" s="22"/>
      <c r="D28" s="22"/>
      <c r="E28" s="22"/>
      <c r="F28" s="22"/>
    </row>
    <row r="29">
      <c r="A29" s="22"/>
      <c r="B29" s="22"/>
      <c r="C29" s="22"/>
      <c r="D29" s="22"/>
      <c r="E29" s="22"/>
      <c r="F29" s="22"/>
    </row>
    <row r="30">
      <c r="A30" s="22"/>
      <c r="B30" s="22"/>
      <c r="C30" s="22"/>
      <c r="D30" s="22"/>
      <c r="E30" s="22"/>
      <c r="F30" s="22"/>
    </row>
    <row r="31">
      <c r="A31" s="22"/>
      <c r="B31" s="22"/>
      <c r="C31" s="22"/>
      <c r="D31" s="22"/>
      <c r="E31" s="22"/>
      <c r="F31" s="22"/>
    </row>
    <row r="32">
      <c r="A32" s="22"/>
      <c r="B32" s="22"/>
      <c r="C32" s="22"/>
      <c r="D32" s="22"/>
      <c r="E32" s="22"/>
      <c r="F32" s="22"/>
    </row>
    <row r="33">
      <c r="A33" s="22"/>
      <c r="B33" s="22"/>
      <c r="C33" s="22"/>
      <c r="D33" s="22"/>
      <c r="E33" s="22"/>
      <c r="F33" s="22"/>
    </row>
    <row r="34">
      <c r="A34" s="22"/>
      <c r="B34" s="22"/>
      <c r="C34" s="22"/>
      <c r="D34" s="22"/>
      <c r="E34" s="22"/>
      <c r="F34" s="22"/>
    </row>
    <row r="35">
      <c r="A35" s="22"/>
      <c r="B35" s="22"/>
      <c r="C35" s="22"/>
      <c r="D35" s="22"/>
      <c r="E35" s="22"/>
      <c r="F35" s="22"/>
    </row>
    <row r="36">
      <c r="A36" s="22"/>
      <c r="B36" s="22"/>
      <c r="C36" s="22"/>
      <c r="D36" s="22"/>
      <c r="E36" s="22"/>
      <c r="F36" s="22"/>
    </row>
    <row r="37">
      <c r="A37" s="22"/>
      <c r="B37" s="22"/>
      <c r="C37" s="22"/>
      <c r="D37" s="22"/>
      <c r="E37" s="22"/>
      <c r="F37" s="22"/>
    </row>
    <row r="38">
      <c r="A38" s="22"/>
      <c r="B38" s="22"/>
      <c r="C38" s="22"/>
      <c r="D38" s="22"/>
      <c r="E38" s="22"/>
      <c r="F38" s="22"/>
    </row>
    <row r="39">
      <c r="A39" s="22"/>
      <c r="B39" s="22"/>
      <c r="C39" s="22"/>
      <c r="D39" s="22"/>
      <c r="E39" s="22"/>
      <c r="F39" s="22"/>
    </row>
    <row r="40">
      <c r="A40" s="22"/>
      <c r="B40" s="22"/>
      <c r="C40" s="22"/>
      <c r="D40" s="22"/>
      <c r="E40" s="22"/>
      <c r="F40" s="22"/>
    </row>
    <row r="41">
      <c r="A41" s="22"/>
      <c r="B41" s="22"/>
      <c r="C41" s="22"/>
      <c r="D41" s="22"/>
      <c r="E41" s="22"/>
      <c r="F41" s="22"/>
    </row>
    <row r="42">
      <c r="A42" s="22"/>
      <c r="B42" s="22"/>
      <c r="C42" s="22"/>
      <c r="D42" s="22"/>
      <c r="E42" s="22"/>
      <c r="F42" s="22"/>
    </row>
    <row r="43">
      <c r="A43" s="22"/>
      <c r="B43" s="22"/>
      <c r="C43" s="22"/>
      <c r="D43" s="22"/>
      <c r="E43" s="22"/>
      <c r="F43" s="22"/>
    </row>
    <row r="44">
      <c r="A44" s="22"/>
      <c r="B44" s="22"/>
      <c r="C44" s="22"/>
      <c r="D44" s="22"/>
      <c r="E44" s="22"/>
      <c r="F44" s="22"/>
    </row>
    <row r="45">
      <c r="A45" s="22"/>
      <c r="B45" s="22"/>
      <c r="C45" s="22"/>
      <c r="D45" s="22"/>
      <c r="E45" s="22"/>
      <c r="F45" s="22"/>
    </row>
    <row r="46">
      <c r="A46" s="22"/>
      <c r="B46" s="22"/>
      <c r="C46" s="22"/>
      <c r="D46" s="22"/>
      <c r="E46" s="22"/>
      <c r="F46" s="22"/>
    </row>
    <row r="47">
      <c r="A47" s="22"/>
      <c r="B47" s="22"/>
      <c r="C47" s="22"/>
      <c r="D47" s="22"/>
      <c r="E47" s="22"/>
      <c r="F47" s="22"/>
    </row>
    <row r="48">
      <c r="A48" s="22"/>
      <c r="B48" s="22"/>
      <c r="C48" s="22"/>
      <c r="D48" s="22"/>
      <c r="E48" s="22"/>
      <c r="F48" s="22"/>
    </row>
    <row r="49">
      <c r="A49" s="22"/>
      <c r="B49" s="22"/>
      <c r="C49" s="22"/>
      <c r="D49" s="22"/>
      <c r="E49" s="22"/>
      <c r="F49" s="22"/>
    </row>
    <row r="50">
      <c r="A50" s="22"/>
      <c r="B50" s="22"/>
      <c r="C50" s="22"/>
      <c r="D50" s="22"/>
      <c r="E50" s="22"/>
      <c r="F50" s="22"/>
    </row>
    <row r="51">
      <c r="A51" s="22"/>
      <c r="B51" s="22"/>
      <c r="C51" s="22"/>
      <c r="D51" s="22"/>
      <c r="E51" s="22"/>
      <c r="F51" s="22"/>
    </row>
    <row r="52">
      <c r="A52" s="22"/>
      <c r="B52" s="22"/>
      <c r="C52" s="22"/>
      <c r="D52" s="22"/>
      <c r="E52" s="22"/>
      <c r="F52" s="22"/>
    </row>
    <row r="53">
      <c r="A53" s="22"/>
      <c r="B53" s="22"/>
      <c r="C53" s="22"/>
      <c r="D53" s="22"/>
      <c r="E53" s="22"/>
      <c r="F53" s="22"/>
    </row>
    <row r="54">
      <c r="A54" s="22"/>
      <c r="B54" s="22"/>
      <c r="C54" s="22"/>
      <c r="D54" s="22"/>
      <c r="E54" s="22"/>
      <c r="F54" s="22"/>
    </row>
    <row r="55">
      <c r="A55" s="22"/>
      <c r="B55" s="22"/>
      <c r="C55" s="22"/>
      <c r="D55" s="22"/>
      <c r="E55" s="22"/>
      <c r="F55" s="22"/>
    </row>
    <row r="56">
      <c r="A56" s="22"/>
      <c r="B56" s="22"/>
      <c r="C56" s="22"/>
      <c r="D56" s="22"/>
      <c r="E56" s="22"/>
      <c r="F56" s="22"/>
    </row>
    <row r="57">
      <c r="A57" s="22"/>
      <c r="B57" s="22"/>
      <c r="C57" s="22"/>
      <c r="D57" s="22"/>
      <c r="E57" s="22"/>
      <c r="F57" s="22"/>
    </row>
    <row r="58">
      <c r="A58" s="22"/>
      <c r="B58" s="22"/>
      <c r="C58" s="22"/>
      <c r="D58" s="22"/>
      <c r="E58" s="22"/>
      <c r="F58" s="22"/>
    </row>
    <row r="59">
      <c r="A59" s="22"/>
      <c r="B59" s="22"/>
      <c r="C59" s="22"/>
      <c r="D59" s="22"/>
      <c r="E59" s="22"/>
      <c r="F59" s="22"/>
    </row>
    <row r="60">
      <c r="A60" s="22"/>
      <c r="B60" s="22"/>
      <c r="C60" s="22"/>
      <c r="D60" s="22"/>
      <c r="E60" s="22"/>
      <c r="F60" s="22"/>
    </row>
    <row r="61">
      <c r="A61" s="22"/>
      <c r="B61" s="22"/>
      <c r="C61" s="22"/>
      <c r="D61" s="22"/>
      <c r="E61" s="22"/>
      <c r="F61" s="22"/>
    </row>
    <row r="62">
      <c r="A62" s="22"/>
      <c r="B62" s="22"/>
      <c r="C62" s="22"/>
      <c r="D62" s="22"/>
      <c r="E62" s="22"/>
      <c r="F62" s="22"/>
    </row>
    <row r="63">
      <c r="A63" s="22"/>
      <c r="B63" s="22"/>
      <c r="C63" s="22"/>
      <c r="D63" s="22"/>
      <c r="E63" s="22"/>
      <c r="F63" s="22"/>
    </row>
    <row r="64">
      <c r="A64" s="23"/>
      <c r="B64" s="23"/>
      <c r="C64" s="23"/>
      <c r="D64" s="23"/>
      <c r="E64" s="23"/>
      <c r="F64" s="23"/>
    </row>
    <row r="65">
      <c r="A65" s="23"/>
      <c r="B65" s="23"/>
      <c r="C65" s="23"/>
      <c r="D65" s="23"/>
      <c r="E65" s="23"/>
      <c r="F65" s="23"/>
    </row>
    <row r="66">
      <c r="A66" s="23"/>
      <c r="B66" s="23"/>
      <c r="C66" s="23"/>
      <c r="D66" s="23"/>
      <c r="E66" s="23"/>
      <c r="F66" s="23"/>
    </row>
    <row r="67">
      <c r="A67" s="23"/>
      <c r="B67" s="23"/>
      <c r="C67" s="23"/>
      <c r="D67" s="23"/>
      <c r="E67" s="23"/>
      <c r="F67" s="23"/>
    </row>
    <row r="68">
      <c r="A68" s="23"/>
      <c r="B68" s="23"/>
      <c r="C68" s="23"/>
      <c r="D68" s="23"/>
      <c r="E68" s="23"/>
      <c r="F68" s="23"/>
    </row>
    <row r="69">
      <c r="A69" s="23"/>
      <c r="B69" s="23"/>
      <c r="C69" s="23"/>
      <c r="D69" s="23"/>
      <c r="E69" s="23"/>
      <c r="F69" s="23"/>
    </row>
    <row r="70">
      <c r="A70" s="23"/>
      <c r="B70" s="23"/>
      <c r="C70" s="23"/>
      <c r="D70" s="23"/>
      <c r="E70" s="23"/>
      <c r="F70" s="23"/>
    </row>
    <row r="71">
      <c r="A71" s="23"/>
      <c r="B71" s="23"/>
      <c r="C71" s="23"/>
      <c r="D71" s="23"/>
      <c r="E71" s="23"/>
      <c r="F71" s="23"/>
    </row>
    <row r="72">
      <c r="A72" s="23"/>
      <c r="B72" s="23"/>
      <c r="C72" s="23"/>
      <c r="D72" s="23"/>
      <c r="E72" s="23"/>
      <c r="F72" s="23"/>
    </row>
    <row r="73">
      <c r="A73" s="23"/>
      <c r="B73" s="23"/>
      <c r="C73" s="23"/>
      <c r="D73" s="23"/>
      <c r="E73" s="23"/>
      <c r="F73" s="23"/>
    </row>
    <row r="74">
      <c r="A74" s="23"/>
      <c r="B74" s="23"/>
      <c r="C74" s="23"/>
      <c r="D74" s="23"/>
      <c r="E74" s="23"/>
      <c r="F74" s="23"/>
    </row>
    <row r="75">
      <c r="A75" s="23"/>
      <c r="B75" s="23"/>
      <c r="C75" s="23"/>
      <c r="D75" s="23"/>
      <c r="E75" s="23"/>
      <c r="F75" s="23"/>
    </row>
    <row r="76">
      <c r="A76" s="23"/>
      <c r="B76" s="23"/>
      <c r="C76" s="23"/>
      <c r="D76" s="23"/>
      <c r="E76" s="23"/>
      <c r="F76" s="23"/>
    </row>
    <row r="77">
      <c r="A77" s="23"/>
      <c r="B77" s="23"/>
      <c r="C77" s="23"/>
      <c r="D77" s="23"/>
      <c r="E77" s="23"/>
      <c r="F77" s="23"/>
    </row>
    <row r="78">
      <c r="A78" s="23"/>
      <c r="B78" s="23"/>
      <c r="C78" s="23"/>
      <c r="D78" s="23"/>
      <c r="E78" s="23"/>
      <c r="F78" s="23"/>
    </row>
    <row r="79">
      <c r="A79" s="23"/>
      <c r="B79" s="23"/>
      <c r="C79" s="23"/>
      <c r="D79" s="23"/>
      <c r="E79" s="23"/>
      <c r="F79" s="23"/>
    </row>
    <row r="80">
      <c r="A80" s="23"/>
      <c r="B80" s="23"/>
      <c r="C80" s="23"/>
      <c r="D80" s="23"/>
      <c r="E80" s="23"/>
      <c r="F80" s="23"/>
    </row>
    <row r="81">
      <c r="A81" s="23"/>
      <c r="B81" s="23"/>
      <c r="C81" s="23"/>
      <c r="D81" s="23"/>
      <c r="E81" s="23"/>
      <c r="F81" s="23"/>
    </row>
    <row r="82">
      <c r="A82" s="23"/>
      <c r="B82" s="23"/>
      <c r="C82" s="23"/>
      <c r="D82" s="23"/>
      <c r="E82" s="23"/>
      <c r="F82" s="23"/>
    </row>
    <row r="83">
      <c r="A83" s="23"/>
      <c r="B83" s="23"/>
      <c r="C83" s="23"/>
      <c r="D83" s="23"/>
      <c r="E83" s="23"/>
      <c r="F83" s="23"/>
    </row>
    <row r="84">
      <c r="A84" s="23"/>
      <c r="B84" s="23"/>
      <c r="C84" s="23"/>
      <c r="D84" s="23"/>
      <c r="E84" s="23"/>
      <c r="F84" s="23"/>
    </row>
    <row r="85">
      <c r="A85" s="23"/>
      <c r="B85" s="23"/>
      <c r="C85" s="23"/>
      <c r="D85" s="23"/>
      <c r="E85" s="23"/>
      <c r="F85" s="23"/>
    </row>
    <row r="86">
      <c r="A86" s="23"/>
      <c r="B86" s="23"/>
      <c r="C86" s="23"/>
      <c r="D86" s="23"/>
      <c r="E86" s="23"/>
      <c r="F86" s="23"/>
    </row>
    <row r="87">
      <c r="A87" s="23"/>
      <c r="B87" s="23"/>
      <c r="C87" s="23"/>
      <c r="D87" s="23"/>
      <c r="E87" s="23"/>
      <c r="F87" s="23"/>
    </row>
    <row r="88">
      <c r="A88" s="23"/>
      <c r="B88" s="23"/>
      <c r="C88" s="23"/>
      <c r="D88" s="23"/>
      <c r="E88" s="23"/>
      <c r="F88" s="23"/>
    </row>
    <row r="89">
      <c r="A89" s="23"/>
      <c r="B89" s="23"/>
      <c r="C89" s="23"/>
      <c r="D89" s="23"/>
      <c r="E89" s="23"/>
      <c r="F89" s="23"/>
    </row>
    <row r="90">
      <c r="A90" s="23"/>
      <c r="B90" s="23"/>
      <c r="C90" s="23"/>
      <c r="D90" s="23"/>
      <c r="E90" s="23"/>
      <c r="F90" s="23"/>
    </row>
    <row r="91">
      <c r="A91" s="23"/>
      <c r="B91" s="23"/>
      <c r="C91" s="23"/>
      <c r="D91" s="23"/>
      <c r="E91" s="23"/>
      <c r="F91" s="23"/>
    </row>
    <row r="92">
      <c r="A92" s="23"/>
      <c r="B92" s="23"/>
      <c r="C92" s="23"/>
      <c r="D92" s="23"/>
      <c r="E92" s="23"/>
      <c r="F92" s="23"/>
    </row>
    <row r="93">
      <c r="A93" s="23"/>
      <c r="B93" s="23"/>
      <c r="C93" s="23"/>
      <c r="D93" s="23"/>
      <c r="E93" s="23"/>
      <c r="F93" s="23"/>
    </row>
    <row r="94">
      <c r="A94" s="23"/>
      <c r="B94" s="23"/>
      <c r="C94" s="23"/>
      <c r="D94" s="23"/>
      <c r="E94" s="23"/>
      <c r="F94" s="23"/>
    </row>
    <row r="95">
      <c r="A95" s="23"/>
      <c r="B95" s="23"/>
      <c r="C95" s="23"/>
      <c r="D95" s="23"/>
      <c r="E95" s="23"/>
      <c r="F95" s="23"/>
    </row>
    <row r="96">
      <c r="A96" s="23"/>
      <c r="B96" s="23"/>
      <c r="C96" s="23"/>
      <c r="D96" s="23"/>
      <c r="E96" s="23"/>
      <c r="F96" s="23"/>
    </row>
    <row r="97">
      <c r="A97" s="23"/>
      <c r="B97" s="23"/>
      <c r="C97" s="23"/>
      <c r="D97" s="23"/>
      <c r="E97" s="23"/>
      <c r="F97" s="23"/>
    </row>
    <row r="98">
      <c r="A98" s="23"/>
      <c r="B98" s="23"/>
      <c r="C98" s="23"/>
      <c r="D98" s="23"/>
      <c r="E98" s="23"/>
      <c r="F98" s="23"/>
    </row>
    <row r="99">
      <c r="A99" s="23"/>
      <c r="B99" s="23"/>
      <c r="C99" s="23"/>
      <c r="D99" s="23"/>
      <c r="E99" s="23"/>
      <c r="F99" s="23"/>
    </row>
    <row r="100">
      <c r="A100" s="23"/>
      <c r="B100" s="23"/>
      <c r="C100" s="23"/>
      <c r="D100" s="23"/>
      <c r="E100" s="23"/>
      <c r="F100" s="23"/>
    </row>
    <row r="101">
      <c r="A101" s="23"/>
      <c r="B101" s="23"/>
      <c r="C101" s="23"/>
      <c r="D101" s="23"/>
      <c r="E101" s="23"/>
      <c r="F101" s="23"/>
    </row>
    <row r="102">
      <c r="A102" s="23"/>
      <c r="B102" s="23"/>
      <c r="C102" s="23"/>
      <c r="D102" s="23"/>
      <c r="E102" s="23"/>
      <c r="F102" s="23"/>
    </row>
    <row r="103">
      <c r="A103" s="23"/>
      <c r="B103" s="23"/>
      <c r="C103" s="23"/>
      <c r="D103" s="23"/>
      <c r="E103" s="23"/>
      <c r="F103" s="23"/>
    </row>
    <row r="104">
      <c r="A104" s="23"/>
      <c r="B104" s="23"/>
      <c r="C104" s="23"/>
      <c r="D104" s="23"/>
      <c r="E104" s="23"/>
      <c r="F104" s="23"/>
    </row>
    <row r="105">
      <c r="A105" s="23"/>
      <c r="B105" s="23"/>
      <c r="C105" s="23"/>
      <c r="D105" s="23"/>
      <c r="E105" s="23"/>
      <c r="F105" s="23"/>
    </row>
    <row r="106">
      <c r="A106" s="23"/>
      <c r="B106" s="23"/>
      <c r="C106" s="23"/>
      <c r="D106" s="23"/>
      <c r="E106" s="23"/>
      <c r="F106" s="23"/>
    </row>
    <row r="107">
      <c r="A107" s="23"/>
      <c r="B107" s="23"/>
      <c r="C107" s="23"/>
      <c r="D107" s="23"/>
      <c r="E107" s="23"/>
      <c r="F107" s="23"/>
    </row>
    <row r="108">
      <c r="A108" s="23"/>
      <c r="B108" s="23"/>
      <c r="C108" s="23"/>
      <c r="D108" s="23"/>
      <c r="E108" s="23"/>
      <c r="F108" s="23"/>
    </row>
    <row r="109">
      <c r="A109" s="23"/>
      <c r="B109" s="23"/>
      <c r="C109" s="23"/>
      <c r="D109" s="23"/>
      <c r="E109" s="23"/>
      <c r="F109" s="23"/>
    </row>
    <row r="110">
      <c r="A110" s="23"/>
      <c r="B110" s="23"/>
      <c r="C110" s="23"/>
      <c r="D110" s="23"/>
      <c r="E110" s="23"/>
      <c r="F110" s="23"/>
    </row>
    <row r="111">
      <c r="A111" s="23"/>
      <c r="B111" s="23"/>
      <c r="C111" s="23"/>
      <c r="D111" s="23"/>
      <c r="E111" s="23"/>
      <c r="F111" s="23"/>
    </row>
    <row r="112">
      <c r="A112" s="23"/>
      <c r="B112" s="23"/>
      <c r="C112" s="23"/>
      <c r="D112" s="23"/>
      <c r="E112" s="23"/>
      <c r="F112" s="23"/>
    </row>
    <row r="113">
      <c r="A113" s="23"/>
      <c r="B113" s="23"/>
      <c r="C113" s="23"/>
      <c r="D113" s="23"/>
      <c r="E113" s="23"/>
      <c r="F113" s="23"/>
    </row>
    <row r="114">
      <c r="A114" s="23"/>
      <c r="B114" s="23"/>
      <c r="C114" s="23"/>
      <c r="D114" s="23"/>
      <c r="E114" s="23"/>
      <c r="F114" s="23"/>
    </row>
    <row r="115">
      <c r="A115" s="23"/>
      <c r="B115" s="23"/>
      <c r="C115" s="23"/>
      <c r="D115" s="23"/>
      <c r="E115" s="23"/>
      <c r="F115" s="23"/>
    </row>
    <row r="116">
      <c r="A116" s="23"/>
      <c r="B116" s="23"/>
      <c r="C116" s="23"/>
      <c r="D116" s="23"/>
      <c r="E116" s="23"/>
      <c r="F116" s="23"/>
    </row>
    <row r="117">
      <c r="A117" s="23"/>
      <c r="B117" s="23"/>
      <c r="C117" s="23"/>
      <c r="D117" s="23"/>
      <c r="E117" s="23"/>
      <c r="F117" s="23"/>
    </row>
    <row r="118">
      <c r="A118" s="23"/>
      <c r="B118" s="23"/>
      <c r="C118" s="23"/>
      <c r="D118" s="23"/>
      <c r="E118" s="23"/>
      <c r="F118" s="23"/>
    </row>
    <row r="119">
      <c r="A119" s="23"/>
      <c r="B119" s="23"/>
      <c r="C119" s="23"/>
      <c r="D119" s="23"/>
      <c r="E119" s="23"/>
      <c r="F119" s="23"/>
    </row>
    <row r="120">
      <c r="A120" s="23"/>
      <c r="B120" s="23"/>
      <c r="C120" s="23"/>
      <c r="D120" s="23"/>
      <c r="E120" s="23"/>
      <c r="F120" s="23"/>
    </row>
    <row r="121">
      <c r="A121" s="23"/>
      <c r="B121" s="23"/>
      <c r="C121" s="23"/>
      <c r="D121" s="23"/>
      <c r="E121" s="23"/>
      <c r="F121" s="23"/>
    </row>
    <row r="122">
      <c r="A122" s="23"/>
      <c r="B122" s="23"/>
      <c r="C122" s="23"/>
      <c r="D122" s="23"/>
      <c r="E122" s="23"/>
      <c r="F122" s="23"/>
    </row>
    <row r="123">
      <c r="A123" s="23"/>
      <c r="B123" s="23"/>
      <c r="C123" s="23"/>
      <c r="D123" s="23"/>
      <c r="E123" s="23"/>
      <c r="F123" s="23"/>
    </row>
    <row r="124">
      <c r="A124" s="23"/>
      <c r="B124" s="23"/>
      <c r="C124" s="23"/>
      <c r="D124" s="23"/>
      <c r="E124" s="23"/>
      <c r="F124" s="23"/>
    </row>
    <row r="125">
      <c r="A125" s="23"/>
      <c r="B125" s="23"/>
      <c r="C125" s="23"/>
      <c r="D125" s="23"/>
      <c r="E125" s="23"/>
      <c r="F125" s="23"/>
    </row>
    <row r="126">
      <c r="A126" s="23"/>
      <c r="B126" s="23"/>
      <c r="C126" s="23"/>
      <c r="D126" s="23"/>
      <c r="E126" s="23"/>
      <c r="F126" s="23"/>
    </row>
    <row r="127">
      <c r="A127" s="23"/>
      <c r="B127" s="23"/>
      <c r="C127" s="23"/>
      <c r="D127" s="23"/>
      <c r="E127" s="23"/>
      <c r="F127" s="23"/>
    </row>
    <row r="128">
      <c r="A128" s="23"/>
      <c r="B128" s="23"/>
      <c r="C128" s="23"/>
      <c r="D128" s="23"/>
      <c r="E128" s="23"/>
      <c r="F128" s="23"/>
    </row>
    <row r="129">
      <c r="A129" s="23"/>
      <c r="B129" s="23"/>
      <c r="C129" s="23"/>
      <c r="D129" s="23"/>
      <c r="E129" s="23"/>
      <c r="F129" s="23"/>
    </row>
    <row r="130">
      <c r="A130" s="23"/>
      <c r="B130" s="23"/>
      <c r="C130" s="23"/>
      <c r="D130" s="23"/>
      <c r="E130" s="23"/>
      <c r="F130" s="23"/>
    </row>
    <row r="131">
      <c r="A131" s="23"/>
      <c r="B131" s="23"/>
      <c r="C131" s="23"/>
      <c r="D131" s="23"/>
      <c r="E131" s="23"/>
      <c r="F131" s="23"/>
    </row>
    <row r="132">
      <c r="A132" s="23"/>
      <c r="B132" s="23"/>
      <c r="C132" s="23"/>
      <c r="D132" s="23"/>
      <c r="E132" s="23"/>
      <c r="F132" s="23"/>
    </row>
    <row r="133">
      <c r="A133" s="23"/>
      <c r="B133" s="23"/>
      <c r="C133" s="23"/>
      <c r="D133" s="23"/>
      <c r="E133" s="23"/>
      <c r="F133" s="23"/>
    </row>
    <row r="134">
      <c r="A134" s="23"/>
      <c r="B134" s="23"/>
      <c r="C134" s="23"/>
      <c r="D134" s="23"/>
      <c r="E134" s="23"/>
      <c r="F134" s="23"/>
    </row>
    <row r="135">
      <c r="A135" s="23"/>
      <c r="B135" s="23"/>
      <c r="C135" s="23"/>
      <c r="D135" s="23"/>
      <c r="E135" s="23"/>
      <c r="F135" s="23"/>
    </row>
    <row r="136">
      <c r="A136" s="23"/>
      <c r="B136" s="23"/>
      <c r="C136" s="23"/>
      <c r="D136" s="23"/>
      <c r="E136" s="23"/>
      <c r="F136" s="23"/>
    </row>
    <row r="137">
      <c r="A137" s="23"/>
      <c r="B137" s="23"/>
      <c r="C137" s="23"/>
      <c r="D137" s="23"/>
      <c r="E137" s="23"/>
      <c r="F137" s="23"/>
    </row>
    <row r="138">
      <c r="A138" s="23"/>
      <c r="B138" s="23"/>
      <c r="C138" s="23"/>
      <c r="D138" s="23"/>
      <c r="E138" s="23"/>
      <c r="F138" s="23"/>
    </row>
    <row r="139">
      <c r="A139" s="23"/>
      <c r="B139" s="23"/>
      <c r="C139" s="23"/>
      <c r="D139" s="23"/>
      <c r="E139" s="23"/>
      <c r="F139" s="23"/>
    </row>
    <row r="140">
      <c r="A140" s="23"/>
      <c r="B140" s="23"/>
      <c r="C140" s="23"/>
      <c r="D140" s="23"/>
      <c r="E140" s="23"/>
      <c r="F140" s="23"/>
    </row>
    <row r="141">
      <c r="A141" s="23"/>
      <c r="B141" s="23"/>
      <c r="C141" s="23"/>
      <c r="D141" s="23"/>
      <c r="E141" s="23"/>
      <c r="F141" s="23"/>
    </row>
    <row r="142">
      <c r="A142" s="23"/>
      <c r="B142" s="23"/>
      <c r="C142" s="23"/>
      <c r="D142" s="23"/>
      <c r="E142" s="23"/>
      <c r="F142" s="23"/>
    </row>
    <row r="143">
      <c r="A143" s="23"/>
      <c r="B143" s="23"/>
      <c r="C143" s="23"/>
      <c r="D143" s="23"/>
      <c r="E143" s="23"/>
      <c r="F143" s="23"/>
    </row>
    <row r="144">
      <c r="A144" s="23"/>
      <c r="B144" s="23"/>
      <c r="C144" s="23"/>
      <c r="D144" s="23"/>
      <c r="E144" s="23"/>
      <c r="F144" s="23"/>
    </row>
    <row r="145">
      <c r="A145" s="23"/>
      <c r="B145" s="23"/>
      <c r="C145" s="23"/>
      <c r="D145" s="23"/>
      <c r="E145" s="23"/>
      <c r="F145" s="23"/>
    </row>
    <row r="146">
      <c r="A146" s="23"/>
      <c r="B146" s="23"/>
      <c r="C146" s="23"/>
      <c r="D146" s="23"/>
      <c r="E146" s="23"/>
      <c r="F146" s="23"/>
    </row>
    <row r="147">
      <c r="A147" s="23"/>
      <c r="B147" s="23"/>
      <c r="C147" s="23"/>
      <c r="D147" s="23"/>
      <c r="E147" s="23"/>
      <c r="F147" s="23"/>
    </row>
    <row r="148">
      <c r="A148" s="23"/>
      <c r="B148" s="23"/>
      <c r="C148" s="23"/>
      <c r="D148" s="23"/>
      <c r="E148" s="23"/>
      <c r="F148" s="23"/>
    </row>
    <row r="149">
      <c r="A149" s="23"/>
      <c r="B149" s="23"/>
      <c r="C149" s="23"/>
      <c r="D149" s="23"/>
      <c r="E149" s="23"/>
      <c r="F149" s="23"/>
    </row>
    <row r="150">
      <c r="A150" s="23"/>
      <c r="B150" s="23"/>
      <c r="C150" s="23"/>
      <c r="D150" s="23"/>
      <c r="E150" s="23"/>
      <c r="F150" s="23"/>
    </row>
    <row r="151">
      <c r="A151" s="23"/>
      <c r="B151" s="23"/>
      <c r="C151" s="23"/>
      <c r="D151" s="23"/>
      <c r="E151" s="23"/>
      <c r="F151" s="23"/>
    </row>
    <row r="152">
      <c r="A152" s="23"/>
      <c r="B152" s="23"/>
      <c r="C152" s="23"/>
      <c r="D152" s="23"/>
      <c r="E152" s="23"/>
      <c r="F152" s="23"/>
    </row>
    <row r="153">
      <c r="A153" s="23"/>
      <c r="B153" s="23"/>
      <c r="C153" s="23"/>
      <c r="D153" s="23"/>
      <c r="E153" s="23"/>
      <c r="F153" s="23"/>
    </row>
    <row r="154">
      <c r="A154" s="23"/>
      <c r="B154" s="23"/>
      <c r="C154" s="23"/>
      <c r="D154" s="23"/>
      <c r="E154" s="23"/>
      <c r="F154" s="23"/>
    </row>
    <row r="155">
      <c r="A155" s="23"/>
      <c r="B155" s="23"/>
      <c r="C155" s="23"/>
      <c r="D155" s="23"/>
      <c r="E155" s="23"/>
      <c r="F155" s="23"/>
    </row>
    <row r="156">
      <c r="A156" s="23"/>
      <c r="B156" s="23"/>
      <c r="C156" s="23"/>
      <c r="D156" s="23"/>
      <c r="E156" s="23"/>
      <c r="F156" s="23"/>
    </row>
    <row r="157">
      <c r="A157" s="23"/>
      <c r="B157" s="23"/>
      <c r="C157" s="23"/>
      <c r="D157" s="23"/>
      <c r="E157" s="23"/>
      <c r="F157" s="23"/>
    </row>
    <row r="158">
      <c r="A158" s="23"/>
      <c r="B158" s="23"/>
      <c r="C158" s="23"/>
      <c r="D158" s="23"/>
      <c r="E158" s="23"/>
      <c r="F158" s="23"/>
    </row>
    <row r="159">
      <c r="A159" s="23"/>
      <c r="B159" s="23"/>
      <c r="C159" s="23"/>
      <c r="D159" s="23"/>
      <c r="E159" s="23"/>
      <c r="F159" s="23"/>
    </row>
    <row r="160">
      <c r="A160" s="23"/>
      <c r="B160" s="23"/>
      <c r="C160" s="23"/>
      <c r="D160" s="23"/>
      <c r="E160" s="23"/>
      <c r="F160" s="23"/>
    </row>
    <row r="161">
      <c r="A161" s="23"/>
      <c r="B161" s="23"/>
      <c r="C161" s="23"/>
      <c r="D161" s="23"/>
      <c r="E161" s="23"/>
      <c r="F161" s="23"/>
    </row>
    <row r="162">
      <c r="A162" s="23"/>
      <c r="B162" s="23"/>
      <c r="C162" s="23"/>
      <c r="D162" s="23"/>
      <c r="E162" s="23"/>
      <c r="F162" s="23"/>
    </row>
    <row r="163">
      <c r="A163" s="23"/>
      <c r="B163" s="23"/>
      <c r="C163" s="23"/>
      <c r="D163" s="23"/>
      <c r="E163" s="23"/>
      <c r="F163" s="23"/>
    </row>
    <row r="164">
      <c r="A164" s="23"/>
      <c r="B164" s="23"/>
      <c r="C164" s="23"/>
      <c r="D164" s="23"/>
      <c r="E164" s="23"/>
      <c r="F164" s="23"/>
    </row>
    <row r="165">
      <c r="A165" s="23"/>
      <c r="B165" s="23"/>
      <c r="C165" s="23"/>
      <c r="D165" s="23"/>
      <c r="E165" s="23"/>
      <c r="F165" s="23"/>
    </row>
    <row r="166">
      <c r="A166" s="23"/>
      <c r="B166" s="23"/>
      <c r="C166" s="23"/>
      <c r="D166" s="23"/>
      <c r="E166" s="23"/>
      <c r="F166" s="23"/>
    </row>
    <row r="167">
      <c r="A167" s="23"/>
      <c r="B167" s="23"/>
      <c r="C167" s="23"/>
      <c r="D167" s="23"/>
      <c r="E167" s="23"/>
      <c r="F167" s="23"/>
    </row>
    <row r="168">
      <c r="A168" s="23"/>
      <c r="B168" s="23"/>
      <c r="C168" s="23"/>
      <c r="D168" s="23"/>
      <c r="E168" s="23"/>
      <c r="F168" s="23"/>
    </row>
    <row r="169">
      <c r="A169" s="23"/>
      <c r="B169" s="23"/>
      <c r="C169" s="23"/>
      <c r="D169" s="23"/>
      <c r="E169" s="23"/>
      <c r="F169" s="23"/>
    </row>
    <row r="170">
      <c r="A170" s="23"/>
      <c r="B170" s="23"/>
      <c r="C170" s="23"/>
      <c r="D170" s="23"/>
      <c r="E170" s="23"/>
      <c r="F170" s="23"/>
    </row>
    <row r="171">
      <c r="A171" s="23"/>
      <c r="B171" s="23"/>
      <c r="C171" s="23"/>
      <c r="D171" s="23"/>
      <c r="E171" s="23"/>
      <c r="F171" s="23"/>
    </row>
    <row r="172">
      <c r="A172" s="23"/>
      <c r="B172" s="23"/>
      <c r="C172" s="23"/>
      <c r="D172" s="23"/>
      <c r="E172" s="23"/>
      <c r="F172" s="23"/>
    </row>
    <row r="173">
      <c r="A173" s="23"/>
      <c r="B173" s="23"/>
      <c r="C173" s="23"/>
      <c r="D173" s="23"/>
      <c r="E173" s="23"/>
      <c r="F173" s="23"/>
    </row>
    <row r="174">
      <c r="A174" s="23"/>
      <c r="B174" s="23"/>
      <c r="C174" s="23"/>
      <c r="D174" s="23"/>
      <c r="E174" s="23"/>
      <c r="F174" s="23"/>
    </row>
    <row r="175">
      <c r="A175" s="23"/>
      <c r="B175" s="23"/>
      <c r="C175" s="23"/>
      <c r="D175" s="23"/>
      <c r="E175" s="23"/>
      <c r="F175" s="23"/>
    </row>
    <row r="176">
      <c r="A176" s="23"/>
      <c r="B176" s="23"/>
      <c r="C176" s="23"/>
      <c r="D176" s="23"/>
      <c r="E176" s="23"/>
      <c r="F176" s="23"/>
    </row>
    <row r="177">
      <c r="A177" s="23"/>
      <c r="B177" s="23"/>
      <c r="C177" s="23"/>
      <c r="D177" s="23"/>
      <c r="E177" s="23"/>
      <c r="F177" s="23"/>
    </row>
    <row r="178">
      <c r="A178" s="23"/>
      <c r="B178" s="23"/>
      <c r="C178" s="23"/>
      <c r="D178" s="23"/>
      <c r="E178" s="23"/>
      <c r="F178" s="23"/>
    </row>
    <row r="179">
      <c r="A179" s="23"/>
      <c r="B179" s="23"/>
      <c r="C179" s="23"/>
      <c r="D179" s="23"/>
      <c r="E179" s="23"/>
      <c r="F179" s="23"/>
    </row>
    <row r="180">
      <c r="A180" s="23"/>
      <c r="B180" s="23"/>
      <c r="C180" s="23"/>
      <c r="D180" s="23"/>
      <c r="E180" s="23"/>
      <c r="F180" s="23"/>
    </row>
    <row r="181">
      <c r="A181" s="23"/>
      <c r="B181" s="23"/>
      <c r="C181" s="23"/>
      <c r="D181" s="23"/>
      <c r="E181" s="23"/>
      <c r="F181" s="23"/>
    </row>
    <row r="182">
      <c r="A182" s="23"/>
      <c r="B182" s="23"/>
      <c r="C182" s="23"/>
      <c r="D182" s="23"/>
      <c r="E182" s="23"/>
      <c r="F182" s="23"/>
    </row>
    <row r="183">
      <c r="A183" s="23"/>
      <c r="B183" s="23"/>
      <c r="C183" s="23"/>
      <c r="D183" s="23"/>
      <c r="E183" s="23"/>
      <c r="F183" s="23"/>
    </row>
    <row r="184">
      <c r="A184" s="23"/>
      <c r="B184" s="23"/>
      <c r="C184" s="23"/>
      <c r="D184" s="23"/>
      <c r="E184" s="23"/>
      <c r="F184" s="23"/>
    </row>
    <row r="185">
      <c r="A185" s="23"/>
      <c r="B185" s="23"/>
      <c r="C185" s="23"/>
      <c r="D185" s="23"/>
      <c r="E185" s="23"/>
      <c r="F185" s="23"/>
    </row>
    <row r="186">
      <c r="A186" s="23"/>
      <c r="B186" s="23"/>
      <c r="C186" s="23"/>
      <c r="D186" s="23"/>
      <c r="E186" s="23"/>
      <c r="F186" s="23"/>
    </row>
    <row r="187">
      <c r="A187" s="23"/>
      <c r="B187" s="23"/>
      <c r="C187" s="23"/>
      <c r="D187" s="23"/>
      <c r="E187" s="23"/>
      <c r="F187" s="23"/>
    </row>
    <row r="188">
      <c r="A188" s="23"/>
      <c r="B188" s="23"/>
      <c r="C188" s="23"/>
      <c r="D188" s="23"/>
      <c r="E188" s="23"/>
      <c r="F188" s="23"/>
    </row>
    <row r="189">
      <c r="A189" s="23"/>
      <c r="B189" s="23"/>
      <c r="C189" s="23"/>
      <c r="D189" s="23"/>
      <c r="E189" s="23"/>
      <c r="F189" s="23"/>
    </row>
    <row r="190">
      <c r="A190" s="23"/>
      <c r="B190" s="23"/>
      <c r="C190" s="23"/>
      <c r="D190" s="23"/>
      <c r="E190" s="23"/>
      <c r="F190" s="23"/>
    </row>
    <row r="191">
      <c r="A191" s="23"/>
      <c r="B191" s="23"/>
      <c r="C191" s="23"/>
      <c r="D191" s="23"/>
      <c r="E191" s="23"/>
      <c r="F191" s="23"/>
    </row>
    <row r="192">
      <c r="A192" s="23"/>
      <c r="B192" s="23"/>
      <c r="C192" s="23"/>
      <c r="D192" s="23"/>
      <c r="E192" s="23"/>
      <c r="F192" s="23"/>
    </row>
    <row r="193">
      <c r="A193" s="23"/>
      <c r="B193" s="23"/>
      <c r="C193" s="23"/>
      <c r="D193" s="23"/>
      <c r="E193" s="23"/>
      <c r="F193" s="23"/>
    </row>
    <row r="194">
      <c r="A194" s="23"/>
      <c r="B194" s="23"/>
      <c r="C194" s="23"/>
      <c r="D194" s="23"/>
      <c r="E194" s="23"/>
      <c r="F194" s="23"/>
    </row>
    <row r="195">
      <c r="A195" s="23"/>
      <c r="B195" s="23"/>
      <c r="C195" s="23"/>
      <c r="D195" s="23"/>
      <c r="E195" s="23"/>
      <c r="F195" s="23"/>
    </row>
    <row r="196">
      <c r="A196" s="23"/>
      <c r="B196" s="23"/>
      <c r="C196" s="23"/>
      <c r="D196" s="23"/>
      <c r="E196" s="23"/>
      <c r="F196" s="23"/>
    </row>
    <row r="197">
      <c r="A197" s="23"/>
      <c r="B197" s="23"/>
      <c r="C197" s="23"/>
      <c r="D197" s="23"/>
      <c r="E197" s="23"/>
      <c r="F197" s="23"/>
    </row>
    <row r="198">
      <c r="A198" s="23"/>
      <c r="B198" s="23"/>
      <c r="C198" s="23"/>
      <c r="D198" s="23"/>
      <c r="E198" s="23"/>
      <c r="F198" s="23"/>
    </row>
    <row r="199">
      <c r="A199" s="23"/>
      <c r="B199" s="23"/>
      <c r="C199" s="23"/>
      <c r="D199" s="23"/>
      <c r="E199" s="23"/>
      <c r="F199" s="23"/>
    </row>
    <row r="200">
      <c r="A200" s="23"/>
      <c r="B200" s="23"/>
      <c r="C200" s="23"/>
      <c r="D200" s="23"/>
      <c r="E200" s="23"/>
      <c r="F200" s="23"/>
    </row>
    <row r="201">
      <c r="A201" s="23"/>
      <c r="B201" s="23"/>
      <c r="C201" s="23"/>
      <c r="D201" s="23"/>
      <c r="E201" s="23"/>
      <c r="F201" s="23"/>
    </row>
    <row r="202">
      <c r="A202" s="23"/>
      <c r="B202" s="23"/>
      <c r="C202" s="23"/>
      <c r="D202" s="23"/>
      <c r="E202" s="23"/>
      <c r="F202" s="23"/>
    </row>
    <row r="203">
      <c r="A203" s="23"/>
      <c r="B203" s="23"/>
      <c r="C203" s="23"/>
      <c r="D203" s="23"/>
      <c r="E203" s="23"/>
      <c r="F203" s="23"/>
    </row>
  </sheetData>
  <hyperlinks>
    <hyperlink ref="B1" display="https://www.figma.com/board/XpRcYn51iokcAnq5kT85nf/%E8%B7%83%E5%85%A5%E8%BF%B7%E5%9F%8E---%E7%99%BD%E6%9D%BF?node-id=785-2206&amp;t=MIq0fZbAOAJhjy8i-4" r:id="rId2"/>
  </hyperlinks>
  <drawing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2" xSplit="3" ySplit="1"/>
    </sheetView>
  </sheetViews>
  <sheetFormatPr defaultColWidth="14" defaultRowHeight="19"/>
  <cols>
    <col collapsed="false" customWidth="true" hidden="false" max="1" min="1" style="0" width="28"/>
    <col collapsed="false" customWidth="true" hidden="false" max="2" min="2" style="0" width="28"/>
    <col collapsed="false" customWidth="true" hidden="false" max="3" min="3" style="0" width="21"/>
    <col collapsed="false" customWidth="true" hidden="false" max="4" min="4" style="0" width="8"/>
    <col collapsed="false" customWidth="true" hidden="false" max="5" min="5" style="0" width="12"/>
    <col collapsed="false" customWidth="true" hidden="false" max="6" min="6" style="0" width="14"/>
    <col collapsed="false" customWidth="true" hidden="false" max="7" min="7" style="0" width="12"/>
    <col collapsed="false" customWidth="true" hidden="false" max="8" min="8" style="0" width="12"/>
    <col collapsed="false" customWidth="true" hidden="false" max="9" min="9" style="0" width="8"/>
    <col collapsed="false" customWidth="true" hidden="false" max="10" min="10" style="0" width="10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</cols>
  <sheetData>
    <row r="1">
      <c r="A1" s="29" t="str">
        <v>Action Name</v>
      </c>
      <c r="B1" s="29" t="str">
        <v>SFX Name</v>
      </c>
      <c r="C1" s="29" t="str">
        <v>名称描述</v>
      </c>
      <c r="D1" s="29" t="str">
        <v>事件类型</v>
      </c>
      <c r="E1" s="29" t="str">
        <v>音效类型</v>
      </c>
      <c r="F1" s="29" t="str">
        <v>交互对象</v>
      </c>
      <c r="G1" s="29" t="str">
        <v>描述 1</v>
      </c>
      <c r="H1" s="29" t="str">
        <v>描述 2</v>
      </c>
      <c r="I1" s="29" t="str">
        <v>进度安排</v>
      </c>
      <c r="J1" s="30" t="str">
        <v>版本安排</v>
      </c>
      <c r="K1" s="29" t="str">
        <v>状态</v>
      </c>
      <c r="L1" s="29" t="str">
        <v>音效需求</v>
      </c>
      <c r="M1" s="29" t="str">
        <v>程序备注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6">
        <f>D2&amp;"_"&amp;B2</f>
      </c>
      <c r="B2" s="6">
        <f>E2 &amp; IF(F2&lt;&gt;"", "_" &amp; F2, "") &amp; IF(G2&lt;&gt;"", "_" &amp; G2, "") &amp; IF(H2&lt;&gt;"", "_" &amp; H2, "")</f>
      </c>
      <c r="C2" s="6" t="str">
        <v>电梯运行</v>
      </c>
      <c r="D2" s="6" t="str">
        <v>Play</v>
      </c>
      <c r="E2" s="6" t="str">
        <v>AMB</v>
      </c>
      <c r="F2" s="6" t="str">
        <v>Lift</v>
      </c>
      <c r="G2" s="6" t="str">
        <v>Loop</v>
      </c>
      <c r="H2" s="6"/>
      <c r="I2" s="25" t="str">
        <v>P2</v>
      </c>
      <c r="J2" s="26" t="str">
        <v>v0.0.5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customHeight="true" ht="19" r="3">
      <c r="A3" s="6">
        <f>D3&amp;"_"&amp;B3</f>
      </c>
      <c r="B3" s="6">
        <f>E3 &amp; IF(F3&lt;&gt;"", "_" &amp; F3, "") &amp; IF(G3&lt;&gt;"", "_" &amp; G3, "") &amp; IF(H3&lt;&gt;"", "_" &amp; H3, "")</f>
      </c>
      <c r="C3" s="6" t="str">
        <v>电梯运行</v>
      </c>
      <c r="D3" s="6" t="str">
        <v>Stop</v>
      </c>
      <c r="E3" s="6" t="str">
        <v>AMB</v>
      </c>
      <c r="F3" s="6" t="str">
        <v>Lift</v>
      </c>
      <c r="G3" s="6" t="str">
        <v>Loop</v>
      </c>
      <c r="H3" s="6"/>
      <c r="I3" s="25" t="str">
        <v>P2</v>
      </c>
      <c r="J3" s="26" t="str">
        <v>v0.0.5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>
        <f>D4&amp;"_"&amp;B4</f>
      </c>
      <c r="B4" s="6">
        <f>E4 &amp; IF(F4&lt;&gt;"", "_" &amp; F4, "") &amp; IF(G4&lt;&gt;"", "_" &amp; G4, "") &amp; IF(H4&lt;&gt;"", "_" &amp; H4, "")</f>
      </c>
      <c r="C4" s="6" t="str">
        <v>电梯启动</v>
      </c>
      <c r="D4" s="6" t="str">
        <v>Play</v>
      </c>
      <c r="E4" s="6" t="str">
        <v>AMB</v>
      </c>
      <c r="F4" s="6" t="str">
        <v>Lift</v>
      </c>
      <c r="G4" s="6" t="str">
        <v>Start</v>
      </c>
      <c r="H4" s="6"/>
      <c r="I4" s="25" t="str">
        <v>P1</v>
      </c>
      <c r="J4" s="26" t="str">
        <v>v0.0.5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>
        <f>D5&amp;"_"&amp;B5</f>
      </c>
      <c r="B5" s="6">
        <f>E5 &amp; IF(F5&lt;&gt;"", "_" &amp; F5, "") &amp; IF(G5&lt;&gt;"", "_" &amp; G5, "") &amp; IF(H5&lt;&gt;"", "_" &amp; H5, "")</f>
      </c>
      <c r="C5" s="6" t="str">
        <v>电梯停止</v>
      </c>
      <c r="D5" s="6" t="str">
        <v>Play</v>
      </c>
      <c r="E5" s="6" t="str">
        <v>AMB</v>
      </c>
      <c r="F5" s="6" t="str">
        <v>Lift</v>
      </c>
      <c r="G5" s="6" t="str">
        <v>Stop</v>
      </c>
      <c r="H5" s="6"/>
      <c r="I5" s="25" t="str">
        <v>P1</v>
      </c>
      <c r="J5" s="26" t="str">
        <v>v0.0.5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>
        <f>D6&amp;"_"&amp;B6</f>
      </c>
      <c r="B6" s="6">
        <f>E6 &amp; IF(F6&lt;&gt;"", "_" &amp; F6, "") &amp; IF(G6&lt;&gt;"", "_" &amp; G6, "") &amp; IF(H6&lt;&gt;"", "_" &amp; H6, "")</f>
      </c>
      <c r="C6" s="6" t="str">
        <v>电梯开门</v>
      </c>
      <c r="D6" s="6" t="str">
        <v>Play</v>
      </c>
      <c r="E6" s="6" t="str">
        <v>UI</v>
      </c>
      <c r="F6" s="6" t="str">
        <v>Lift</v>
      </c>
      <c r="G6" s="6" t="str">
        <v>Door</v>
      </c>
      <c r="H6" s="6" t="str">
        <v>Open</v>
      </c>
      <c r="I6" s="25" t="str">
        <v>P1</v>
      </c>
      <c r="J6" s="26" t="str">
        <v>v0.0.5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>
        <f>D7&amp;"_"&amp;B7</f>
      </c>
      <c r="B7" s="6">
        <f>E7 &amp; IF(F7&lt;&gt;"", "_" &amp; F7, "") &amp; IF(G7&lt;&gt;"", "_" &amp; G7, "") &amp; IF(H7&lt;&gt;"", "_" &amp; H7, "")</f>
      </c>
      <c r="C7" s="6" t="str">
        <v>电梯关门</v>
      </c>
      <c r="D7" s="6" t="str">
        <v>Play</v>
      </c>
      <c r="E7" s="6" t="str">
        <v>UI</v>
      </c>
      <c r="F7" s="6" t="str">
        <v>Lift</v>
      </c>
      <c r="G7" s="6" t="str">
        <v>Door</v>
      </c>
      <c r="H7" s="6" t="str">
        <v>Close</v>
      </c>
      <c r="I7" s="25" t="str">
        <v>P1</v>
      </c>
      <c r="J7" s="26" t="str">
        <v>v0.0.5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>
        <f>D8&amp;"_"&amp;B8</f>
      </c>
      <c r="B8" s="6">
        <f>E8 &amp; IF(F8&lt;&gt;"", "_" &amp; F8, "") &amp; IF(G8&lt;&gt;"", "_" &amp; G8, "") &amp; IF(H8&lt;&gt;"", "_" &amp; H8, "")</f>
      </c>
      <c r="C8" s="6" t="str">
        <v>玩家脚步声</v>
      </c>
      <c r="D8" s="6" t="str">
        <v>Play</v>
      </c>
      <c r="E8" s="6" t="str">
        <v>Hero</v>
      </c>
      <c r="F8" s="6" t="str">
        <v>FootStep</v>
      </c>
      <c r="G8" s="6"/>
      <c r="H8" s="6"/>
      <c r="I8" s="25" t="str">
        <v>P0</v>
      </c>
      <c r="J8" s="26" t="str">
        <v>v0.0.4</v>
      </c>
      <c r="K8" s="6"/>
      <c r="L8" s="6" t="str">
        <v>只需要1步的声音，需要3~4个变体，可以自由组合；脚步应该类似于踩在人造石？高密度塑料？地面</v>
      </c>
      <c r="M8" s="6" t="str">
        <v>针对玩家不同的移动速度需要有解决方案，另外需要能随机播放预先准备好的脚步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>
        <f>D9&amp;"_"&amp;B9</f>
      </c>
      <c r="B9" s="6">
        <f>E9 &amp; IF(F9&lt;&gt;"", "_" &amp; F9, "") &amp; IF(G9&lt;&gt;"", "_" &amp; G9, "") &amp; IF(H9&lt;&gt;"", "_" &amp; H9, "")</f>
      </c>
      <c r="C9" s="6" t="str">
        <v>玩家冲刺</v>
      </c>
      <c r="D9" s="6" t="str">
        <v>Play</v>
      </c>
      <c r="E9" s="6" t="str">
        <v>Hero</v>
      </c>
      <c r="F9" s="6" t="str">
        <v>Dash</v>
      </c>
      <c r="G9" s="6"/>
      <c r="H9" s="6"/>
      <c r="I9" s="25" t="str">
        <v>P0</v>
      </c>
      <c r="J9" s="26" t="str">
        <v>v0.0.4</v>
      </c>
      <c r="K9" s="6"/>
      <c r="L9" s="6" t="str">
        <v>改为冲刺</v>
      </c>
      <c r="M9" s="6" t="str">
        <v>翻滚动作应该在持续期间（从起点到终点）持续更新声音刺激源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>
        <f>D10&amp;"_"&amp;B10</f>
      </c>
      <c r="B10" s="6">
        <f>E10 &amp; IF(F10&lt;&gt;"", "_" &amp; F10, "") &amp; IF(G10&lt;&gt;"", "_" &amp; G10, "") &amp; IF(H10&lt;&gt;"", "_" &amp; H10, "")</f>
      </c>
      <c r="C10" s="6" t="str">
        <v>玩家翻滚</v>
      </c>
      <c r="D10" s="6" t="str">
        <v>Play</v>
      </c>
      <c r="E10" s="6" t="str">
        <v>Hero</v>
      </c>
      <c r="F10" s="6" t="str">
        <v>Roll</v>
      </c>
      <c r="G10" s="6"/>
      <c r="H10" s="6"/>
      <c r="I10" s="25" t="str">
        <v>P0</v>
      </c>
      <c r="J10" s="26" t="str">
        <v>v0.0.4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customHeight="true" ht="19" r="11">
      <c r="A11" s="6">
        <f>D11&amp;"_"&amp;B11</f>
      </c>
      <c r="B11" s="6">
        <f>E11 &amp; IF(F11&lt;&gt;"", "_" &amp; F11, "") &amp; IF(G11&lt;&gt;"", "_" &amp; G11, "") &amp; IF(H11&lt;&gt;"", "_" &amp; H11, "")</f>
      </c>
      <c r="C11" s="6" t="str">
        <v>靠近可交互对象</v>
      </c>
      <c r="D11" s="6" t="str">
        <v>Play</v>
      </c>
      <c r="E11" s="6" t="str">
        <v>UI</v>
      </c>
      <c r="F11" s="6" t="str">
        <v>Common</v>
      </c>
      <c r="G11" s="6" t="str">
        <v>GetInRange</v>
      </c>
      <c r="H11" s="6"/>
      <c r="I11" s="25" t="str">
        <v>P0</v>
      </c>
      <c r="J11" s="26" t="str">
        <v>v0.0.4</v>
      </c>
      <c r="K11" s="6"/>
      <c r="L11" s="6" t="str">
        <v>交互提示UI本来很小，靠近以后会缩放变大方便玩家注意，音效应该对应类似于全息影像缩放音效，动画暂时没有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>
        <f>D12&amp;"_"&amp;B12</f>
      </c>
      <c r="B12" s="6">
        <f>E12 &amp; IF(F12&lt;&gt;"", "_" &amp; F12, "") &amp; IF(G12&lt;&gt;"", "_" &amp; G12, "") &amp; IF(H12&lt;&gt;"", "_" &amp; H12, "")</f>
      </c>
      <c r="C12" s="6" t="str">
        <v>按下F打开武器打印机UI</v>
      </c>
      <c r="D12" s="6" t="str">
        <v>Play</v>
      </c>
      <c r="E12" s="6" t="str">
        <v>UI</v>
      </c>
      <c r="F12" s="6" t="str">
        <v>WeaponPrinter</v>
      </c>
      <c r="G12" s="6" t="str">
        <v>Open</v>
      </c>
      <c r="H12" s="6"/>
      <c r="I12" s="25" t="str">
        <v>P1</v>
      </c>
      <c r="J12" s="26" t="str">
        <v>v0.0.5</v>
      </c>
      <c r="K12" s="6"/>
      <c r="L12" s="6" t="str">
        <v>镜头效果tbd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customHeight="true" ht="19" r="13">
      <c r="A13" s="6">
        <f>D13&amp;"_"&amp;B13</f>
      </c>
      <c r="B13" s="6">
        <f>E13 &amp; IF(F13&lt;&gt;"", "_" &amp; F13, "") &amp; IF(G13&lt;&gt;"", "_" &amp; G13, "") &amp; IF(H13&lt;&gt;"", "_" &amp; H13, "")</f>
      </c>
      <c r="C13" s="6" t="str">
        <v>按下R重新打印武器</v>
      </c>
      <c r="D13" s="6" t="str">
        <v>Play</v>
      </c>
      <c r="E13" s="6" t="str">
        <v>UI</v>
      </c>
      <c r="F13" s="6" t="str">
        <v>WeaponPrinter</v>
      </c>
      <c r="G13" s="6" t="str">
        <v>Refresh</v>
      </c>
      <c r="H13" s="6"/>
      <c r="I13" s="25" t="str">
        <v>P1</v>
      </c>
      <c r="J13" s="26" t="str">
        <v>v0.0.5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customHeight="true" ht="19" r="14">
      <c r="A14" s="6">
        <f>D14&amp;"_"&amp;B14</f>
      </c>
      <c r="B14" s="6">
        <f>E14 &amp; IF(F14&lt;&gt;"", "_" &amp; F14, "") &amp; IF(G14&lt;&gt;"", "_" &amp; G14, "") &amp; IF(H14&lt;&gt;"", "_" &amp; H14, "")</f>
      </c>
      <c r="C14" s="6" t="str">
        <v>按下G升级武器</v>
      </c>
      <c r="D14" s="6" t="str">
        <v>Play</v>
      </c>
      <c r="E14" s="6" t="str">
        <v>UI</v>
      </c>
      <c r="F14" s="6" t="str">
        <v>WeaponPrinter</v>
      </c>
      <c r="G14" s="6" t="str">
        <v>Upgrade</v>
      </c>
      <c r="H14" s="6"/>
      <c r="I14" s="25" t="str">
        <v>P1</v>
      </c>
      <c r="J14" s="26" t="str">
        <v>v0.0.5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>
        <f>D15&amp;"_"&amp;B15</f>
      </c>
      <c r="B15" s="6">
        <f>E15 &amp; IF(F15&lt;&gt;"", "_" &amp; F15, "") &amp; IF(G15&lt;&gt;"", "_" &amp; G15, "") &amp; IF(H15&lt;&gt;"", "_" &amp; H15, "")</f>
      </c>
      <c r="C15" s="6" t="str">
        <v>按下F获取武器</v>
      </c>
      <c r="D15" s="6" t="str">
        <v>Play</v>
      </c>
      <c r="E15" s="6" t="str">
        <v>UI</v>
      </c>
      <c r="F15" s="6" t="str">
        <v>WeaponPrinter</v>
      </c>
      <c r="G15" s="6" t="str">
        <v>Confirm</v>
      </c>
      <c r="H15" s="6"/>
      <c r="I15" s="25" t="str">
        <v>P1</v>
      </c>
      <c r="J15" s="26" t="str">
        <v>v0.0.5</v>
      </c>
      <c r="K15" s="6"/>
      <c r="L15" s="6" t="str">
        <v>没有镜头效果，按下直接获得武器，类似于装备从高压储物柜拿出来的声音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customHeight="true" ht="19" r="16">
      <c r="A16" s="6">
        <f>D16&amp;"_"&amp;B16</f>
      </c>
      <c r="B16" s="6">
        <f>E16 &amp; IF(F16&lt;&gt;"", "_" &amp; F16, "") &amp; IF(G16&lt;&gt;"", "_" &amp; G16, "") &amp; IF(H16&lt;&gt;"", "_" &amp; H16, "")</f>
      </c>
      <c r="C16" s="6" t="str">
        <v>信用点增加</v>
      </c>
      <c r="D16" s="6" t="str">
        <v>Play</v>
      </c>
      <c r="E16" s="6" t="str">
        <v>UI</v>
      </c>
      <c r="F16" s="6" t="str">
        <v>Credit</v>
      </c>
      <c r="G16" s="6" t="str">
        <v>Add</v>
      </c>
      <c r="H16" s="6"/>
      <c r="I16" s="25" t="str">
        <v>P1</v>
      </c>
      <c r="J16" s="26" t="str">
        <v>v0.0.5</v>
      </c>
      <c r="K16" s="6"/>
      <c r="L16" s="6" t="str">
        <v>没有镜头效果，有很多事件可能触发信用点减少，类似于数据传输的声音，积极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customHeight="true" ht="19" r="17">
      <c r="A17" s="6">
        <f>D17&amp;"_"&amp;B17</f>
      </c>
      <c r="B17" s="6">
        <f>E17 &amp; IF(F17&lt;&gt;"", "_" &amp; F17, "") &amp; IF(G17&lt;&gt;"", "_" &amp; G17, "") &amp; IF(H17&lt;&gt;"", "_" &amp; H17, "")</f>
      </c>
      <c r="C17" s="6" t="str">
        <v>信用点减少</v>
      </c>
      <c r="D17" s="6" t="str">
        <v>Play</v>
      </c>
      <c r="E17" s="6" t="str">
        <v>UI</v>
      </c>
      <c r="F17" s="6" t="str">
        <v>Credit</v>
      </c>
      <c r="G17" s="6" t="str">
        <v>Deduct</v>
      </c>
      <c r="H17" s="6"/>
      <c r="I17" s="25" t="str">
        <v>P1</v>
      </c>
      <c r="J17" s="26" t="str">
        <v>v0.0.5</v>
      </c>
      <c r="K17" s="6"/>
      <c r="L17" s="6" t="str">
        <v>没有镜头效果，有很多事件可能触发信用点减少，类似于数据传输的声音，消极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>
        <f>D18&amp;"_"&amp;B18</f>
      </c>
      <c r="B18" s="6">
        <f>E18 &amp; IF(F18&lt;&gt;"", "_" &amp; F18, "") &amp; IF(G18&lt;&gt;"", "_" &amp; G18, "") &amp; IF(H18&lt;&gt;"", "_" &amp; H18, "")</f>
      </c>
      <c r="C18" s="6" t="str">
        <v>按下F购买子弹</v>
      </c>
      <c r="D18" s="6" t="str">
        <v>Play</v>
      </c>
      <c r="E18" s="6" t="str">
        <v>UI</v>
      </c>
      <c r="F18" s="6" t="str">
        <v>AmmoVEM</v>
      </c>
      <c r="G18" s="6" t="str">
        <v>Confirm</v>
      </c>
      <c r="H18" s="6"/>
      <c r="I18" s="25" t="str">
        <v>P1</v>
      </c>
      <c r="J18" s="26" t="str">
        <v>v0.0.5</v>
      </c>
      <c r="K18" s="6"/>
      <c r="L18" s="6" t="str">
        <v>没有镜头效果，按下直接获得子弹，类似于自动贩卖机掉东西的声音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>
        <f>D19&amp;"_"&amp;B19</f>
      </c>
      <c r="B19" s="6">
        <f>E19 &amp; IF(F19&lt;&gt;"", "_" &amp; F19, "") &amp; IF(G19&lt;&gt;"", "_" &amp; G19, "") &amp; IF(H19&lt;&gt;"", "_" &amp; H19, "")</f>
      </c>
      <c r="C19" s="6" t="str">
        <v>按下F回复生命值</v>
      </c>
      <c r="D19" s="6" t="str">
        <v>Play</v>
      </c>
      <c r="E19" s="6" t="str">
        <v>UI</v>
      </c>
      <c r="F19" s="27" t="str">
        <v>HealingPod</v>
      </c>
      <c r="G19" s="6" t="str">
        <v>Confirm</v>
      </c>
      <c r="H19" s="6"/>
      <c r="I19" s="25" t="str">
        <v>P1</v>
      </c>
      <c r="J19" s="26" t="str">
        <v>v0.0.5</v>
      </c>
      <c r="K19" s="6"/>
      <c r="L19" s="6" t="str">
        <v>没有镜头效果，按下直接获得生命值，类似于喷雾+常规游戏回血的声音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>
        <f>D20&amp;"_"&amp;B20</f>
      </c>
      <c r="B20" s="6">
        <f>E20 &amp; IF(F20&lt;&gt;"", "_" &amp; F20, "") &amp; IF(G20&lt;&gt;"", "_" &amp; G20, "") &amp; IF(H20&lt;&gt;"", "_" &amp; H20, "")</f>
      </c>
      <c r="C20" s="6" t="str">
        <v>按下F获得信用点</v>
      </c>
      <c r="D20" s="6" t="str">
        <v>Play</v>
      </c>
      <c r="E20" s="6" t="str">
        <v>UI</v>
      </c>
      <c r="F20" s="27" t="str">
        <v>HealingPod</v>
      </c>
      <c r="G20" s="6" t="str">
        <v>Confirm</v>
      </c>
      <c r="H20" s="6"/>
      <c r="I20" s="25" t="str">
        <v>P1</v>
      </c>
      <c r="J20" s="26" t="str">
        <v>v0.0.5</v>
      </c>
      <c r="K20" s="6"/>
      <c r="L20" s="6" t="str">
        <v>没有镜头效果，按下直接获得信用点，类似于黑客侵入+数据传输的声音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>
        <f>D21&amp;"_"&amp;B21</f>
      </c>
      <c r="B21" s="6">
        <f>E21 &amp; IF(F21&lt;&gt;"", "_" &amp; F21, "") &amp; IF(G21&lt;&gt;"", "_" &amp; G21, "") &amp; IF(H21&lt;&gt;"", "_" &amp; H21, "")</f>
      </c>
      <c r="C21" s="6" t="str">
        <v>按下F获得护甲值</v>
      </c>
      <c r="D21" s="6" t="str">
        <v>Play</v>
      </c>
      <c r="E21" s="6" t="str">
        <v>UI</v>
      </c>
      <c r="F21" s="27" t="str">
        <v>ArmorReinforcer</v>
      </c>
      <c r="G21" s="6" t="str">
        <v>Confirm</v>
      </c>
      <c r="H21" s="6"/>
      <c r="I21" s="25" t="str">
        <v>P1</v>
      </c>
      <c r="J21" s="26" t="str">
        <v>v0.0.5</v>
      </c>
      <c r="K21" s="6"/>
      <c r="L21" s="6" t="str">
        <v>没有镜头效果，按下直接获得护甲值，类似于电磁护盾充能的声音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>
        <f>D22&amp;"_"&amp;B22</f>
      </c>
      <c r="B22" s="6">
        <f>E22 &amp; IF(F22&lt;&gt;"", "_" &amp; F22, "") &amp; IF(G22&lt;&gt;"", "_" &amp; G22, "") &amp; IF(H22&lt;&gt;"", "_" &amp; H22, "")</f>
      </c>
      <c r="C22" s="6" t="str">
        <v>对话滚出的打字音</v>
      </c>
      <c r="D22" s="6" t="str">
        <v>Play</v>
      </c>
      <c r="E22" s="6" t="str">
        <v>UI</v>
      </c>
      <c r="F22" s="6" t="str">
        <v>Dialogue</v>
      </c>
      <c r="G22" s="6" t="str">
        <v>Rollout</v>
      </c>
      <c r="H22" s="6"/>
      <c r="I22" s="25" t="str">
        <v>P2</v>
      </c>
      <c r="J22" s="26" t="str">
        <v>v0.0.5</v>
      </c>
      <c r="K22" s="6"/>
      <c r="L22" s="6" t="str">
        <v>动画tbd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>
        <f>D23&amp;"_"&amp;B23</f>
      </c>
      <c r="B23" s="6">
        <f>E23 &amp; IF(F23&lt;&gt;"", "_" &amp; F23, "") &amp; IF(G23&lt;&gt;"", "_" &amp; G23, "") &amp; IF(H23&lt;&gt;"", "_" &amp; H23, "")</f>
      </c>
      <c r="C23" s="6" t="str">
        <v>通用按键/鼠标悬浮</v>
      </c>
      <c r="D23" s="6" t="str">
        <v>Play</v>
      </c>
      <c r="E23" s="6" t="str">
        <v>UI</v>
      </c>
      <c r="F23" s="6" t="str">
        <v>Cursor</v>
      </c>
      <c r="G23" s="6" t="str">
        <v>Hover</v>
      </c>
      <c r="H23" s="6"/>
      <c r="I23" s="25" t="str">
        <v>P1</v>
      </c>
      <c r="J23" s="26" t="str">
        <v>v0.0.5</v>
      </c>
      <c r="K23" s="6"/>
      <c r="L23" s="6" t="str">
        <v>动画tbd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>
        <f>D24&amp;"_"&amp;B24</f>
      </c>
      <c r="B24" s="6">
        <f>E24 &amp; IF(F24&lt;&gt;"", "_" &amp; F24, "") &amp; IF(G24&lt;&gt;"", "_" &amp; G24, "") &amp; IF(H24&lt;&gt;"", "_" &amp; H24, "")</f>
      </c>
      <c r="C24" s="6" t="str">
        <v>通用按键/鼠标确认</v>
      </c>
      <c r="D24" s="6" t="str">
        <v>Play</v>
      </c>
      <c r="E24" s="6" t="str">
        <v>UI</v>
      </c>
      <c r="F24" s="6" t="str">
        <v>Cursor</v>
      </c>
      <c r="G24" s="6" t="str">
        <v>Confirm</v>
      </c>
      <c r="H24" s="6"/>
      <c r="I24" s="25" t="str">
        <v>P1</v>
      </c>
      <c r="J24" s="26" t="str">
        <v>v0.0.5</v>
      </c>
      <c r="K24" s="6"/>
      <c r="L24" s="6" t="str">
        <v>动画tbd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>
        <f>D25&amp;"_"&amp;B25</f>
      </c>
      <c r="B25" s="6">
        <f>E25 &amp; IF(F25&lt;&gt;"", "_" &amp; F25, "") &amp; IF(G25&lt;&gt;"", "_" &amp; G25, "") &amp; IF(H25&lt;&gt;"", "_" &amp; H25, "")</f>
      </c>
      <c r="C25" s="6" t="str">
        <v>小型门打开</v>
      </c>
      <c r="D25" s="6" t="str">
        <v>Play</v>
      </c>
      <c r="E25" s="6" t="str">
        <v>UI</v>
      </c>
      <c r="F25" s="6" t="str">
        <v>SmallDoor</v>
      </c>
      <c r="G25" s="6" t="str">
        <v>Open</v>
      </c>
      <c r="H25" s="6"/>
      <c r="I25" s="25" t="str">
        <v>P0</v>
      </c>
      <c r="J25" s="26" t="str">
        <v>v0.0.4</v>
      </c>
      <c r="K25" s="6"/>
      <c r="L25" s="6" t="str">
        <v>动画tbd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>
        <f>D26&amp;"_"&amp;B26</f>
      </c>
      <c r="B26" s="6">
        <f>E26 &amp; IF(F26&lt;&gt;"", "_" &amp; F26, "") &amp; IF(G26&lt;&gt;"", "_" &amp; G26, "") &amp; IF(H26&lt;&gt;"", "_" &amp; H26, "")</f>
      </c>
      <c r="C26" s="6" t="str">
        <v>小型门关闭</v>
      </c>
      <c r="D26" s="6" t="str">
        <v>Play</v>
      </c>
      <c r="E26" s="6" t="str">
        <v>UI</v>
      </c>
      <c r="F26" s="6" t="str">
        <v>SmallDoor</v>
      </c>
      <c r="G26" s="6" t="str">
        <v>Close</v>
      </c>
      <c r="H26" s="6"/>
      <c r="I26" s="25" t="str">
        <v>P0</v>
      </c>
      <c r="J26" s="26" t="str">
        <v>v0.0.4</v>
      </c>
      <c r="K26" s="6"/>
      <c r="L26" s="6" t="str">
        <v>动画tbd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>
        <f>D27&amp;"_"&amp;B27</f>
      </c>
      <c r="B27" s="6">
        <f>E27 &amp; IF(F27&lt;&gt;"", "_" &amp; F27, "") &amp; IF(G27&lt;&gt;"", "_" &amp; G27, "") &amp; IF(H27&lt;&gt;"", "_" &amp; H27, "")</f>
      </c>
      <c r="C27" s="6" t="str">
        <v>中型门打开</v>
      </c>
      <c r="D27" s="6" t="str">
        <v>Play</v>
      </c>
      <c r="E27" s="6" t="str">
        <v>UI</v>
      </c>
      <c r="F27" s="6" t="str">
        <v>MidDoor</v>
      </c>
      <c r="G27" s="6" t="str">
        <v>Open</v>
      </c>
      <c r="H27" s="6"/>
      <c r="I27" s="25" t="str">
        <v>P1</v>
      </c>
      <c r="J27" s="26" t="str">
        <v>v0.0.5</v>
      </c>
      <c r="K27" s="6"/>
      <c r="L27" s="6" t="str">
        <v>动画tbd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>
        <f>D28&amp;"_"&amp;B28</f>
      </c>
      <c r="B28" s="6">
        <f>E28 &amp; IF(F28&lt;&gt;"", "_" &amp; F28, "") &amp; IF(G28&lt;&gt;"", "_" &amp; G28, "") &amp; IF(H28&lt;&gt;"", "_" &amp; H28, "")</f>
      </c>
      <c r="C28" s="6" t="str">
        <v>中型门关闭</v>
      </c>
      <c r="D28" s="6" t="str">
        <v>Play</v>
      </c>
      <c r="E28" s="6" t="str">
        <v>UI</v>
      </c>
      <c r="F28" s="6" t="str">
        <v>MidDoor</v>
      </c>
      <c r="G28" s="6" t="str">
        <v>Close</v>
      </c>
      <c r="H28" s="6"/>
      <c r="I28" s="25" t="str">
        <v>P1</v>
      </c>
      <c r="J28" s="26" t="str">
        <v>v0.0.5</v>
      </c>
      <c r="K28" s="6"/>
      <c r="L28" s="6" t="str">
        <v>动画tbd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>
        <f>D29&amp;"_"&amp;B29</f>
      </c>
      <c r="B29" s="6">
        <f>E29 &amp; IF(F29&lt;&gt;"", "_" &amp; F29, "") &amp; IF(G29&lt;&gt;"", "_" &amp; G29, "") &amp; IF(H29&lt;&gt;"", "_" &amp; H29, "")</f>
      </c>
      <c r="C29" s="6" t="str">
        <v>巨型门打开</v>
      </c>
      <c r="D29" s="6" t="str">
        <v>Play</v>
      </c>
      <c r="E29" s="6" t="str">
        <v>UI</v>
      </c>
      <c r="F29" s="6" t="str">
        <v>LargeDoor</v>
      </c>
      <c r="G29" s="6" t="str">
        <v>Open</v>
      </c>
      <c r="H29" s="6"/>
      <c r="I29" s="25" t="str">
        <v>P2</v>
      </c>
      <c r="J29" s="26" t="str">
        <v>v0.0.5</v>
      </c>
      <c r="K29" s="6"/>
      <c r="L29" s="6" t="str">
        <v>动画tbd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>
        <f>D30&amp;"_"&amp;B30</f>
      </c>
      <c r="B30" s="6">
        <f>E30 &amp; IF(F30&lt;&gt;"", "_" &amp; F30, "") &amp; IF(G30&lt;&gt;"", "_" &amp; G30, "") &amp; IF(H30&lt;&gt;"", "_" &amp; H30, "")</f>
      </c>
      <c r="C30" s="6" t="str">
        <v>巨型门关闭</v>
      </c>
      <c r="D30" s="6" t="str">
        <v>Play</v>
      </c>
      <c r="E30" s="6" t="str">
        <v>UI</v>
      </c>
      <c r="F30" s="6" t="str">
        <v>LargeDoor</v>
      </c>
      <c r="G30" s="6" t="str">
        <v>Close</v>
      </c>
      <c r="H30" s="6"/>
      <c r="I30" s="25" t="str">
        <v>P2</v>
      </c>
      <c r="J30" s="26" t="str">
        <v>v0.0.5</v>
      </c>
      <c r="K30" s="6"/>
      <c r="L30" s="6" t="str">
        <v>动画tbd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>
        <f>D31&amp;"_"&amp;B31</f>
      </c>
      <c r="B31" s="6">
        <f>E31 &amp; IF(F31&lt;&gt;"", "_" &amp; F31, "") &amp; IF(G31&lt;&gt;"", "_" &amp; G31, "") &amp; IF(H31&lt;&gt;"", "_" &amp; H31, "")</f>
      </c>
      <c r="C31" s="6" t="str">
        <v>动能/枪械/发射音效</v>
      </c>
      <c r="D31" s="6" t="str">
        <v>Play</v>
      </c>
      <c r="E31" s="6" t="str">
        <v>Attack</v>
      </c>
      <c r="F31" s="6" t="str">
        <v>Ranged</v>
      </c>
      <c r="G31" s="6" t="str">
        <v>Gun</v>
      </c>
      <c r="H31" s="28" t="str">
        <v>Kinetic</v>
      </c>
      <c r="I31" s="25" t="str">
        <v>P1</v>
      </c>
      <c r="J31" s="26" t="str">
        <v>v0.0.5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>
        <f>D32&amp;"_"&amp;B32</f>
      </c>
      <c r="B32" s="6">
        <f>E32 &amp; IF(F32&lt;&gt;"", "_" &amp; F32, "") &amp; IF(G32&lt;&gt;"", "_" &amp; G32, "") &amp; IF(H32&lt;&gt;"", "_" &amp; H32, "")</f>
      </c>
      <c r="C32" s="6" t="str">
        <v>动能/枪械/击中音效</v>
      </c>
      <c r="D32" s="6" t="str">
        <v>Play</v>
      </c>
      <c r="E32" s="6" t="str">
        <v>Impact</v>
      </c>
      <c r="F32" s="6" t="str">
        <v>Ranged</v>
      </c>
      <c r="G32" s="6" t="str">
        <v>Gun</v>
      </c>
      <c r="H32" s="28" t="str">
        <v>Kinetic</v>
      </c>
      <c r="I32" s="25" t="str">
        <v>P1</v>
      </c>
      <c r="J32" s="26" t="str">
        <v>v0.0.5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>
        <f>D33&amp;"_"&amp;B33</f>
      </c>
      <c r="B33" s="6">
        <f>E33 &amp; IF(F33&lt;&gt;"", "_" &amp; F33, "") &amp; IF(G33&lt;&gt;"", "_" &amp; G33, "") &amp; IF(H33&lt;&gt;"", "_" &amp; H33, "")</f>
      </c>
      <c r="C33" s="6" t="str">
        <v>电磁/枪械/发射音效</v>
      </c>
      <c r="D33" s="6" t="str">
        <v>Play</v>
      </c>
      <c r="E33" s="6" t="str">
        <v>Attack</v>
      </c>
      <c r="F33" s="6" t="str">
        <v>Ranged</v>
      </c>
      <c r="G33" s="6" t="str">
        <v>Gun</v>
      </c>
      <c r="H33" s="28" t="str">
        <v>Electrical</v>
      </c>
      <c r="I33" s="25" t="str">
        <v>P1</v>
      </c>
      <c r="J33" s="26" t="str">
        <v>v0.0.5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>
        <f>D34&amp;"_"&amp;B34</f>
      </c>
      <c r="B34" s="6">
        <f>E34 &amp; IF(F34&lt;&gt;"", "_" &amp; F34, "") &amp; IF(G34&lt;&gt;"", "_" &amp; G34, "") &amp; IF(H34&lt;&gt;"", "_" &amp; H34, "")</f>
      </c>
      <c r="C34" s="6" t="str">
        <v>电磁/枪械/击中音效</v>
      </c>
      <c r="D34" s="6" t="str">
        <v>Play</v>
      </c>
      <c r="E34" s="6" t="str">
        <v>Impact</v>
      </c>
      <c r="F34" s="6" t="str">
        <v>Ranged</v>
      </c>
      <c r="G34" s="6" t="str">
        <v>Gun</v>
      </c>
      <c r="H34" s="28" t="str">
        <v>Electrical</v>
      </c>
      <c r="I34" s="25" t="str">
        <v>P1</v>
      </c>
      <c r="J34" s="26" t="str">
        <v>v0.0.5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>
        <f>D35&amp;"_"&amp;B35</f>
      </c>
      <c r="B35" s="6">
        <f>E35 &amp; IF(F35&lt;&gt;"", "_" &amp; F35, "") &amp; IF(G35&lt;&gt;"", "_" &amp; G35, "") &amp; IF(H35&lt;&gt;"", "_" &amp; H35, "")</f>
      </c>
      <c r="C35" s="6" t="str">
        <v>热能/枪械/发射音效</v>
      </c>
      <c r="D35" s="6" t="str">
        <v>Play</v>
      </c>
      <c r="E35" s="6" t="str">
        <v>Attack</v>
      </c>
      <c r="F35" s="6" t="str">
        <v>Ranged</v>
      </c>
      <c r="G35" s="6" t="str">
        <v>Gun</v>
      </c>
      <c r="H35" s="28" t="str">
        <v>Thermal</v>
      </c>
      <c r="I35" s="25" t="str">
        <v>P1</v>
      </c>
      <c r="J35" s="26" t="str">
        <v>v0.0.5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>
        <f>D36&amp;"_"&amp;B36</f>
      </c>
      <c r="B36" s="6">
        <f>E36 &amp; IF(F36&lt;&gt;"", "_" &amp; F36, "") &amp; IF(G36&lt;&gt;"", "_" &amp; G36, "") &amp; IF(H36&lt;&gt;"", "_" &amp; H36, "")</f>
      </c>
      <c r="C36" s="6" t="str">
        <v>热能/枪械/击中音效</v>
      </c>
      <c r="D36" s="6" t="str">
        <v>Play</v>
      </c>
      <c r="E36" s="6" t="str">
        <v>Impact</v>
      </c>
      <c r="F36" s="6" t="str">
        <v>Ranged</v>
      </c>
      <c r="G36" s="6" t="str">
        <v>Gun</v>
      </c>
      <c r="H36" s="28" t="str">
        <v>Thermal</v>
      </c>
      <c r="I36" s="25" t="str">
        <v>P1</v>
      </c>
      <c r="J36" s="26" t="str">
        <v>v0.0.5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>
        <f>D37&amp;"_"&amp;B37</f>
      </c>
      <c r="B37" s="6">
        <f>E37 &amp; IF(F37&lt;&gt;"", "_" &amp; F37, "") &amp; IF(G37&lt;&gt;"", "_" &amp; G37, "") &amp; IF(H37&lt;&gt;"", "_" &amp; H37, "")</f>
      </c>
      <c r="C37" s="6" t="str">
        <v>热能/喷射器/发射音效</v>
      </c>
      <c r="D37" s="6" t="str">
        <v>Play</v>
      </c>
      <c r="E37" s="6" t="str">
        <v>Attack</v>
      </c>
      <c r="F37" s="6" t="str">
        <v>Ranged</v>
      </c>
      <c r="G37" s="6" t="str">
        <v>Thrower</v>
      </c>
      <c r="H37" s="28" t="str">
        <v>Thermal</v>
      </c>
      <c r="I37" s="25" t="str">
        <v>P1</v>
      </c>
      <c r="J37" s="26" t="str">
        <v>v0.0.5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>
        <f>D38&amp;"_"&amp;B38</f>
      </c>
      <c r="B38" s="6">
        <f>E38 &amp; IF(F38&lt;&gt;"", "_" &amp; F38, "") &amp; IF(G38&lt;&gt;"", "_" &amp; G38, "") &amp; IF(H38&lt;&gt;"", "_" &amp; H38, "")</f>
      </c>
      <c r="C38" s="6" t="str">
        <v>热能/喷射器/击中音效</v>
      </c>
      <c r="D38" s="6" t="str">
        <v>Play</v>
      </c>
      <c r="E38" s="6" t="str">
        <v>Impact</v>
      </c>
      <c r="F38" s="6" t="str">
        <v>Ranged</v>
      </c>
      <c r="G38" s="6" t="str">
        <v>Thrower</v>
      </c>
      <c r="H38" s="28" t="str">
        <v>Thermal</v>
      </c>
      <c r="I38" s="25" t="str">
        <v>P1</v>
      </c>
      <c r="J38" s="26" t="str">
        <v>v0.0.5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>
        <f>D39&amp;"_"&amp;B39</f>
      </c>
      <c r="B39" s="6">
        <f>E39 &amp; IF(F39&lt;&gt;"", "_" &amp; F39, "") &amp; IF(G39&lt;&gt;"", "_" &amp; G39, "") &amp; IF(H39&lt;&gt;"", "_" &amp; H39, "")</f>
      </c>
      <c r="C39" s="6" t="str">
        <v>单手/锐器/挥舞</v>
      </c>
      <c r="D39" s="6" t="str">
        <v>Play</v>
      </c>
      <c r="E39" s="6" t="str">
        <v>Attack</v>
      </c>
      <c r="F39" s="6" t="str">
        <v>OneHand</v>
      </c>
      <c r="G39" s="6" t="str">
        <v>Sharp</v>
      </c>
      <c r="H39" s="6"/>
      <c r="I39" s="25" t="str">
        <v>P1</v>
      </c>
      <c r="J39" s="26" t="str">
        <v>v0.0.4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>
        <f>D40&amp;"_"&amp;B40</f>
      </c>
      <c r="B40" s="6">
        <f>E40 &amp; IF(F40&lt;&gt;"", "_" &amp; F40, "") &amp; IF(G40&lt;&gt;"", "_" &amp; G40, "") &amp; IF(H40&lt;&gt;"", "_" &amp; H40, "")</f>
      </c>
      <c r="C40" s="6" t="str">
        <v>单手/锐器/击中</v>
      </c>
      <c r="D40" s="6" t="str">
        <v>Play</v>
      </c>
      <c r="E40" s="6" t="str">
        <v>Impact</v>
      </c>
      <c r="F40" s="6" t="str">
        <v>OneHand</v>
      </c>
      <c r="G40" s="6" t="str">
        <v>Sharp</v>
      </c>
      <c r="H40" s="6"/>
      <c r="I40" s="25" t="str">
        <v>P1</v>
      </c>
      <c r="J40" s="26" t="str">
        <v>v0.0.4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>
        <f>D41&amp;"_"&amp;B41</f>
      </c>
      <c r="B41" s="6">
        <f>E41 &amp; IF(F41&lt;&gt;"", "_" &amp; F41, "") &amp; IF(G41&lt;&gt;"", "_" &amp; G41, "") &amp; IF(H41&lt;&gt;"", "_" &amp; H41, "")</f>
      </c>
      <c r="C41" s="6" t="str">
        <v>双手轻型/锐器/挥舞</v>
      </c>
      <c r="D41" s="6" t="str">
        <v>Play</v>
      </c>
      <c r="E41" s="6" t="str">
        <v>Attack</v>
      </c>
      <c r="F41" s="6" t="str">
        <v>TwoHand</v>
      </c>
      <c r="G41" s="6" t="str">
        <v>Sharp</v>
      </c>
      <c r="H41" s="6"/>
      <c r="I41" s="25" t="str">
        <v>P0</v>
      </c>
      <c r="J41" s="26" t="str">
        <v>v0.0.4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>
        <f>D42&amp;"_"&amp;B42</f>
      </c>
      <c r="B42" s="6">
        <f>E42 &amp; IF(F42&lt;&gt;"", "_" &amp; F42, "") &amp; IF(G42&lt;&gt;"", "_" &amp; G42, "") &amp; IF(H42&lt;&gt;"", "_" &amp; H42, "")</f>
      </c>
      <c r="C42" s="6" t="str">
        <v>双手轻型/锐器/击中</v>
      </c>
      <c r="D42" s="6" t="str">
        <v>Play</v>
      </c>
      <c r="E42" s="6" t="str">
        <v>Impact</v>
      </c>
      <c r="F42" s="6" t="str">
        <v>TwoHand</v>
      </c>
      <c r="G42" s="6" t="str">
        <v>Sharp</v>
      </c>
      <c r="H42" s="6"/>
      <c r="I42" s="25" t="str">
        <v>P0</v>
      </c>
      <c r="J42" s="26" t="str">
        <v>v0.0.4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>
        <f>D43&amp;"_"&amp;B43</f>
      </c>
      <c r="B43" s="6">
        <f>E43 &amp; IF(F43&lt;&gt;"", "_" &amp; F43, "") &amp; IF(G43&lt;&gt;"", "_" &amp; G43, "") &amp; IF(H43&lt;&gt;"", "_" &amp; H43, "")</f>
      </c>
      <c r="C43" s="6" t="str">
        <v>双手重型/锐器/挥舞</v>
      </c>
      <c r="D43" s="6" t="str">
        <v>Play</v>
      </c>
      <c r="E43" s="6" t="str">
        <v>Attack</v>
      </c>
      <c r="F43" s="6" t="str">
        <v>Heavy</v>
      </c>
      <c r="G43" s="6" t="str">
        <v>Sharp</v>
      </c>
      <c r="H43" s="6"/>
      <c r="I43" s="25" t="str">
        <v>P1</v>
      </c>
      <c r="J43" s="26" t="str">
        <v>v0.0.4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>
        <f>D44&amp;"_"&amp;B44</f>
      </c>
      <c r="B44" s="6">
        <f>E44 &amp; IF(F44&lt;&gt;"", "_" &amp; F44, "") &amp; IF(G44&lt;&gt;"", "_" &amp; G44, "") &amp; IF(H44&lt;&gt;"", "_" &amp; H44, "")</f>
      </c>
      <c r="C44" s="6" t="str">
        <v>双手重型/锐器/击中</v>
      </c>
      <c r="D44" s="6" t="str">
        <v>Play</v>
      </c>
      <c r="E44" s="6" t="str">
        <v>Impact</v>
      </c>
      <c r="F44" s="6" t="str">
        <v>Heavy</v>
      </c>
      <c r="G44" s="6" t="str">
        <v>Sharp</v>
      </c>
      <c r="H44" s="6"/>
      <c r="I44" s="25" t="str">
        <v>P1</v>
      </c>
      <c r="J44" s="26" t="str">
        <v>v0.0.4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>
        <f>D45&amp;"_"&amp;B45</f>
      </c>
      <c r="B45" s="6">
        <f>E45 &amp; IF(F45&lt;&gt;"", "_" &amp; F45, "") &amp; IF(G45&lt;&gt;"", "_" &amp; G45, "") &amp; IF(H45&lt;&gt;"", "_" &amp; H45, "")</f>
      </c>
      <c r="C45" s="6" t="str">
        <v>单手/钝器/挥舞</v>
      </c>
      <c r="D45" s="6" t="str">
        <v>Play</v>
      </c>
      <c r="E45" s="6" t="str">
        <v>Attack</v>
      </c>
      <c r="F45" s="6" t="str">
        <v>OneHand</v>
      </c>
      <c r="G45" s="6" t="str">
        <v>Blunt</v>
      </c>
      <c r="H45" s="6"/>
      <c r="I45" s="25" t="str">
        <v>P0</v>
      </c>
      <c r="J45" s="26" t="str">
        <v>v0.0.4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>
        <f>D46&amp;"_"&amp;B46</f>
      </c>
      <c r="B46" s="6">
        <f>E46 &amp; IF(F46&lt;&gt;"", "_" &amp; F46, "") &amp; IF(G46&lt;&gt;"", "_" &amp; G46, "") &amp; IF(H46&lt;&gt;"", "_" &amp; H46, "")</f>
      </c>
      <c r="C46" s="6" t="str">
        <v>单手/钝器/击中</v>
      </c>
      <c r="D46" s="6" t="str">
        <v>Play</v>
      </c>
      <c r="E46" s="6" t="str">
        <v>Impact</v>
      </c>
      <c r="F46" s="6" t="str">
        <v>OneHand</v>
      </c>
      <c r="G46" s="6" t="str">
        <v>Blunt</v>
      </c>
      <c r="H46" s="6"/>
      <c r="I46" s="25" t="str">
        <v>P0</v>
      </c>
      <c r="J46" s="26" t="str">
        <v>v0.0.4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>
        <f>D47&amp;"_"&amp;B47</f>
      </c>
      <c r="B47" s="6">
        <f>E47 &amp; IF(F47&lt;&gt;"", "_" &amp; F47, "") &amp; IF(G47&lt;&gt;"", "_" &amp; G47, "") &amp; IF(H47&lt;&gt;"", "_" &amp; H47, "")</f>
      </c>
      <c r="C47" s="6" t="str">
        <v>双手轻型/钝器/挥舞</v>
      </c>
      <c r="D47" s="6" t="str">
        <v>Play</v>
      </c>
      <c r="E47" s="6" t="str">
        <v>Attack</v>
      </c>
      <c r="F47" s="6" t="str">
        <v>TwoHand</v>
      </c>
      <c r="G47" s="6" t="str">
        <v>Blunt</v>
      </c>
      <c r="H47" s="6"/>
      <c r="I47" s="25" t="str">
        <v>P1</v>
      </c>
      <c r="J47" s="26" t="str">
        <v>v0.0.4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>
        <f>D48&amp;"_"&amp;B48</f>
      </c>
      <c r="B48" s="6">
        <f>E48 &amp; IF(F48&lt;&gt;"", "_" &amp; F48, "") &amp; IF(G48&lt;&gt;"", "_" &amp; G48, "") &amp; IF(H48&lt;&gt;"", "_" &amp; H48, "")</f>
      </c>
      <c r="C48" s="6" t="str">
        <v>双手轻型/钝器/击中</v>
      </c>
      <c r="D48" s="6" t="str">
        <v>Play</v>
      </c>
      <c r="E48" s="6" t="str">
        <v>Impact</v>
      </c>
      <c r="F48" s="6" t="str">
        <v>TwoHand</v>
      </c>
      <c r="G48" s="6" t="str">
        <v>Blunt</v>
      </c>
      <c r="H48" s="6"/>
      <c r="I48" s="25" t="str">
        <v>P1</v>
      </c>
      <c r="J48" s="26" t="str">
        <v>v0.0.4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>
        <f>D49&amp;"_"&amp;B49</f>
      </c>
      <c r="B49" s="6">
        <f>E49 &amp; IF(F49&lt;&gt;"", "_" &amp; F49, "") &amp; IF(G49&lt;&gt;"", "_" &amp; G49, "") &amp; IF(H49&lt;&gt;"", "_" &amp; H49, "")</f>
      </c>
      <c r="C49" s="6" t="str">
        <v>双手重型/钝器/挥舞</v>
      </c>
      <c r="D49" s="6" t="str">
        <v>Play</v>
      </c>
      <c r="E49" s="6" t="str">
        <v>Attack</v>
      </c>
      <c r="F49" s="6" t="str">
        <v>Heavy</v>
      </c>
      <c r="G49" s="6" t="str">
        <v>Blunt</v>
      </c>
      <c r="H49" s="6"/>
      <c r="I49" s="25" t="str">
        <v>P0</v>
      </c>
      <c r="J49" s="26" t="str">
        <v>v0.0.4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>
        <f>D50&amp;"_"&amp;B50</f>
      </c>
      <c r="B50" s="6">
        <f>E50 &amp; IF(F50&lt;&gt;"", "_" &amp; F50, "") &amp; IF(G50&lt;&gt;"", "_" &amp; G50, "") &amp; IF(H50&lt;&gt;"", "_" &amp; H50, "")</f>
      </c>
      <c r="C50" s="6" t="str">
        <v>双手重型/钝器/击中</v>
      </c>
      <c r="D50" s="6" t="str">
        <v>Play</v>
      </c>
      <c r="E50" s="6" t="str">
        <v>Impact</v>
      </c>
      <c r="F50" s="6" t="str">
        <v>Heavy</v>
      </c>
      <c r="G50" s="6" t="str">
        <v>Blunt</v>
      </c>
      <c r="H50" s="6"/>
      <c r="I50" s="25" t="str">
        <v>P0</v>
      </c>
      <c r="J50" s="26" t="str">
        <v>v0.0.4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>
        <f>D51&amp;"_"&amp;B51</f>
      </c>
      <c r="B51" s="6">
        <f>E51 &amp; IF(F51&lt;&gt;"", "_" &amp; F51, "") &amp; IF(G51&lt;&gt;"", "_" &amp; G51, "") &amp; IF(H51&lt;&gt;"", "_" &amp; H51, "")</f>
      </c>
      <c r="C51" s="6" t="str">
        <v>有护甲角色被击中</v>
      </c>
      <c r="D51" s="6" t="str">
        <v>Play</v>
      </c>
      <c r="E51" s="6" t="str">
        <v>Impact</v>
      </c>
      <c r="F51" s="6" t="str">
        <v>Character</v>
      </c>
      <c r="G51" s="6" t="str">
        <v>Armor</v>
      </c>
      <c r="H51" s="6"/>
      <c r="I51" s="25" t="str">
        <v>P0</v>
      </c>
      <c r="J51" s="26" t="str">
        <v>v0.0.4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>
        <f>D52&amp;"_"&amp;B52</f>
      </c>
      <c r="B52" s="6">
        <f>E52 &amp; IF(F52&lt;&gt;"", "_" &amp; F52, "") &amp; IF(G52&lt;&gt;"", "_" &amp; G52, "") &amp; IF(H52&lt;&gt;"", "_" &amp; H52, "")</f>
      </c>
      <c r="C52" s="6" t="str">
        <v>无护甲角色被击中</v>
      </c>
      <c r="D52" s="6" t="str">
        <v>Play</v>
      </c>
      <c r="E52" s="6" t="str">
        <v>Impact</v>
      </c>
      <c r="F52" s="6" t="str">
        <v>Character</v>
      </c>
      <c r="G52" s="6" t="str">
        <v>Flesh</v>
      </c>
      <c r="H52" s="6"/>
      <c r="I52" s="25" t="str">
        <v>P0</v>
      </c>
      <c r="J52" s="26" t="str">
        <v>v0.0.4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25"/>
      <c r="J53" s="2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25"/>
      <c r="J54" s="2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25"/>
      <c r="J55" s="2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25"/>
      <c r="J56" s="2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25"/>
      <c r="J57" s="2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25"/>
      <c r="J58" s="2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25"/>
      <c r="J59" s="2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25"/>
      <c r="J60" s="2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25"/>
      <c r="J61" s="2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25"/>
      <c r="J62" s="2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25"/>
      <c r="J63" s="2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25"/>
      <c r="J64" s="2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25"/>
      <c r="J65" s="2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25"/>
      <c r="J66" s="2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25"/>
      <c r="J67" s="2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25"/>
      <c r="J68" s="2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25"/>
      <c r="J69" s="2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25"/>
      <c r="J70" s="2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25"/>
      <c r="J71" s="2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25"/>
      <c r="J72" s="2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25"/>
      <c r="J73" s="2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25"/>
      <c r="J74" s="2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25"/>
      <c r="J75" s="2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25"/>
      <c r="J76" s="2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25"/>
      <c r="J77" s="2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25"/>
      <c r="J78" s="2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25"/>
      <c r="J79" s="2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25"/>
      <c r="J80" s="2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25"/>
      <c r="J81" s="2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25"/>
      <c r="J82" s="2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25"/>
      <c r="J83" s="2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25"/>
      <c r="J84" s="2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25"/>
      <c r="J85" s="2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25"/>
      <c r="J86" s="2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25"/>
      <c r="J87" s="2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25"/>
      <c r="J88" s="2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25"/>
      <c r="J89" s="2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25"/>
      <c r="J90" s="2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25"/>
      <c r="J91" s="2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25"/>
      <c r="J92" s="2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25"/>
      <c r="J93" s="2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25"/>
      <c r="J94" s="2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25"/>
      <c r="J95" s="2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25"/>
      <c r="J96" s="2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25"/>
      <c r="J97" s="2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25"/>
      <c r="J98" s="2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25"/>
      <c r="J99" s="2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25"/>
      <c r="J100" s="2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25"/>
      <c r="J101" s="2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25"/>
      <c r="J102" s="2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25"/>
      <c r="J103" s="2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25"/>
      <c r="J104" s="2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25"/>
      <c r="J105" s="2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25"/>
      <c r="J106" s="2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25"/>
      <c r="J107" s="2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25"/>
      <c r="J108" s="2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25"/>
      <c r="J109" s="2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25"/>
      <c r="J110" s="2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25"/>
      <c r="J111" s="2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25"/>
      <c r="J112" s="2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25"/>
      <c r="J113" s="2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25"/>
      <c r="J114" s="2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25"/>
      <c r="J115" s="2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25"/>
      <c r="J116" s="2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25"/>
      <c r="J117" s="2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25"/>
      <c r="J118" s="2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25"/>
      <c r="J119" s="2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25"/>
      <c r="J120" s="2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25"/>
      <c r="J121" s="2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25"/>
      <c r="J122" s="2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25"/>
      <c r="J123" s="2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25"/>
      <c r="J124" s="2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25"/>
      <c r="J125" s="2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25"/>
      <c r="J126" s="2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25"/>
      <c r="J127" s="2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25"/>
      <c r="J128" s="2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25"/>
      <c r="J129" s="2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25"/>
      <c r="J130" s="2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25"/>
      <c r="J131" s="2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25"/>
      <c r="J132" s="2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25"/>
      <c r="J133" s="2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25"/>
      <c r="J134" s="2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25"/>
      <c r="J135" s="2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25"/>
      <c r="J136" s="2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25"/>
      <c r="J137" s="2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25"/>
      <c r="J138" s="2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25"/>
      <c r="J139" s="2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25"/>
      <c r="J140" s="2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25"/>
      <c r="J141" s="2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25"/>
      <c r="J142" s="2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25"/>
      <c r="J143" s="2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25"/>
      <c r="J144" s="2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25"/>
      <c r="J145" s="2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25"/>
      <c r="J146" s="2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25"/>
      <c r="J147" s="2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25"/>
      <c r="J148" s="2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25"/>
      <c r="J149" s="2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25"/>
      <c r="J150" s="2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25"/>
      <c r="J151" s="2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25"/>
      <c r="J152" s="2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25"/>
      <c r="J153" s="2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25"/>
      <c r="J154" s="2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25"/>
      <c r="J155" s="2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25"/>
      <c r="J156" s="2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25"/>
      <c r="J157" s="2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25"/>
      <c r="J158" s="2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25"/>
      <c r="J159" s="2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25"/>
      <c r="J160" s="2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25"/>
      <c r="J161" s="2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25"/>
      <c r="J162" s="2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25"/>
      <c r="J163" s="2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25"/>
      <c r="J164" s="2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25"/>
      <c r="J165" s="2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25"/>
      <c r="J166" s="2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25"/>
      <c r="J167" s="2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25"/>
      <c r="J168" s="2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25"/>
      <c r="J169" s="2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25"/>
      <c r="J170" s="2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25"/>
      <c r="J171" s="2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25"/>
      <c r="J172" s="2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25"/>
      <c r="J173" s="2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25"/>
      <c r="J174" s="2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25"/>
      <c r="J175" s="2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25"/>
      <c r="J176" s="2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25"/>
      <c r="J177" s="2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25"/>
      <c r="J178" s="2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25"/>
      <c r="J179" s="2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25"/>
      <c r="J180" s="2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25"/>
      <c r="J181" s="2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25"/>
      <c r="J182" s="2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25"/>
      <c r="J183" s="2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25"/>
      <c r="J184" s="2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25"/>
      <c r="J185" s="2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25"/>
      <c r="J186" s="2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25"/>
      <c r="J187" s="2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25"/>
      <c r="J188" s="2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25"/>
      <c r="J189" s="2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25"/>
      <c r="J190" s="2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25"/>
      <c r="J191" s="2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25"/>
      <c r="J192" s="2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25"/>
      <c r="J193" s="2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25"/>
      <c r="J194" s="2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25"/>
      <c r="J195" s="2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25"/>
      <c r="J196" s="2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I197" s="3"/>
      <c r="J197" s="3"/>
    </row>
    <row r="198">
      <c r="I198" s="3"/>
      <c r="J198" s="3"/>
    </row>
    <row r="199">
      <c r="I199" s="3"/>
      <c r="J199" s="3"/>
    </row>
    <row r="200">
      <c r="I200" s="3"/>
      <c r="J200" s="3"/>
    </row>
    <row r="201">
      <c r="I201" s="3"/>
      <c r="J201" s="3"/>
    </row>
    <row r="202">
      <c r="I202" s="3"/>
      <c r="J202" s="3"/>
    </row>
  </sheetData>
  <dataValidations count="5">
    <dataValidation allowBlank="true" errorStyle="stop" showDropDown="true" showErrorMessage="true" sqref="I2:I202" type="list">
      <formula1>"P0,P1,P2,N/A"</formula1>
    </dataValidation>
    <dataValidation allowBlank="true" errorStyle="stop" showDropDown="true" showErrorMessage="true" sqref="J2:J202" type="list">
      <formula1>"v0.0.1,v0.0.2,v0.0.3,v0.0.4,v0.0.5"</formula1>
    </dataValidation>
    <dataValidation allowBlank="true" errorStyle="stop" showDropDown="true" showErrorMessage="true" sqref="K2:K202" type="list">
      <formula1>"READY,IN PROGRESS,NOT START,NO NEED"</formula1>
    </dataValidation>
    <dataValidation allowBlank="true" errorStyle="stop" showDropDown="true" showErrorMessage="true" sqref="D2:D202" type="list">
      <formula1>"Play,Stop"</formula1>
    </dataValidation>
    <dataValidation allowBlank="true" errorStyle="stop" showDropDown="true" showErrorMessage="true" sqref="E2:E202" type="list">
      <formula1>"UI,Attack,Impact,AMB,Load,Hero"</formula1>
    </dataValidation>
  </dataValidation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