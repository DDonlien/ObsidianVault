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任务管理" sheetId="2" r:id="rId4"/>
    <sheet name="⚡️跃入迷城 - 任务同步"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19" customWidth="1"/>
    <col min="5" max="5" width="19" customWidth="1"/>
    <col min="6" max="6" width="0" customWidth="1"/>
    <col min="7" max="7" width="0" customWidth="1"/>
    <col min="8" max="8" width="0" customWidth="1"/>
    <col min="9" max="9" width="0" customWidth="1"/>
    <col min="10" max="10" width="0" customWidth="1"/>
  </cols>
  <sheetData>
    <row r="1" ht="13" customHeight="1">
      <c r="A1" s="1" t="inlineStr">
        <is>
          <t>任务</t>
        </is>
      </c>
      <c r="B1" s="1" t="inlineStr">
        <is>
          <t>人员</t>
        </is>
      </c>
      <c r="C1" s="1" t="inlineStr">
        <is>
          <t>开始日期</t>
        </is>
      </c>
      <c r="D1" s="1" t="inlineStr">
        <is>
          <t>状态</t>
        </is>
      </c>
      <c r="E1" s="1" t="inlineStr">
        <is>
          <t>版本</t>
        </is>
      </c>
      <c r="F1" s="1" t="inlineStr">
        <is>
          <t>任务类型</t>
        </is>
      </c>
      <c r="G1" s="1" t="inlineStr">
        <is>
          <t>功能类型</t>
        </is>
      </c>
      <c r="H1" s="1" t="inlineStr">
        <is>
          <t>任务描述</t>
        </is>
      </c>
      <c r="I1" s="1" t="inlineStr">
        <is>
          <t>结束日期</t>
        </is>
      </c>
      <c r="J1" s="1" t="inlineStr">
        <is>
          <t>优先级</t>
        </is>
      </c>
    </row>
    <row r="2" ht="12.75" customHeight="1">
      <c r="A2" t="inlineStr">
        <is>
          <t>战争迷雾优化</t>
        </is>
      </c>
      <c r="B2" t="inlineStr">
        <is>
          <t>Decay</t>
        </is>
      </c>
      <c r="C2" s="2">
        <v>45528</v>
      </c>
      <c r="D2" t="inlineStr">
        <is>
          <t>In progress</t>
        </is>
      </c>
      <c r="E2" t="inlineStr">
        <is>
          <t>v0.0.2</t>
        </is>
      </c>
      <c r="F2" t="inlineStr">
        <is>
          <t>Feature</t>
        </is>
      </c>
      <c r="G2" t="inlineStr">
        <is>
          <t>玩法</t>
        </is>
      </c>
      <c r="H2" t="inlineStr">
        <is>
          <t>v0.0.2</t>
        </is>
      </c>
      <c r="I2" s="2">
        <v>45537</v>
      </c>
      <c r="J2" t="inlineStr">
        <is>
          <t>P1</t>
        </is>
      </c>
    </row>
    <row r="3" ht="12.75" customHeight="1">
      <c r="A3" t="inlineStr">
        <is>
          <t>v0.0.2规划</t>
        </is>
      </c>
      <c r="B3" t="inlineStr">
        <is>
          <t>龚政涛</t>
        </is>
      </c>
      <c r="C3" s="2">
        <v>45528</v>
      </c>
      <c r="D3" t="inlineStr">
        <is>
          <t>In progress</t>
        </is>
      </c>
      <c r="E3" t="inlineStr">
        <is>
          <t>v0.0.2</t>
        </is>
      </c>
      <c r="F3"/>
      <c r="G3"/>
      <c r="H3"/>
      <c r="I3" s="2">
        <v>45541</v>
      </c>
      <c r="J3"/>
    </row>
    <row r="4" ht="12.75" customHeight="1">
      <c r="A4" t="inlineStr">
        <is>
          <t>整理文档</t>
        </is>
      </c>
      <c r="B4" t="inlineStr">
        <is>
          <t>龚政涛</t>
        </is>
      </c>
      <c r="C4" s="2">
        <v>45528</v>
      </c>
      <c r="D4" t="inlineStr">
        <is>
          <t>In progress</t>
        </is>
      </c>
      <c r="E4" t="inlineStr">
        <is>
          <t>v0.0.2</t>
        </is>
      </c>
      <c r="F4"/>
      <c r="G4"/>
      <c r="H4"/>
      <c r="I4" s="2">
        <v>45541</v>
      </c>
      <c r="J4"/>
    </row>
    <row r="5" ht="12.75" customHeight="1">
      <c r="A5" t="inlineStr">
        <is>
          <t>基于关卡权重强化小怪</t>
        </is>
      </c>
      <c r="B5" t="inlineStr">
        <is>
          <t>李少秋,Decay</t>
        </is>
      </c>
      <c r="C5" s="2">
        <v>45535</v>
      </c>
      <c r="D5" t="inlineStr">
        <is>
          <t>In progress</t>
        </is>
      </c>
      <c r="E5" t="inlineStr">
        <is>
          <t>v0.0.2</t>
        </is>
      </c>
      <c r="F5"/>
      <c r="G5" t="inlineStr">
        <is>
          <t>AI系统</t>
        </is>
      </c>
      <c r="H5"/>
      <c r="I5" s="2">
        <v>45541</v>
      </c>
      <c r="J5"/>
    </row>
    <row r="6" ht="12.75" customHeight="1">
      <c r="A6" t="inlineStr">
        <is>
          <t>准备AI事件逻辑</t>
        </is>
      </c>
      <c r="B6" t="inlineStr">
        <is>
          <t>龚政涛,苏祺恒</t>
        </is>
      </c>
      <c r="C6" s="2">
        <v>45536</v>
      </c>
      <c r="D6" t="inlineStr">
        <is>
          <t>In progress</t>
        </is>
      </c>
      <c r="E6" t="inlineStr">
        <is>
          <t>v0.0.2</t>
        </is>
      </c>
      <c r="F6"/>
      <c r="G6"/>
      <c r="H6"/>
      <c r="I6" s="2">
        <v>45537</v>
      </c>
      <c r="J6"/>
    </row>
    <row r="7" ht="12.75" customHeight="1">
      <c r="A7" t="inlineStr">
        <is>
          <t>远程攻击系统更新</t>
        </is>
      </c>
      <c r="B7" t="inlineStr">
        <is>
          <t>Decay</t>
        </is>
      </c>
      <c r="C7" s="2">
        <v>45537</v>
      </c>
      <c r="D7" t="inlineStr">
        <is>
          <t>In progress</t>
        </is>
      </c>
      <c r="E7" t="inlineStr">
        <is>
          <t>v0.0.2</t>
        </is>
      </c>
      <c r="F7"/>
      <c r="G7"/>
      <c r="H7"/>
      <c r="I7" s="2">
        <v>45541</v>
      </c>
      <c r="J7"/>
    </row>
    <row r="8" ht="12.75" customHeight="1">
      <c r="A8" t="inlineStr">
        <is>
          <t>找俯视角敌人案例</t>
        </is>
      </c>
      <c r="B8" t="inlineStr">
        <is>
          <t>龚政涛,苏祺恒</t>
        </is>
      </c>
      <c r="C8" s="2">
        <v>45537</v>
      </c>
      <c r="D8" t="inlineStr">
        <is>
          <t>In progress</t>
        </is>
      </c>
      <c r="E8" t="inlineStr">
        <is>
          <t>v0.0.2</t>
        </is>
      </c>
      <c r="F8"/>
      <c r="G8"/>
      <c r="H8"/>
      <c r="I8" s="2">
        <v>45541</v>
      </c>
      <c r="J8"/>
    </row>
    <row r="9" ht="12.75" customHeight="1">
      <c r="A9" t="inlineStr">
        <is>
          <t>调整AI触碰事件逻辑</t>
        </is>
      </c>
      <c r="B9" t="inlineStr">
        <is>
          <t>李少秋</t>
        </is>
      </c>
      <c r="C9" s="2">
        <v>45537</v>
      </c>
      <c r="D9" t="inlineStr">
        <is>
          <t>In progress</t>
        </is>
      </c>
      <c r="E9" t="inlineStr">
        <is>
          <t>v0.0.2</t>
        </is>
      </c>
      <c r="F9"/>
      <c r="G9"/>
      <c r="H9"/>
      <c r="I9" s="2">
        <v>45539</v>
      </c>
      <c r="J9"/>
    </row>
    <row r="10" ht="12.75" customHeight="1">
      <c r="A10" t="inlineStr">
        <is>
          <t>打印机方案1 - zoom in - lofi</t>
        </is>
      </c>
      <c r="B10" t="inlineStr">
        <is>
          <t>Zoey</t>
        </is>
      </c>
      <c r="C10" s="2">
        <v>45540</v>
      </c>
      <c r="D10" t="inlineStr">
        <is>
          <t>In progress</t>
        </is>
      </c>
      <c r="E10" t="inlineStr">
        <is>
          <t>v0.0.2</t>
        </is>
      </c>
      <c r="F10"/>
      <c r="G10"/>
      <c r="H10"/>
      <c r="I10" s="2">
        <v>45541</v>
      </c>
      <c r="J10"/>
    </row>
    <row r="11" ht="12.75" customHeight="1">
      <c r="A11" t="inlineStr">
        <is>
          <t>打印机方案2 - 3选1 - lofi</t>
        </is>
      </c>
      <c r="B11" t="inlineStr">
        <is>
          <t>Zoey</t>
        </is>
      </c>
      <c r="C11" s="2">
        <v>45540</v>
      </c>
      <c r="D11" t="inlineStr">
        <is>
          <t>In progress</t>
        </is>
      </c>
      <c r="E11" t="inlineStr">
        <is>
          <t>v0.0.2</t>
        </is>
      </c>
      <c r="F11"/>
      <c r="G11"/>
      <c r="H11"/>
      <c r="I11" s="2">
        <v>45541</v>
      </c>
      <c r="J11"/>
    </row>
    <row r="12" ht="12.75" customHeight="1">
      <c r="A12" t="inlineStr">
        <is>
          <t>调整AI伤害事件逻辑</t>
        </is>
      </c>
      <c r="B12" t="inlineStr">
        <is>
          <t>李少秋</t>
        </is>
      </c>
      <c r="C12" s="2">
        <v>45540</v>
      </c>
      <c r="D12" t="inlineStr">
        <is>
          <t>In progress</t>
        </is>
      </c>
      <c r="E12" t="inlineStr">
        <is>
          <t>v0.0.2</t>
        </is>
      </c>
      <c r="F12"/>
      <c r="G12"/>
      <c r="H12"/>
      <c r="I12" s="2">
        <v>45542</v>
      </c>
      <c r="J12"/>
    </row>
    <row r="13" ht="12.75" customHeight="1">
      <c r="A13" t="inlineStr">
        <is>
          <t>体力圈 - lofi</t>
        </is>
      </c>
      <c r="B13" t="inlineStr">
        <is>
          <t>Zoey</t>
        </is>
      </c>
      <c r="C13" s="2">
        <v>45541</v>
      </c>
      <c r="D13" t="inlineStr">
        <is>
          <t>In progress</t>
        </is>
      </c>
      <c r="E13" t="inlineStr">
        <is>
          <t>v0.0.2</t>
        </is>
      </c>
      <c r="F13"/>
      <c r="G13"/>
      <c r="H13"/>
      <c r="I13" s="2">
        <v>45543</v>
      </c>
      <c r="J13"/>
    </row>
    <row r="14" ht="12.75" customHeight="1">
      <c r="A14" t="inlineStr">
        <is>
          <t>换弹圈 - lofi</t>
        </is>
      </c>
      <c r="B14" t="inlineStr">
        <is>
          <t>Zoey</t>
        </is>
      </c>
      <c r="C14" s="2">
        <v>45541</v>
      </c>
      <c r="D14" t="inlineStr">
        <is>
          <t>In progress</t>
        </is>
      </c>
      <c r="E14" t="inlineStr">
        <is>
          <t>v0.0.2</t>
        </is>
      </c>
      <c r="F14"/>
      <c r="G14"/>
      <c r="H14"/>
      <c r="I14" s="2">
        <v>45543</v>
      </c>
      <c r="J14"/>
    </row>
    <row r="15" ht="12.75" customHeight="1">
      <c r="A15" t="inlineStr">
        <is>
          <t>新的血条方案</t>
        </is>
      </c>
      <c r="B15" t="inlineStr">
        <is>
          <t>Zoey</t>
        </is>
      </c>
      <c r="C15" s="2">
        <v>45541</v>
      </c>
      <c r="D15" t="inlineStr">
        <is>
          <t>In progress</t>
        </is>
      </c>
      <c r="E15" t="inlineStr">
        <is>
          <t>v0.0.2</t>
        </is>
      </c>
      <c r="F15"/>
      <c r="G15"/>
      <c r="H15"/>
      <c r="I15" s="2">
        <v>45543</v>
      </c>
      <c r="J15"/>
    </row>
    <row r="16" ht="12.75" customHeight="1">
      <c r="A16" t="inlineStr">
        <is>
          <t>关卡白模搭建</t>
        </is>
      </c>
      <c r="B16" t="inlineStr">
        <is>
          <t>龚政涛</t>
        </is>
      </c>
      <c r="C16" s="2">
        <v>45541</v>
      </c>
      <c r="D16" t="inlineStr">
        <is>
          <t>In progress</t>
        </is>
      </c>
      <c r="E16" t="inlineStr">
        <is>
          <t>v0.0.2</t>
        </is>
      </c>
      <c r="F16"/>
      <c r="G16"/>
      <c r="H16"/>
      <c r="I16" s="2">
        <v>45547</v>
      </c>
      <c r="J16"/>
    </row>
    <row r="17" ht="12.75" customHeight="1">
      <c r="A17" t="inlineStr">
        <is>
          <t>调整AI听觉事件逻辑</t>
        </is>
      </c>
      <c r="B17" t="inlineStr">
        <is>
          <t>李少秋</t>
        </is>
      </c>
      <c r="C17" s="2">
        <v>45543</v>
      </c>
      <c r="D17" t="inlineStr">
        <is>
          <t>In progress</t>
        </is>
      </c>
      <c r="E17" t="inlineStr">
        <is>
          <t>v0.0.2</t>
        </is>
      </c>
      <c r="F17"/>
      <c r="G17"/>
      <c r="H17"/>
      <c r="I17" s="2">
        <v>45545</v>
      </c>
      <c r="J17"/>
    </row>
    <row r="18" ht="12.75" customHeight="1">
      <c r="A18" t="inlineStr">
        <is>
          <t>AI制作的场景概念草图</t>
        </is>
      </c>
      <c r="B18" t="inlineStr">
        <is>
          <t>龚政涛</t>
        </is>
      </c>
      <c r="C18" s="2">
        <v>45544</v>
      </c>
      <c r="D18" t="inlineStr">
        <is>
          <t>In progress</t>
        </is>
      </c>
      <c r="E18" t="inlineStr">
        <is>
          <t>v0.0.2</t>
        </is>
      </c>
      <c r="F18"/>
      <c r="G18"/>
      <c r="H18"/>
      <c r="I18" s="2">
        <v>45550</v>
      </c>
      <c r="J18"/>
    </row>
    <row r="19" ht="12.75" customHeight="1">
      <c r="A19" t="inlineStr">
        <is>
          <t>游戏内角色paint over</t>
        </is>
      </c>
      <c r="B19" t="inlineStr">
        <is>
          <t>Ke Huang</t>
        </is>
      </c>
      <c r="C19" s="2">
        <v>45547</v>
      </c>
      <c r="D19" t="inlineStr">
        <is>
          <t>In progress</t>
        </is>
      </c>
      <c r="E19" t="inlineStr">
        <is>
          <t>v0.0.2</t>
        </is>
      </c>
      <c r="F19"/>
      <c r="G19"/>
      <c r="H19"/>
      <c r="I19" s="2">
        <v>45555</v>
      </c>
      <c r="J19"/>
    </row>
    <row r="20" ht="12.75" customHeight="1">
      <c r="A20" t="inlineStr">
        <is>
          <t>团队事件逻辑</t>
        </is>
      </c>
      <c r="B20" t="inlineStr">
        <is>
          <t>李少秋</t>
        </is>
      </c>
      <c r="C20" s="2"/>
      <c r="D20" t="inlineStr">
        <is>
          <t>In progress</t>
        </is>
      </c>
      <c r="E20" t="inlineStr">
        <is>
          <t>v0.0.2</t>
        </is>
      </c>
      <c r="F20"/>
      <c r="G20"/>
      <c r="H20"/>
      <c r="I20" s="2"/>
      <c r="J20"/>
    </row>
    <row r="21" ht="12.75" customHeight="1">
      <c r="A21" t="inlineStr">
        <is>
          <t>环境Noise</t>
        </is>
      </c>
      <c r="B21" t="inlineStr">
        <is>
          <t>李少秋</t>
        </is>
      </c>
      <c r="C21" s="2"/>
      <c r="D21" t="inlineStr">
        <is>
          <t>In progress</t>
        </is>
      </c>
      <c r="E21" t="inlineStr">
        <is>
          <t>v0.0.2</t>
        </is>
      </c>
      <c r="F21"/>
      <c r="G21"/>
      <c r="H21"/>
      <c r="I21" s="2"/>
      <c r="J21"/>
    </row>
    <row r="22" ht="12.75" customHeight="1">
      <c r="A22" t="inlineStr">
        <is>
          <t>攻击欲望系统</t>
        </is>
      </c>
      <c r="B22" t="inlineStr">
        <is>
          <t>李少秋</t>
        </is>
      </c>
      <c r="C22" s="2"/>
      <c r="D22" t="inlineStr">
        <is>
          <t>In progress</t>
        </is>
      </c>
      <c r="E22" t="inlineStr">
        <is>
          <t>v0.0.2</t>
        </is>
      </c>
      <c r="F22"/>
      <c r="G22"/>
      <c r="H22"/>
      <c r="I22" s="2"/>
      <c r="J22"/>
    </row>
    <row r="23" ht="12.75" customHeight="1">
      <c r="A23" t="inlineStr">
        <is>
          <t>战斗关卡场景白模</t>
        </is>
      </c>
      <c r="B23" t="inlineStr">
        <is>
          <t>Joyce Jiao</t>
        </is>
      </c>
      <c r="C23" s="2">
        <v>45472</v>
      </c>
      <c r="D23" t="inlineStr">
        <is>
          <t>Not started</t>
        </is>
      </c>
      <c r="E23" t="inlineStr">
        <is>
          <t>v0.1</t>
        </is>
      </c>
      <c r="F23" t="inlineStr">
        <is>
          <t>Feature</t>
        </is>
      </c>
      <c r="G23" t="inlineStr">
        <is>
          <t>角色美术</t>
        </is>
      </c>
      <c r="H23"/>
      <c r="I23" s="2">
        <v>45492</v>
      </c>
      <c r="J23"/>
    </row>
    <row r="24" ht="12.75" customHeight="1">
      <c r="A24" t="inlineStr">
        <is>
          <t>剧情系统框架</t>
        </is>
      </c>
      <c r="B24" t="inlineStr">
        <is>
          <t>Decay</t>
        </is>
      </c>
      <c r="C24" s="2">
        <v>45507</v>
      </c>
      <c r="D24" t="inlineStr">
        <is>
          <t>Not started</t>
        </is>
      </c>
      <c r="E24" t="inlineStr">
        <is>
          <t>v0.1</t>
        </is>
      </c>
      <c r="F24" t="inlineStr">
        <is>
          <t>Feature</t>
        </is>
      </c>
      <c r="G24" t="inlineStr">
        <is>
          <t>底层系统</t>
        </is>
      </c>
      <c r="H24"/>
      <c r="I24" s="2">
        <v>45520</v>
      </c>
      <c r="J24"/>
    </row>
    <row r="25" ht="12.75" customHeight="1">
      <c r="A25" t="inlineStr">
        <is>
          <t>投掷武器</t>
        </is>
      </c>
      <c r="B25" t="inlineStr">
        <is>
          <t>Decay</t>
        </is>
      </c>
      <c r="C25" s="2">
        <v>45521</v>
      </c>
      <c r="D25" t="inlineStr">
        <is>
          <t>Not started</t>
        </is>
      </c>
      <c r="E25" t="inlineStr">
        <is>
          <t>v0.1</t>
        </is>
      </c>
      <c r="F25"/>
      <c r="G25" t="inlineStr">
        <is>
          <t>武器系统</t>
        </is>
      </c>
      <c r="H25"/>
      <c r="I25" s="2">
        <v>45534</v>
      </c>
      <c r="J25"/>
    </row>
    <row r="26" ht="12.75" customHeight="1">
      <c r="A26" t="inlineStr">
        <is>
          <t>近战攻击 - 无武器</t>
        </is>
      </c>
      <c r="B26" t="inlineStr">
        <is>
          <t>Decay</t>
        </is>
      </c>
      <c r="C26" s="2">
        <v>45528</v>
      </c>
      <c r="D26" t="inlineStr">
        <is>
          <t>Not started</t>
        </is>
      </c>
      <c r="E26" t="inlineStr">
        <is>
          <t>v0.1</t>
        </is>
      </c>
      <c r="F26" t="inlineStr">
        <is>
          <t>Feature</t>
        </is>
      </c>
      <c r="G26" t="inlineStr">
        <is>
          <t>角色控制</t>
        </is>
      </c>
      <c r="H26" t="inlineStr">
        <is>
          <t>按F触发近战攻击和动画，近战攻击在面前的一个扇形空间内造成伤害，应该可以配置扇形半径和张角，应该可以配置一个开关，开启绘制伤害扇形（debug用）</t>
        </is>
      </c>
      <c r="I26" s="2">
        <v>45541</v>
      </c>
      <c r="J26"/>
    </row>
    <row r="27" ht="12.75" customHeight="1">
      <c r="A27" t="inlineStr">
        <is>
          <t>基于规则生成随机候选项</t>
        </is>
      </c>
      <c r="B27" t="inlineStr">
        <is>
          <t>白煜明</t>
        </is>
      </c>
      <c r="C27" s="2">
        <v>45528</v>
      </c>
      <c r="D27" t="inlineStr">
        <is>
          <t>Not started</t>
        </is>
      </c>
      <c r="E27" t="inlineStr">
        <is>
          <t>v0.1</t>
        </is>
      </c>
      <c r="F27" t="inlineStr">
        <is>
          <t>Feature</t>
        </is>
      </c>
      <c r="G27" t="inlineStr">
        <is>
          <t>奖励系统</t>
        </is>
      </c>
      <c r="H27"/>
      <c r="I27" s="2">
        <v>45541</v>
      </c>
      <c r="J27"/>
    </row>
    <row r="28" ht="12.75" customHeight="1">
      <c r="A28" t="inlineStr">
        <is>
          <t>撰写冲击力+硬直系统逻辑</t>
        </is>
      </c>
      <c r="B28" t="inlineStr">
        <is>
          <t>苏祺恒</t>
        </is>
      </c>
      <c r="C28" s="2">
        <v>45535</v>
      </c>
      <c r="D28" t="inlineStr">
        <is>
          <t>Not started</t>
        </is>
      </c>
      <c r="E28" t="inlineStr">
        <is>
          <t>v0.0.2</t>
        </is>
      </c>
      <c r="F28"/>
      <c r="G28"/>
      <c r="H28"/>
      <c r="I28" s="2">
        <v>45548</v>
      </c>
      <c r="J28"/>
    </row>
    <row r="29" ht="12.75" customHeight="1">
      <c r="A29" t="inlineStr">
        <is>
          <t>数值批量导入</t>
        </is>
      </c>
      <c r="B29" t="inlineStr">
        <is>
          <t>Decay,白煜明</t>
        </is>
      </c>
      <c r="C29" s="2">
        <v>45535</v>
      </c>
      <c r="D29" t="inlineStr">
        <is>
          <t>Not started</t>
        </is>
      </c>
      <c r="E29" t="inlineStr">
        <is>
          <t>v0.1</t>
        </is>
      </c>
      <c r="F29"/>
      <c r="G29" t="inlineStr">
        <is>
          <t>底层系统</t>
        </is>
      </c>
      <c r="H29" t="inlineStr">
        <is>
          <t>property matrix</t>
        </is>
      </c>
      <c r="I29" s="2">
        <v>45548</v>
      </c>
      <c r="J29"/>
    </row>
    <row r="30" ht="12.75" customHeight="1">
      <c r="A30" t="inlineStr">
        <is>
          <t>「游民」全身概设</t>
        </is>
      </c>
      <c r="B30" t="inlineStr">
        <is>
          <t>Ke Huang</t>
        </is>
      </c>
      <c r="C30" s="2">
        <v>45535</v>
      </c>
      <c r="D30" t="inlineStr">
        <is>
          <t>Not started</t>
        </is>
      </c>
      <c r="E30" t="inlineStr">
        <is>
          <t>v0.0.2</t>
        </is>
      </c>
      <c r="F30"/>
      <c r="G30"/>
      <c r="H30"/>
      <c r="I30" s="2">
        <v>45562</v>
      </c>
      <c r="J30"/>
    </row>
    <row r="31" ht="12.75" customHeight="1">
      <c r="A31" t="inlineStr">
        <is>
          <t>撰写主线剧情</t>
        </is>
      </c>
      <c r="B31" t="inlineStr">
        <is>
          <t>Serein,Jade,龚政涛</t>
        </is>
      </c>
      <c r="C31" s="2">
        <v>45535</v>
      </c>
      <c r="D31" t="inlineStr">
        <is>
          <t>Not started</t>
        </is>
      </c>
      <c r="E31" t="inlineStr">
        <is>
          <t>v0.0.2</t>
        </is>
      </c>
      <c r="F31"/>
      <c r="G31"/>
      <c r="H31"/>
      <c r="I31" s="2">
        <v>45583</v>
      </c>
      <c r="J31"/>
    </row>
    <row r="32" ht="12.75" customHeight="1">
      <c r="A32" t="inlineStr">
        <is>
          <t>武器-打印机优化</t>
        </is>
      </c>
      <c r="B32" t="inlineStr">
        <is>
          <t>Decay</t>
        </is>
      </c>
      <c r="C32" s="2">
        <v>45537</v>
      </c>
      <c r="D32" t="inlineStr">
        <is>
          <t>Not started</t>
        </is>
      </c>
      <c r="E32" t="inlineStr">
        <is>
          <t>v0.0.2</t>
        </is>
      </c>
      <c r="F32"/>
      <c r="G32"/>
      <c r="H32"/>
      <c r="I32" s="2">
        <v>45541</v>
      </c>
      <c r="J32"/>
    </row>
    <row r="33" ht="12.75" customHeight="1">
      <c r="A33" t="inlineStr">
        <is>
          <t>标准关卡素材制作</t>
        </is>
      </c>
      <c r="B33" t="inlineStr">
        <is>
          <t>龚政涛,Joyce Jiao</t>
        </is>
      </c>
      <c r="C33" s="2">
        <v>45537</v>
      </c>
      <c r="D33" t="inlineStr">
        <is>
          <t>Not started</t>
        </is>
      </c>
      <c r="E33" t="inlineStr">
        <is>
          <t>v0.0.2</t>
        </is>
      </c>
      <c r="F33"/>
      <c r="G33"/>
      <c r="H33"/>
      <c r="I33" s="2">
        <v>45541</v>
      </c>
      <c r="J33"/>
    </row>
    <row r="34" ht="12.75" customHeight="1">
      <c r="A34" t="inlineStr">
        <is>
          <t>「劳旅」文字贴图</t>
        </is>
      </c>
      <c r="B34" t="inlineStr">
        <is>
          <t>Arthur Li</t>
        </is>
      </c>
      <c r="C34" s="2">
        <v>45542</v>
      </c>
      <c r="D34" t="inlineStr">
        <is>
          <t>Not started</t>
        </is>
      </c>
      <c r="E34" t="inlineStr">
        <is>
          <t>v0.0.2</t>
        </is>
      </c>
      <c r="F34"/>
      <c r="G34"/>
      <c r="H34"/>
      <c r="I34" s="2">
        <v>45548</v>
      </c>
      <c r="J34"/>
    </row>
    <row r="35" ht="12.75" customHeight="1">
      <c r="A35" t="inlineStr">
        <is>
          <t>近战系统更新</t>
        </is>
      </c>
      <c r="B35" t="inlineStr">
        <is>
          <t>Decay</t>
        </is>
      </c>
      <c r="C35" s="2">
        <v>45542</v>
      </c>
      <c r="D35" t="inlineStr">
        <is>
          <t>Not started</t>
        </is>
      </c>
      <c r="E35" t="inlineStr">
        <is>
          <t>v0.0.2</t>
        </is>
      </c>
      <c r="F35" t="inlineStr">
        <is>
          <t>Content</t>
        </is>
      </c>
      <c r="G35" t="inlineStr">
        <is>
          <t>角色控制</t>
        </is>
      </c>
      <c r="H35" t="inlineStr">
        <is>
          <t>v0.0.2</t>
        </is>
      </c>
      <c r="I35" s="2">
        <v>45548</v>
      </c>
      <c r="J35"/>
    </row>
    <row r="36" ht="12.75" customHeight="1">
      <c r="A36" t="inlineStr">
        <is>
          <t>义体-打印机</t>
        </is>
      </c>
      <c r="B36" t="inlineStr">
        <is>
          <t>Decay</t>
        </is>
      </c>
      <c r="C36" s="2">
        <v>45542</v>
      </c>
      <c r="D36" t="inlineStr">
        <is>
          <t>Not started</t>
        </is>
      </c>
      <c r="E36" t="inlineStr">
        <is>
          <t>v0.0.2</t>
        </is>
      </c>
      <c r="F36"/>
      <c r="G36"/>
      <c r="H36"/>
      <c r="I36" s="2">
        <v>45548</v>
      </c>
      <c r="J36"/>
    </row>
    <row r="37" ht="12.75" customHeight="1">
      <c r="A37" t="inlineStr">
        <is>
          <t>风格化后处理尝试</t>
        </is>
      </c>
      <c r="B37" t="inlineStr">
        <is>
          <t>Joyce Jiao,Decay,龚政涛</t>
        </is>
      </c>
      <c r="C37" s="2">
        <v>45542</v>
      </c>
      <c r="D37" t="inlineStr">
        <is>
          <t>Not started</t>
        </is>
      </c>
      <c r="E37" t="inlineStr">
        <is>
          <t>v0.0.2</t>
        </is>
      </c>
      <c r="F37" t="inlineStr">
        <is>
          <t>Content</t>
        </is>
      </c>
      <c r="G37" t="inlineStr">
        <is>
          <t>游戏内容</t>
        </is>
      </c>
      <c r="H37"/>
      <c r="I37" s="2">
        <v>45562</v>
      </c>
      <c r="J37" t="inlineStr">
        <is>
          <t>P0</t>
        </is>
      </c>
    </row>
    <row r="38" ht="12.75" customHeight="1">
      <c r="A38" t="inlineStr">
        <is>
          <t>关卡白模测试</t>
        </is>
      </c>
      <c r="B38" t="inlineStr">
        <is>
          <t>龚政涛,苏祺恒</t>
        </is>
      </c>
      <c r="C38" s="2">
        <v>45542</v>
      </c>
      <c r="D38" t="inlineStr">
        <is>
          <t>Not started</t>
        </is>
      </c>
      <c r="E38" t="inlineStr">
        <is>
          <t>v0.0.2</t>
        </is>
      </c>
      <c r="F38"/>
      <c r="G38"/>
      <c r="H38"/>
      <c r="I38" s="2">
        <v>45555</v>
      </c>
      <c r="J38"/>
    </row>
    <row r="39" ht="12.75" customHeight="1">
      <c r="A39" t="inlineStr">
        <is>
          <t>撰写近战攻击逻辑</t>
        </is>
      </c>
      <c r="B39" t="inlineStr">
        <is>
          <t>龚政涛,苏祺恒</t>
        </is>
      </c>
      <c r="C39" s="2">
        <v>45542</v>
      </c>
      <c r="D39" t="inlineStr">
        <is>
          <t>Not started</t>
        </is>
      </c>
      <c r="E39" t="inlineStr">
        <is>
          <t>v0.0.2</t>
        </is>
      </c>
      <c r="F39"/>
      <c r="G39"/>
      <c r="H39"/>
      <c r="I39" s="2">
        <v>45548</v>
      </c>
      <c r="J39"/>
    </row>
    <row r="40" ht="12.75" customHeight="1">
      <c r="A40" t="inlineStr">
        <is>
          <t>圈 + 打印机lofi - 实装</t>
        </is>
      </c>
      <c r="B40" t="inlineStr">
        <is>
          <t>Zoey</t>
        </is>
      </c>
      <c r="C40" s="2">
        <v>45544</v>
      </c>
      <c r="D40" t="inlineStr">
        <is>
          <t>Not started</t>
        </is>
      </c>
      <c r="E40" t="inlineStr">
        <is>
          <t>v0.0.2</t>
        </is>
      </c>
      <c r="F40"/>
      <c r="G40"/>
      <c r="H40"/>
      <c r="I40" s="2">
        <v>45545</v>
      </c>
      <c r="J40"/>
    </row>
    <row r="41" ht="12.75" customHeight="1">
      <c r="A41" t="inlineStr">
        <is>
          <t>菜单lofi方案2</t>
        </is>
      </c>
      <c r="B41" t="inlineStr">
        <is>
          <t>Zoey</t>
        </is>
      </c>
      <c r="C41" s="2">
        <v>45546</v>
      </c>
      <c r="D41" t="inlineStr">
        <is>
          <t>Not started</t>
        </is>
      </c>
      <c r="E41" t="inlineStr">
        <is>
          <t>v0.0.2</t>
        </is>
      </c>
      <c r="F41"/>
      <c r="G41"/>
      <c r="H41"/>
      <c r="I41" s="2">
        <v>45548</v>
      </c>
      <c r="J41"/>
    </row>
    <row r="42" ht="12.75" customHeight="1">
      <c r="A42" t="inlineStr">
        <is>
          <t>广播方案1 - lofi</t>
        </is>
      </c>
      <c r="B42" t="inlineStr">
        <is>
          <t>Zoey</t>
        </is>
      </c>
      <c r="C42" s="2">
        <v>45546</v>
      </c>
      <c r="D42" t="inlineStr">
        <is>
          <t>Not started</t>
        </is>
      </c>
      <c r="E42" t="inlineStr">
        <is>
          <t>v0.0.2</t>
        </is>
      </c>
      <c r="F42"/>
      <c r="G42"/>
      <c r="H42"/>
      <c r="I42" s="2">
        <v>45548</v>
      </c>
      <c r="J42"/>
    </row>
    <row r="43" ht="12.75" customHeight="1">
      <c r="A43" t="inlineStr">
        <is>
          <t>广播方案2 - lofi</t>
        </is>
      </c>
      <c r="B43" t="inlineStr">
        <is>
          <t>Zoey</t>
        </is>
      </c>
      <c r="C43" s="2">
        <v>45546</v>
      </c>
      <c r="D43" t="inlineStr">
        <is>
          <t>Not started</t>
        </is>
      </c>
      <c r="E43" t="inlineStr">
        <is>
          <t>v0.0.2</t>
        </is>
      </c>
      <c r="F43"/>
      <c r="G43"/>
      <c r="H43"/>
      <c r="I43" s="2">
        <v>45548</v>
      </c>
      <c r="J43"/>
    </row>
    <row r="44" ht="12.75" customHeight="1">
      <c r="A44" t="inlineStr">
        <is>
          <t>「劳旅」战斗场景概念美术</t>
        </is>
      </c>
      <c r="B44" t="inlineStr">
        <is>
          <t>Arthur Li</t>
        </is>
      </c>
      <c r="C44" s="2">
        <v>45549</v>
      </c>
      <c r="D44" t="inlineStr">
        <is>
          <t>Not started</t>
        </is>
      </c>
      <c r="E44" t="inlineStr">
        <is>
          <t>v0.0.2</t>
        </is>
      </c>
      <c r="F44" t="inlineStr">
        <is>
          <t>Content</t>
        </is>
      </c>
      <c r="G44" t="inlineStr">
        <is>
          <t>场景美术</t>
        </is>
      </c>
      <c r="H44"/>
      <c r="I44" s="2">
        <v>45562</v>
      </c>
      <c r="J44" t="inlineStr">
        <is>
          <t>P1</t>
        </is>
      </c>
    </row>
    <row r="45" ht="12.75" customHeight="1">
      <c r="A45" t="inlineStr">
        <is>
          <t>武器数值批量导入</t>
        </is>
      </c>
      <c r="B45" t="inlineStr">
        <is>
          <t>Decay</t>
        </is>
      </c>
      <c r="C45" s="2">
        <v>45549</v>
      </c>
      <c r="D45" t="inlineStr">
        <is>
          <t>Not started</t>
        </is>
      </c>
      <c r="E45" t="inlineStr">
        <is>
          <t>v0.1</t>
        </is>
      </c>
      <c r="F45"/>
      <c r="G45" t="inlineStr">
        <is>
          <t>武器系统</t>
        </is>
      </c>
      <c r="H45"/>
      <c r="I45" s="2">
        <v>45555</v>
      </c>
      <c r="J45"/>
    </row>
    <row r="46" ht="12.75" customHeight="1">
      <c r="A46" t="inlineStr">
        <is>
          <t>敌人死亡后尸体不消失</t>
        </is>
      </c>
      <c r="B46" t="inlineStr">
        <is>
          <t>Decay</t>
        </is>
      </c>
      <c r="C46" s="2">
        <v>45549</v>
      </c>
      <c r="D46" t="inlineStr">
        <is>
          <t>Not started</t>
        </is>
      </c>
      <c r="E46" t="inlineStr">
        <is>
          <t>v0.0.2</t>
        </is>
      </c>
      <c r="F46"/>
      <c r="G46"/>
      <c r="H46"/>
      <c r="I46" s="2">
        <v>45555</v>
      </c>
      <c r="J46"/>
    </row>
    <row r="47" ht="12.75" customHeight="1">
      <c r="A47" t="inlineStr">
        <is>
          <t>lofi2实装</t>
        </is>
      </c>
      <c r="B47" t="inlineStr">
        <is>
          <t>Zoey</t>
        </is>
      </c>
      <c r="C47" s="2">
        <v>45549</v>
      </c>
      <c r="D47" t="inlineStr">
        <is>
          <t>Not started</t>
        </is>
      </c>
      <c r="E47" t="inlineStr">
        <is>
          <t>v0.0.2</t>
        </is>
      </c>
      <c r="F47"/>
      <c r="G47"/>
      <c r="H47"/>
      <c r="I47" s="2">
        <v>45550</v>
      </c>
      <c r="J47"/>
    </row>
    <row r="48" ht="12.75" customHeight="1">
      <c r="A48" t="inlineStr">
        <is>
          <t>lofi调整</t>
        </is>
      </c>
      <c r="B48" t="inlineStr">
        <is>
          <t>Zoey</t>
        </is>
      </c>
      <c r="C48" s="2">
        <v>45549</v>
      </c>
      <c r="D48" t="inlineStr">
        <is>
          <t>Not started</t>
        </is>
      </c>
      <c r="E48" t="inlineStr">
        <is>
          <t>v0.0.2</t>
        </is>
      </c>
      <c r="F48"/>
      <c r="G48"/>
      <c r="H48"/>
      <c r="I48" s="2">
        <v>45555</v>
      </c>
      <c r="J48"/>
    </row>
    <row r="49" ht="12.75" customHeight="1">
      <c r="A49" t="inlineStr">
        <is>
          <t>VFX需求整理</t>
        </is>
      </c>
      <c r="B49" t="inlineStr">
        <is>
          <t>龚政涛</t>
        </is>
      </c>
      <c r="C49" s="2">
        <v>45549</v>
      </c>
      <c r="D49" t="inlineStr">
        <is>
          <t>Not started</t>
        </is>
      </c>
      <c r="E49" t="inlineStr">
        <is>
          <t>v0.0.2</t>
        </is>
      </c>
      <c r="F49"/>
      <c r="G49"/>
      <c r="H49"/>
      <c r="I49" s="2">
        <v>45555</v>
      </c>
      <c r="J49"/>
    </row>
    <row r="50" ht="12.75" customHeight="1">
      <c r="A50" t="inlineStr">
        <is>
          <t>SFX需求整理</t>
        </is>
      </c>
      <c r="B50" t="inlineStr">
        <is>
          <t>龚政涛</t>
        </is>
      </c>
      <c r="C50" s="2">
        <v>45549</v>
      </c>
      <c r="D50" t="inlineStr">
        <is>
          <t>Not started</t>
        </is>
      </c>
      <c r="E50" t="inlineStr">
        <is>
          <t>v0.0.2</t>
        </is>
      </c>
      <c r="F50"/>
      <c r="G50"/>
      <c r="H50"/>
      <c r="I50" s="2">
        <v>45555</v>
      </c>
      <c r="J50"/>
    </row>
    <row r="51" ht="12.75" customHeight="1">
      <c r="A51" t="inlineStr">
        <is>
          <t>可配置的义体系统</t>
        </is>
      </c>
      <c r="B51" t="inlineStr">
        <is>
          <t>Decay</t>
        </is>
      </c>
      <c r="C51" s="2">
        <v>45556</v>
      </c>
      <c r="D51" t="inlineStr">
        <is>
          <t>Not started</t>
        </is>
      </c>
      <c r="E51" t="inlineStr">
        <is>
          <t>v0.0.2</t>
        </is>
      </c>
      <c r="F51"/>
      <c r="G51"/>
      <c r="H51"/>
      <c r="I51" s="2">
        <v>45562</v>
      </c>
      <c r="J51"/>
    </row>
    <row r="52" ht="12.75" customHeight="1">
      <c r="A52" t="inlineStr">
        <is>
          <t>「游民」头像</t>
        </is>
      </c>
      <c r="B52" t="inlineStr">
        <is>
          <t>Ke Huang</t>
        </is>
      </c>
      <c r="C52" s="2">
        <v>45556</v>
      </c>
      <c r="D52" t="inlineStr">
        <is>
          <t>Not started</t>
        </is>
      </c>
      <c r="E52" t="inlineStr">
        <is>
          <t>v0.0.2</t>
        </is>
      </c>
      <c r="F52"/>
      <c r="G52" t="inlineStr">
        <is>
          <t>角色美术</t>
        </is>
      </c>
      <c r="H52"/>
      <c r="I52" s="2">
        <v>45569</v>
      </c>
      <c r="J52"/>
    </row>
    <row r="53" ht="12.75" customHeight="1">
      <c r="A53" t="inlineStr">
        <is>
          <t>验证碎片化叙事方案</t>
        </is>
      </c>
      <c r="B53" t="inlineStr">
        <is>
          <t>Serein,Jade,龚政涛</t>
        </is>
      </c>
      <c r="C53" s="2">
        <v>45556</v>
      </c>
      <c r="D53" t="inlineStr">
        <is>
          <t>Not started</t>
        </is>
      </c>
      <c r="E53" t="inlineStr">
        <is>
          <t>v0.0.2</t>
        </is>
      </c>
      <c r="F53"/>
      <c r="G53"/>
      <c r="H53"/>
      <c r="I53" s="2">
        <v>45583</v>
      </c>
      <c r="J53"/>
    </row>
    <row r="54" ht="12.75" customHeight="1">
      <c r="A54" t="inlineStr">
        <is>
          <t>配色调整</t>
        </is>
      </c>
      <c r="B54" t="inlineStr">
        <is>
          <t>Zoey</t>
        </is>
      </c>
      <c r="C54" s="2">
        <v>45556</v>
      </c>
      <c r="D54" t="inlineStr">
        <is>
          <t>Not started</t>
        </is>
      </c>
      <c r="E54" t="inlineStr">
        <is>
          <t>v0.0.2</t>
        </is>
      </c>
      <c r="F54"/>
      <c r="G54"/>
      <c r="H54"/>
      <c r="I54" s="2">
        <v>45562</v>
      </c>
      <c r="J54"/>
    </row>
    <row r="55" ht="12.75" customHeight="1">
      <c r="A55" t="inlineStr">
        <is>
          <t>字体调整</t>
        </is>
      </c>
      <c r="B55" t="inlineStr">
        <is>
          <t>Zoey</t>
        </is>
      </c>
      <c r="C55" s="2">
        <v>45556</v>
      </c>
      <c r="D55" t="inlineStr">
        <is>
          <t>Not started</t>
        </is>
      </c>
      <c r="E55" t="inlineStr">
        <is>
          <t>v0.0.2</t>
        </is>
      </c>
      <c r="F55"/>
      <c r="G55"/>
      <c r="H55"/>
      <c r="I55" s="2">
        <v>45562</v>
      </c>
      <c r="J55"/>
    </row>
    <row r="56" ht="12.75" customHeight="1">
      <c r="A56" t="inlineStr">
        <is>
          <t>基于玩家已有的装备调整掉落</t>
        </is>
      </c>
      <c r="B56" t="inlineStr">
        <is>
          <t>白煜明</t>
        </is>
      </c>
      <c r="C56" s="2">
        <v>45556</v>
      </c>
      <c r="D56" t="inlineStr">
        <is>
          <t>Not started</t>
        </is>
      </c>
      <c r="E56" t="inlineStr">
        <is>
          <t>v0.1</t>
        </is>
      </c>
      <c r="F56" t="inlineStr">
        <is>
          <t>Feature</t>
        </is>
      </c>
      <c r="G56" t="inlineStr">
        <is>
          <t>奖励系统</t>
        </is>
      </c>
      <c r="H56"/>
      <c r="I56" s="2">
        <v>45569</v>
      </c>
      <c r="J56"/>
    </row>
    <row r="57" ht="12.75" customHeight="1">
      <c r="A57" t="inlineStr">
        <is>
          <t>Pitch Deck更新</t>
        </is>
      </c>
      <c r="B57" t="inlineStr">
        <is>
          <t>龚政涛</t>
        </is>
      </c>
      <c r="C57" s="2">
        <v>45556</v>
      </c>
      <c r="D57" t="inlineStr">
        <is>
          <t>Not started</t>
        </is>
      </c>
      <c r="E57" t="inlineStr">
        <is>
          <t>v0.0.2</t>
        </is>
      </c>
      <c r="F57"/>
      <c r="G57"/>
      <c r="H57"/>
      <c r="I57" s="2">
        <v>45562</v>
      </c>
      <c r="J57"/>
    </row>
    <row r="58" ht="12.75" customHeight="1">
      <c r="A58" t="inlineStr">
        <is>
          <t>关卡-锁定打印机</t>
        </is>
      </c>
      <c r="B58" t="inlineStr">
        <is>
          <t>Decay</t>
        </is>
      </c>
      <c r="C58" s="2">
        <v>45563</v>
      </c>
      <c r="D58" t="inlineStr">
        <is>
          <t>Not started</t>
        </is>
      </c>
      <c r="E58" t="inlineStr">
        <is>
          <t>v0.0.2</t>
        </is>
      </c>
      <c r="F58"/>
      <c r="G58"/>
      <c r="H58"/>
      <c r="I58" s="2">
        <v>45569</v>
      </c>
      <c r="J58"/>
    </row>
    <row r="59" ht="12.75" customHeight="1">
      <c r="A59" t="inlineStr">
        <is>
          <t>「劳旅」贴图素材应用</t>
        </is>
      </c>
      <c r="B59" t="inlineStr">
        <is>
          <t>Joyce Jiao</t>
        </is>
      </c>
      <c r="C59" s="2">
        <v>45563</v>
      </c>
      <c r="D59" t="inlineStr">
        <is>
          <t>Not started</t>
        </is>
      </c>
      <c r="E59" t="inlineStr">
        <is>
          <t>v0.0.2</t>
        </is>
      </c>
      <c r="F59"/>
      <c r="G59" t="inlineStr">
        <is>
          <t>游戏内容</t>
        </is>
      </c>
      <c r="H59"/>
      <c r="I59" s="2">
        <v>45576</v>
      </c>
      <c r="J59"/>
    </row>
    <row r="60" ht="12.75" customHeight="1">
      <c r="A60" t="inlineStr">
        <is>
          <t>「劳旅」关卡搭建</t>
        </is>
      </c>
      <c r="B60" t="inlineStr">
        <is>
          <t>Joyce Jiao</t>
        </is>
      </c>
      <c r="C60" s="2">
        <v>45563</v>
      </c>
      <c r="D60" t="inlineStr">
        <is>
          <t>Not started</t>
        </is>
      </c>
      <c r="E60" t="inlineStr">
        <is>
          <t>v0.0.2</t>
        </is>
      </c>
      <c r="F60"/>
      <c r="G60"/>
      <c r="H60"/>
      <c r="I60" s="2">
        <v>45576</v>
      </c>
      <c r="J60"/>
    </row>
    <row r="61" ht="12.75" customHeight="1">
      <c r="A61" t="inlineStr">
        <is>
          <t>“广播喇叭”头像</t>
        </is>
      </c>
      <c r="B61" t="inlineStr">
        <is>
          <t>Ke Huang</t>
        </is>
      </c>
      <c r="C61" s="2">
        <v>45563</v>
      </c>
      <c r="D61" t="inlineStr">
        <is>
          <t>Not started</t>
        </is>
      </c>
      <c r="E61" t="inlineStr">
        <is>
          <t>v0.0.2</t>
        </is>
      </c>
      <c r="F61"/>
      <c r="G61"/>
      <c r="H61"/>
      <c r="I61" s="2">
        <v>45569</v>
      </c>
      <c r="J61"/>
    </row>
    <row r="62" ht="12.75" customHeight="1">
      <c r="A62" t="inlineStr">
        <is>
          <t>对话ui hifi简化</t>
        </is>
      </c>
      <c r="B62" t="inlineStr">
        <is>
          <t>Zoey</t>
        </is>
      </c>
      <c r="C62" s="2">
        <v>45563</v>
      </c>
      <c r="D62" t="inlineStr">
        <is>
          <t>Not started</t>
        </is>
      </c>
      <c r="E62" t="inlineStr">
        <is>
          <t>v0.0.2</t>
        </is>
      </c>
      <c r="F62"/>
      <c r="G62"/>
      <c r="H62"/>
      <c r="I62" s="2">
        <v>45576</v>
      </c>
      <c r="J62"/>
    </row>
    <row r="63" ht="12.75" customHeight="1">
      <c r="A63" t="inlineStr">
        <is>
          <t>菜单hifi</t>
        </is>
      </c>
      <c r="B63" t="inlineStr">
        <is>
          <t>Zoey</t>
        </is>
      </c>
      <c r="C63" s="2">
        <v>45563</v>
      </c>
      <c r="D63" t="inlineStr">
        <is>
          <t>Not started</t>
        </is>
      </c>
      <c r="E63" t="inlineStr">
        <is>
          <t>v0.0.2</t>
        </is>
      </c>
      <c r="F63"/>
      <c r="G63"/>
      <c r="H63"/>
      <c r="I63" s="2">
        <v>45576</v>
      </c>
      <c r="J63"/>
    </row>
    <row r="64" ht="12.75" customHeight="1">
      <c r="A64" t="inlineStr">
        <is>
          <t>正式关卡测试</t>
        </is>
      </c>
      <c r="B64" t="inlineStr">
        <is>
          <t>龚政涛</t>
        </is>
      </c>
      <c r="C64" s="2">
        <v>45563</v>
      </c>
      <c r="D64" t="inlineStr">
        <is>
          <t>Not started</t>
        </is>
      </c>
      <c r="E64" t="inlineStr">
        <is>
          <t>v0.0.2</t>
        </is>
      </c>
      <c r="F64"/>
      <c r="G64"/>
      <c r="H64"/>
      <c r="I64" s="2">
        <v>45583</v>
      </c>
      <c r="J64"/>
    </row>
    <row r="65" ht="12.75" customHeight="1">
      <c r="A65" t="inlineStr">
        <is>
          <t>「浩」头像 - 模糊</t>
        </is>
      </c>
      <c r="B65" t="inlineStr">
        <is>
          <t>Ke Huang</t>
        </is>
      </c>
      <c r="C65" s="2">
        <v>45570</v>
      </c>
      <c r="D65" t="inlineStr">
        <is>
          <t>Not started</t>
        </is>
      </c>
      <c r="E65" t="inlineStr">
        <is>
          <t>v0.0.2</t>
        </is>
      </c>
      <c r="F65"/>
      <c r="G65" t="inlineStr">
        <is>
          <t>角色美术</t>
        </is>
      </c>
      <c r="H65"/>
      <c r="I65" s="2">
        <v>45583</v>
      </c>
      <c r="J65"/>
    </row>
    <row r="66" ht="12.75" customHeight="1">
      <c r="A66" t="inlineStr">
        <is>
          <t>hifi实装</t>
        </is>
      </c>
      <c r="B66" t="inlineStr">
        <is>
          <t>Zoey</t>
        </is>
      </c>
      <c r="C66" s="2">
        <v>45577</v>
      </c>
      <c r="D66" t="inlineStr">
        <is>
          <t>Not started</t>
        </is>
      </c>
      <c r="E66" t="inlineStr">
        <is>
          <t>v0.0.2</t>
        </is>
      </c>
      <c r="F66"/>
      <c r="G66"/>
      <c r="H66"/>
      <c r="I66" s="2">
        <v>45583</v>
      </c>
      <c r="J66"/>
    </row>
    <row r="67" ht="12.75" customHeight="1">
      <c r="A67" t="inlineStr">
        <is>
          <t>更新BP &amp; Pitch Deck</t>
        </is>
      </c>
      <c r="B67" t="inlineStr">
        <is>
          <t>龚政涛</t>
        </is>
      </c>
      <c r="C67" s="2">
        <v>45577</v>
      </c>
      <c r="D67" t="inlineStr">
        <is>
          <t>Not started</t>
        </is>
      </c>
      <c r="E67" t="inlineStr">
        <is>
          <t>v0.0.2</t>
        </is>
      </c>
      <c r="F67"/>
      <c r="G67"/>
      <c r="H67"/>
      <c r="I67" s="2">
        <v>45583</v>
      </c>
      <c r="J67"/>
    </row>
    <row r="68" ht="12.75" customHeight="1">
      <c r="A68" t="inlineStr">
        <is>
          <t>公寓场景贴图</t>
        </is>
      </c>
      <c r="B68" t="inlineStr">
        <is>
          <t>Arthur Li</t>
        </is>
      </c>
      <c r="C68" s="2"/>
      <c r="D68" t="inlineStr">
        <is>
          <t>Not started</t>
        </is>
      </c>
      <c r="E68" t="inlineStr">
        <is>
          <t>v0.1</t>
        </is>
      </c>
      <c r="F68"/>
      <c r="G68" t="inlineStr">
        <is>
          <t>场景美术</t>
        </is>
      </c>
      <c r="H68"/>
      <c r="I68" s="2"/>
      <c r="J68"/>
    </row>
    <row r="69" ht="12.75" customHeight="1">
      <c r="A69" t="inlineStr">
        <is>
          <t>明确的站立、蹲伏视野切换</t>
        </is>
      </c>
      <c r="B69" t="inlineStr">
        <is>
          <t>Decay</t>
        </is>
      </c>
      <c r="C69" s="2"/>
      <c r="D69" t="inlineStr">
        <is>
          <t>Not started</t>
        </is>
      </c>
      <c r="E69" t="inlineStr">
        <is>
          <t>v0.1</t>
        </is>
      </c>
      <c r="F69" t="inlineStr">
        <is>
          <t>Feature</t>
        </is>
      </c>
      <c r="G69" t="inlineStr">
        <is>
          <t>战争迷雾</t>
        </is>
      </c>
      <c r="H69"/>
      <c r="I69" s="2"/>
      <c r="J69"/>
    </row>
    <row r="70" ht="12.75" customHeight="1">
      <c r="A70" t="inlineStr">
        <is>
          <t>局外升级</t>
        </is>
      </c>
      <c r="B70" t="inlineStr">
        <is>
          <t>白煜明</t>
        </is>
      </c>
      <c r="C70" s="2"/>
      <c r="D70" t="inlineStr">
        <is>
          <t>Not started</t>
        </is>
      </c>
      <c r="E70" t="inlineStr">
        <is>
          <t>v0.1</t>
        </is>
      </c>
      <c r="F70" t="inlineStr">
        <is>
          <t>Feature</t>
        </is>
      </c>
      <c r="G70" t="inlineStr">
        <is>
          <t>奖励系统</t>
        </is>
      </c>
      <c r="H70"/>
      <c r="I70" s="2"/>
      <c r="J70"/>
    </row>
    <row r="71" ht="12.75" customHeight="1">
      <c r="A71" t="inlineStr">
        <is>
          <t>武器发声</t>
        </is>
      </c>
      <c r="B71" t="inlineStr">
        <is>
          <t>李少秋</t>
        </is>
      </c>
      <c r="C71" s="2"/>
      <c r="D71" t="inlineStr">
        <is>
          <t>Not started</t>
        </is>
      </c>
      <c r="E71" t="inlineStr">
        <is>
          <t>v0.0.2</t>
        </is>
      </c>
      <c r="F71"/>
      <c r="G71"/>
      <c r="H71"/>
      <c r="I71" s="2"/>
      <c r="J71"/>
    </row>
    <row r="72" ht="12.75" customHeight="1">
      <c r="A72" t="inlineStr">
        <is>
          <t>子弹落地发声</t>
        </is>
      </c>
      <c r="B72" t="inlineStr">
        <is>
          <t>李少秋</t>
        </is>
      </c>
      <c r="C72" s="2"/>
      <c r="D72" t="inlineStr">
        <is>
          <t>Not started</t>
        </is>
      </c>
      <c r="E72" t="inlineStr">
        <is>
          <t>v0.0.2</t>
        </is>
      </c>
      <c r="F72"/>
      <c r="G72"/>
      <c r="H72"/>
      <c r="I72" s="2"/>
      <c r="J72"/>
    </row>
    <row r="73" ht="12.75" customHeight="1">
      <c r="A73" t="inlineStr">
        <is>
          <t>公寓场景概念美术</t>
        </is>
      </c>
      <c r="B73" t="inlineStr">
        <is>
          <t>Arthur Li</t>
        </is>
      </c>
      <c r="C73" s="2">
        <v>45430</v>
      </c>
      <c r="D73" t="inlineStr">
        <is>
          <t>Pending</t>
        </is>
      </c>
      <c r="E73" t="inlineStr">
        <is>
          <t>v0.1</t>
        </is>
      </c>
      <c r="F73" t="inlineStr">
        <is>
          <t>Content</t>
        </is>
      </c>
      <c r="G73" t="inlineStr">
        <is>
          <t>场景美术</t>
        </is>
      </c>
      <c r="H73"/>
      <c r="I73" s="2">
        <v>45492</v>
      </c>
      <c r="J73"/>
    </row>
    <row r="74" ht="12.75" customHeight="1">
      <c r="A74" t="inlineStr">
        <is>
          <t>P2P代码适配性调整</t>
        </is>
      </c>
      <c r="B74" t="inlineStr">
        <is>
          <t>Decay</t>
        </is>
      </c>
      <c r="C74" s="2">
        <v>45430</v>
      </c>
      <c r="D74" t="inlineStr">
        <is>
          <t>Pending</t>
        </is>
      </c>
      <c r="E74" t="inlineStr">
        <is>
          <t>v0.1</t>
        </is>
      </c>
      <c r="F74" t="inlineStr">
        <is>
          <t>Feature</t>
        </is>
      </c>
      <c r="G74" t="inlineStr">
        <is>
          <t>底层系统</t>
        </is>
      </c>
      <c r="H74"/>
      <c r="I74" s="2">
        <v>45485</v>
      </c>
      <c r="J74"/>
    </row>
    <row r="75" ht="12.75" customHeight="1">
      <c r="A75" t="inlineStr">
        <is>
          <t>主控“游民”2D概念美术</t>
        </is>
      </c>
      <c r="B75" t="inlineStr">
        <is>
          <t>Ke Huang</t>
        </is>
      </c>
      <c r="C75" s="2">
        <v>45430</v>
      </c>
      <c r="D75" t="inlineStr">
        <is>
          <t>Pending</t>
        </is>
      </c>
      <c r="E75" t="inlineStr">
        <is>
          <t>v0.1</t>
        </is>
      </c>
      <c r="F75" t="inlineStr">
        <is>
          <t>Content</t>
        </is>
      </c>
      <c r="G75" t="inlineStr">
        <is>
          <t>角色美术</t>
        </is>
      </c>
      <c r="H75"/>
      <c r="I75" s="2">
        <v>45492</v>
      </c>
      <c r="J75"/>
    </row>
    <row r="76" ht="12.75" customHeight="1">
      <c r="A76" t="inlineStr">
        <is>
          <t>主线剧情</t>
        </is>
      </c>
      <c r="B76" t="inlineStr">
        <is>
          <t>Serein,Jade</t>
        </is>
      </c>
      <c r="C76" s="2">
        <v>45430</v>
      </c>
      <c r="D76" t="inlineStr">
        <is>
          <t>Pending</t>
        </is>
      </c>
      <c r="E76" t="inlineStr">
        <is>
          <t>v0.1</t>
        </is>
      </c>
      <c r="F76" t="inlineStr">
        <is>
          <t>Content</t>
        </is>
      </c>
      <c r="G76" t="inlineStr">
        <is>
          <t>剧情</t>
        </is>
      </c>
      <c r="H76"/>
      <c r="I76" s="2">
        <v>45493</v>
      </c>
      <c r="J76"/>
    </row>
    <row r="77" ht="12.75" customHeight="1">
      <c r="A77" t="inlineStr">
        <is>
          <t>“Shalott”的支线剧情</t>
        </is>
      </c>
      <c r="B77" t="inlineStr">
        <is>
          <t>Jade,Serein</t>
        </is>
      </c>
      <c r="C77" s="2">
        <v>45431</v>
      </c>
      <c r="D77" t="inlineStr">
        <is>
          <t>Pending</t>
        </is>
      </c>
      <c r="E77" t="inlineStr">
        <is>
          <t>v0.1</t>
        </is>
      </c>
      <c r="F77" t="inlineStr">
        <is>
          <t>Content</t>
        </is>
      </c>
      <c r="G77" t="inlineStr">
        <is>
          <t>剧情</t>
        </is>
      </c>
      <c r="H77"/>
      <c r="I77" s="2">
        <v>45493</v>
      </c>
      <c r="J77"/>
    </row>
    <row r="78" ht="12.75" customHeight="1">
      <c r="A78" t="inlineStr">
        <is>
          <t>“新浦会”的小怪设定</t>
        </is>
      </c>
      <c r="B78" t="inlineStr">
        <is>
          <t>龚政涛</t>
        </is>
      </c>
      <c r="C78" s="2">
        <v>45473</v>
      </c>
      <c r="D78" t="inlineStr">
        <is>
          <t>Pending</t>
        </is>
      </c>
      <c r="E78" t="inlineStr">
        <is>
          <t>v0.1</t>
        </is>
      </c>
      <c r="F78" t="inlineStr">
        <is>
          <t>Content</t>
        </is>
      </c>
      <c r="G78" t="inlineStr">
        <is>
          <t>剧情</t>
        </is>
      </c>
      <c r="H78"/>
      <c r="I78" s="2">
        <v>45479</v>
      </c>
      <c r="J78"/>
    </row>
    <row r="79" ht="12.75" customHeight="1">
      <c r="A79" t="inlineStr">
        <is>
          <t>局外升级资源消耗</t>
        </is>
      </c>
      <c r="B79" t="inlineStr">
        <is>
          <t>龚政涛</t>
        </is>
      </c>
      <c r="C79" s="2">
        <v>45493</v>
      </c>
      <c r="D79" t="inlineStr">
        <is>
          <t>Pending</t>
        </is>
      </c>
      <c r="E79" t="inlineStr">
        <is>
          <t>v0.1</t>
        </is>
      </c>
      <c r="F79" t="inlineStr">
        <is>
          <t>Content</t>
        </is>
      </c>
      <c r="G79" t="inlineStr">
        <is>
          <t>策划</t>
        </is>
      </c>
      <c r="H79"/>
      <c r="I79" s="2">
        <v>45506</v>
      </c>
      <c r="J79"/>
    </row>
    <row r="80" ht="12.75" customHeight="1">
      <c r="A80" t="inlineStr">
        <is>
          <t>「新浦会」战斗场景概念美术</t>
        </is>
      </c>
      <c r="B80" t="inlineStr">
        <is>
          <t>Arthur Li</t>
        </is>
      </c>
      <c r="C80" s="2"/>
      <c r="D80" t="inlineStr">
        <is>
          <t>Pending</t>
        </is>
      </c>
      <c r="E80" t="inlineStr">
        <is>
          <t>v0.1</t>
        </is>
      </c>
      <c r="F80" t="inlineStr">
        <is>
          <t>Content</t>
        </is>
      </c>
      <c r="G80" t="inlineStr">
        <is>
          <t>场景美术</t>
        </is>
      </c>
      <c r="H80"/>
      <c r="I80" s="2"/>
      <c r="J80"/>
    </row>
    <row r="81" ht="12.75" customHeight="1">
      <c r="A81" t="inlineStr">
        <is>
          <t>能量值</t>
        </is>
      </c>
      <c r="B81" t="inlineStr">
        <is>
          <t>Decay</t>
        </is>
      </c>
      <c r="C81" s="2"/>
      <c r="D81" t="inlineStr">
        <is>
          <t>Pending</t>
        </is>
      </c>
      <c r="E81" t="inlineStr">
        <is>
          <t>v0.1</t>
        </is>
      </c>
      <c r="F81"/>
      <c r="G81" t="inlineStr">
        <is>
          <t>属性系统</t>
        </is>
      </c>
      <c r="H81"/>
      <c r="I81" s="2">
        <v>45499</v>
      </c>
      <c r="J81"/>
    </row>
    <row r="82" ht="12.75" customHeight="1">
      <c r="A82" t="inlineStr">
        <is>
          <t>基于体力消耗恢复能量</t>
        </is>
      </c>
      <c r="B82" t="inlineStr">
        <is>
          <t>Decay</t>
        </is>
      </c>
      <c r="C82" s="2"/>
      <c r="D82" t="inlineStr">
        <is>
          <t>Pending</t>
        </is>
      </c>
      <c r="E82" t="inlineStr">
        <is>
          <t>v0.1</t>
        </is>
      </c>
      <c r="F82"/>
      <c r="G82" t="inlineStr">
        <is>
          <t>属性系统</t>
        </is>
      </c>
      <c r="H82"/>
      <c r="I82" s="2">
        <v>45499</v>
      </c>
      <c r="J82"/>
    </row>
    <row r="83" ht="12.75" customHeight="1">
      <c r="A83" t="inlineStr">
        <is>
          <t>「Yacco」头像</t>
        </is>
      </c>
      <c r="B83" t="inlineStr">
        <is>
          <t>Ke Huang</t>
        </is>
      </c>
      <c r="C83" s="2"/>
      <c r="D83" t="inlineStr">
        <is>
          <t>Pending</t>
        </is>
      </c>
      <c r="E83" t="inlineStr">
        <is>
          <t>v0.0.2</t>
        </is>
      </c>
      <c r="F83" t="inlineStr">
        <is>
          <t>Content</t>
        </is>
      </c>
      <c r="G83" t="inlineStr">
        <is>
          <t>角色美术</t>
        </is>
      </c>
      <c r="H83"/>
      <c r="I83" s="2"/>
      <c r="J83"/>
    </row>
    <row r="84" ht="12.75" customHeight="1">
      <c r="A84" t="inlineStr">
        <is>
          <t>随机决定进入的大楼（掉落池和敌人池）</t>
        </is>
      </c>
      <c r="B84" t="inlineStr">
        <is>
          <t>龚政涛</t>
        </is>
      </c>
      <c r="C84" s="2"/>
      <c r="D84" t="inlineStr">
        <is>
          <t>Pending</t>
        </is>
      </c>
      <c r="E84" t="inlineStr">
        <is>
          <t>v0.1</t>
        </is>
      </c>
      <c r="F84" t="inlineStr">
        <is>
          <t>Feature</t>
        </is>
      </c>
      <c r="G84" t="inlineStr">
        <is>
          <t>关卡系统</t>
        </is>
      </c>
      <c r="H84"/>
      <c r="I84" s="2"/>
      <c r="J84" t="inlineStr">
        <is>
          <t>P2</t>
        </is>
      </c>
    </row>
    <row r="85" ht="12.75" customHeight="1">
      <c r="A85" t="inlineStr">
        <is>
          <t>将已有的房间移走，并移入奖励房间</t>
        </is>
      </c>
      <c r="B85" t="inlineStr">
        <is>
          <t>龚政涛</t>
        </is>
      </c>
      <c r="C85" s="2"/>
      <c r="D85" t="inlineStr">
        <is>
          <t>Pending</t>
        </is>
      </c>
      <c r="E85" t="inlineStr">
        <is>
          <t>v0.1</t>
        </is>
      </c>
      <c r="F85" t="inlineStr">
        <is>
          <t>Feature</t>
        </is>
      </c>
      <c r="G85" t="inlineStr">
        <is>
          <t>关卡系统</t>
        </is>
      </c>
      <c r="H85"/>
      <c r="I85" s="2"/>
      <c r="J85" t="inlineStr">
        <is>
          <t>P2</t>
        </is>
      </c>
    </row>
    <row r="86" ht="12.75" customHeight="1">
      <c r="A86" t="inlineStr">
        <is>
          <t>切换连贯读取</t>
        </is>
      </c>
      <c r="B86" t="inlineStr">
        <is>
          <t>龚政涛</t>
        </is>
      </c>
      <c r="C86" s="2"/>
      <c r="D86" t="inlineStr">
        <is>
          <t>Pending</t>
        </is>
      </c>
      <c r="E86" t="inlineStr">
        <is>
          <t>v0.1</t>
        </is>
      </c>
      <c r="F86" t="inlineStr">
        <is>
          <t>Feature</t>
        </is>
      </c>
      <c r="G86" t="inlineStr">
        <is>
          <t>底层系统</t>
        </is>
      </c>
      <c r="H86" t="inlineStr">
        <is>
          <t>读取的时候预先读取一个动态场景（比如电梯内）然后加载外部关卡，创造连贯的游戏质感。</t>
        </is>
      </c>
      <c r="I86" s="2"/>
      <c r="J86"/>
    </row>
    <row r="87" ht="12.75" customHeight="1">
      <c r="A87" t="inlineStr">
        <is>
          <t>动态避障</t>
        </is>
      </c>
      <c r="B87" t="inlineStr">
        <is>
          <t>李少秋</t>
        </is>
      </c>
      <c r="C87" s="2"/>
      <c r="D87" t="inlineStr">
        <is>
          <t>Pending</t>
        </is>
      </c>
      <c r="E87" t="inlineStr">
        <is>
          <t>v0.0.2</t>
        </is>
      </c>
      <c r="F87"/>
      <c r="G87"/>
      <c r="H87"/>
      <c r="I87" s="2"/>
      <c r="J87"/>
    </row>
    <row r="88" ht="12.75" customHeight="1">
      <c r="A88" t="inlineStr">
        <is>
          <t>战斗 - 攻击系统</t>
        </is>
      </c>
      <c r="B88" t="inlineStr">
        <is>
          <t>Decay</t>
        </is>
      </c>
      <c r="C88" s="2">
        <v>45331</v>
      </c>
      <c r="D88" t="inlineStr">
        <is>
          <t>Done</t>
        </is>
      </c>
      <c r="E88" t="inlineStr">
        <is>
          <t>v0.0.0</t>
        </is>
      </c>
      <c r="F88" t="inlineStr">
        <is>
          <t>Feature</t>
        </is>
      </c>
      <c r="G88" t="inlineStr">
        <is>
          <t>武器系统</t>
        </is>
      </c>
      <c r="H88" t="inlineStr">
        <is>
          <t>武器攻击+攻击施加伤害+目标接受伤害</t>
        </is>
      </c>
      <c r="I88" s="2"/>
      <c r="J88"/>
    </row>
    <row r="89" ht="12.75" customHeight="1">
      <c r="A89" t="inlineStr">
        <is>
          <t>武器系统底层框架</t>
        </is>
      </c>
      <c r="B89" t="inlineStr">
        <is>
          <t>Decay</t>
        </is>
      </c>
      <c r="C89" s="2">
        <v>45353</v>
      </c>
      <c r="D89" t="inlineStr">
        <is>
          <t>Done</t>
        </is>
      </c>
      <c r="E89" t="inlineStr">
        <is>
          <t>v0.0.1</t>
        </is>
      </c>
      <c r="F89" t="inlineStr">
        <is>
          <t>Feature</t>
        </is>
      </c>
      <c r="G89" t="inlineStr">
        <is>
          <t>义体系统</t>
        </is>
      </c>
      <c r="H89"/>
      <c r="I89" s="2"/>
      <c r="J89"/>
    </row>
    <row r="90" ht="12.75" customHeight="1">
      <c r="A90" t="inlineStr">
        <is>
          <t>战斗 - 血条</t>
        </is>
      </c>
      <c r="B90" t="inlineStr">
        <is>
          <t>Decay</t>
        </is>
      </c>
      <c r="C90" s="2">
        <v>45361</v>
      </c>
      <c r="D90" t="inlineStr">
        <is>
          <t>Done</t>
        </is>
      </c>
      <c r="E90" t="inlineStr">
        <is>
          <t>v0.0.0</t>
        </is>
      </c>
      <c r="F90" t="inlineStr">
        <is>
          <t>Feature</t>
        </is>
      </c>
      <c r="G90" t="inlineStr">
        <is>
          <t>武器系统</t>
        </is>
      </c>
      <c r="H90" t="inlineStr">
        <is>
          <t>做完盾之后也把盾条做了；开个debug用入口，打开后可以显示血盾数值，也给以后其他属性debug显示留空间</t>
        </is>
      </c>
      <c r="I90" s="2"/>
      <c r="J90"/>
    </row>
    <row r="91" ht="12.75" customHeight="1">
      <c r="A91" t="inlineStr">
        <is>
          <t>关卡 - 常规地图模板</t>
        </is>
      </c>
      <c r="B91" t="inlineStr">
        <is>
          <t>龚政涛</t>
        </is>
      </c>
      <c r="C91" s="2">
        <v>45366</v>
      </c>
      <c r="D91" t="inlineStr">
        <is>
          <t>Done</t>
        </is>
      </c>
      <c r="E91" t="inlineStr">
        <is>
          <t>v0.0.1</t>
        </is>
      </c>
      <c r="F91" t="inlineStr">
        <is>
          <t>Feature</t>
        </is>
      </c>
      <c r="G91" t="inlineStr">
        <is>
          <t>关卡系统</t>
        </is>
      </c>
      <c r="H91"/>
      <c r="I91" s="2"/>
      <c r="J91"/>
    </row>
    <row r="92" ht="12.75" customHeight="1">
      <c r="A92" t="inlineStr">
        <is>
          <t>战斗 - 动能伤害类型</t>
        </is>
      </c>
      <c r="B92" t="inlineStr">
        <is>
          <t>Decay</t>
        </is>
      </c>
      <c r="C92" s="2">
        <v>45367</v>
      </c>
      <c r="D92" t="inlineStr">
        <is>
          <t>Done</t>
        </is>
      </c>
      <c r="E92" t="inlineStr">
        <is>
          <t>v0.0.0</t>
        </is>
      </c>
      <c r="F92" t="inlineStr">
        <is>
          <t>Feature</t>
        </is>
      </c>
      <c r="G92" t="inlineStr">
        <is>
          <t>武器系统</t>
        </is>
      </c>
      <c r="H92"/>
      <c r="I92" s="2"/>
      <c r="J92"/>
    </row>
    <row r="93" ht="12.75" customHeight="1">
      <c r="A93" t="inlineStr">
        <is>
          <t>战斗 - 伤害数字</t>
        </is>
      </c>
      <c r="B93" t="inlineStr">
        <is>
          <t>Decay</t>
        </is>
      </c>
      <c r="C93" s="2">
        <v>45368</v>
      </c>
      <c r="D93" t="inlineStr">
        <is>
          <t>Done</t>
        </is>
      </c>
      <c r="E93" t="inlineStr">
        <is>
          <t>v0.0.0</t>
        </is>
      </c>
      <c r="F93" t="inlineStr">
        <is>
          <t>Feature</t>
        </is>
      </c>
      <c r="G93" t="inlineStr">
        <is>
          <t>底层系统</t>
        </is>
      </c>
      <c r="H93"/>
      <c r="I93" s="2"/>
      <c r="J93"/>
    </row>
    <row r="94" ht="12.75" customHeight="1">
      <c r="A94" t="inlineStr">
        <is>
          <t>翻滚时禁用角色跟随鼠标旋转</t>
        </is>
      </c>
      <c r="B94" t="inlineStr">
        <is>
          <t>Decay</t>
        </is>
      </c>
      <c r="C94" s="2">
        <v>45378</v>
      </c>
      <c r="D94" t="inlineStr">
        <is>
          <t>Done</t>
        </is>
      </c>
      <c r="E94" t="inlineStr">
        <is>
          <t>v0.0.0</t>
        </is>
      </c>
      <c r="F94" t="inlineStr">
        <is>
          <t>Feature</t>
        </is>
      </c>
      <c r="G94" t="inlineStr">
        <is>
          <t>武器系统</t>
        </is>
      </c>
      <c r="H94" t="inlineStr">
        <is>
          <t>视角cone还是要转，只是为了动画流畅性，另外，最好封装成个简单开关</t>
        </is>
      </c>
      <c r="I94" s="2"/>
      <c r="J94"/>
    </row>
    <row r="95" ht="12.75" customHeight="1">
      <c r="A95" t="inlineStr">
        <is>
          <t>P2P底层框架</t>
        </is>
      </c>
      <c r="B95" t="inlineStr">
        <is>
          <t>白煜明</t>
        </is>
      </c>
      <c r="C95" s="2">
        <v>45430</v>
      </c>
      <c r="D95" t="inlineStr">
        <is>
          <t>Done</t>
        </is>
      </c>
      <c r="E95" t="inlineStr">
        <is>
          <t>v0.0.1</t>
        </is>
      </c>
      <c r="F95" t="inlineStr">
        <is>
          <t>Feature</t>
        </is>
      </c>
      <c r="G95" t="inlineStr">
        <is>
          <t>底层系统</t>
        </is>
      </c>
      <c r="H95" t="inlineStr">
        <is>
          <t>v0.0.1只做尽可能小的代码调整，实现P2P的框架支持，但先不做联机游玩的功能特化</t>
        </is>
      </c>
      <c r="I95" s="2">
        <v>45478</v>
      </c>
      <c r="J95"/>
    </row>
    <row r="96" ht="12.75" customHeight="1">
      <c r="A96" t="inlineStr">
        <is>
          <t>剧情分配到每个Loop的量</t>
        </is>
      </c>
      <c r="B96" t="inlineStr">
        <is>
          <t>龚政涛</t>
        </is>
      </c>
      <c r="C96" s="2">
        <v>45430</v>
      </c>
      <c r="D96" t="inlineStr">
        <is>
          <t>Done</t>
        </is>
      </c>
      <c r="E96" t="inlineStr">
        <is>
          <t>v0.0.0</t>
        </is>
      </c>
      <c r="F96" t="inlineStr">
        <is>
          <t>Content</t>
        </is>
      </c>
      <c r="G96" t="inlineStr">
        <is>
          <t>策划</t>
        </is>
      </c>
      <c r="H96"/>
      <c r="I96" s="2">
        <v>45442</v>
      </c>
      <c r="J96"/>
    </row>
    <row r="97" ht="12.75" customHeight="1">
      <c r="A97" t="inlineStr">
        <is>
          <t>“师傅”的Boss设定</t>
        </is>
      </c>
      <c r="B97" t="inlineStr">
        <is>
          <t>龚政涛</t>
        </is>
      </c>
      <c r="C97" s="2">
        <v>45430</v>
      </c>
      <c r="D97" t="inlineStr">
        <is>
          <t>Done</t>
        </is>
      </c>
      <c r="E97" t="inlineStr">
        <is>
          <t>v0.0.0</t>
        </is>
      </c>
      <c r="F97" t="inlineStr">
        <is>
          <t>Content</t>
        </is>
      </c>
      <c r="G97" t="inlineStr">
        <is>
          <t>剧情</t>
        </is>
      </c>
      <c r="H97"/>
      <c r="I97" s="2">
        <v>45465</v>
      </c>
      <c r="J97"/>
    </row>
    <row r="98" ht="12.75" customHeight="1">
      <c r="A98" t="inlineStr">
        <is>
          <t>“新浦会”阵营设定</t>
        </is>
      </c>
      <c r="B98" t="inlineStr">
        <is>
          <t>龚政涛</t>
        </is>
      </c>
      <c r="C98" s="2">
        <v>45437</v>
      </c>
      <c r="D98" t="inlineStr">
        <is>
          <t>Done</t>
        </is>
      </c>
      <c r="E98" t="inlineStr">
        <is>
          <t>v0.0.0</t>
        </is>
      </c>
      <c r="F98" t="inlineStr">
        <is>
          <t>Content</t>
        </is>
      </c>
      <c r="G98" t="inlineStr">
        <is>
          <t>剧情</t>
        </is>
      </c>
      <c r="H98"/>
      <c r="I98" s="2">
        <v>45472</v>
      </c>
      <c r="J98"/>
    </row>
    <row r="99" ht="12.75" customHeight="1">
      <c r="A99" t="inlineStr">
        <is>
          <t>可拾取通用物品</t>
        </is>
      </c>
      <c r="B99" t="inlineStr">
        <is>
          <t>Decay</t>
        </is>
      </c>
      <c r="C99" s="2">
        <v>45443</v>
      </c>
      <c r="D99" t="inlineStr">
        <is>
          <t>Done</t>
        </is>
      </c>
      <c r="E99" t="inlineStr">
        <is>
          <t>v0.0.0</t>
        </is>
      </c>
      <c r="F99" t="inlineStr">
        <is>
          <t>Feature</t>
        </is>
      </c>
      <c r="G99" t="inlineStr">
        <is>
          <t>底层系统</t>
        </is>
      </c>
      <c r="H99" t="inlineStr">
        <is>
          <t>交互+3D+特效</t>
        </is>
      </c>
      <c r="I99" s="2"/>
      <c r="J99"/>
    </row>
    <row r="100" ht="12.75" customHeight="1">
      <c r="A100" t="inlineStr">
        <is>
          <t>武器系统 - 弹药掉落+拾取+换弹</t>
        </is>
      </c>
      <c r="B100" t="inlineStr">
        <is>
          <t>Decay</t>
        </is>
      </c>
      <c r="C100" s="2">
        <v>45443</v>
      </c>
      <c r="D100" t="inlineStr">
        <is>
          <t>Done</t>
        </is>
      </c>
      <c r="E100" t="inlineStr">
        <is>
          <t>v0.0.0</t>
        </is>
      </c>
      <c r="F100" t="inlineStr">
        <is>
          <t>Feature</t>
        </is>
      </c>
      <c r="G100" t="inlineStr">
        <is>
          <t>武器系统</t>
        </is>
      </c>
      <c r="H100" t="inlineStr">
        <is>
          <t>涉及到个问题，弹药和武器是如何对应的，一对一比如手枪有手枪弹药，机枪有机枪弹药。还是一对多，手枪有好几种手枪弹药。还是多对多，弹药随便往各种武器里塞，不同弹药有不同功能</t>
        </is>
      </c>
      <c r="I100" s="2"/>
      <c r="J100"/>
    </row>
    <row r="101" ht="12.75" customHeight="1">
      <c r="A101" t="inlineStr">
        <is>
          <t>武器系统 - 弹药</t>
        </is>
      </c>
      <c r="B101" t="inlineStr">
        <is>
          <t>Decay</t>
        </is>
      </c>
      <c r="C101" s="2">
        <v>45443</v>
      </c>
      <c r="D101" t="inlineStr">
        <is>
          <t>Done</t>
        </is>
      </c>
      <c r="E101" t="inlineStr">
        <is>
          <t>v0.0.0</t>
        </is>
      </c>
      <c r="F101" t="inlineStr">
        <is>
          <t>Feature</t>
        </is>
      </c>
      <c r="G101" t="inlineStr">
        <is>
          <t>武器系统</t>
        </is>
      </c>
      <c r="H101" t="inlineStr">
        <is>
          <t>枪械弹容量，弹药Item，开枪消耗弹药</t>
        </is>
      </c>
      <c r="I101" s="2"/>
      <c r="J101"/>
    </row>
    <row r="102" ht="12.75" customHeight="1">
      <c r="A102" t="inlineStr">
        <is>
          <t>* 武器产生子弹</t>
        </is>
      </c>
      <c r="B102" t="inlineStr">
        <is>
          <t>Decay</t>
        </is>
      </c>
      <c r="C102" s="2">
        <v>45443</v>
      </c>
      <c r="D102" t="inlineStr">
        <is>
          <t>Done</t>
        </is>
      </c>
      <c r="E102" t="inlineStr">
        <is>
          <t>v0.0.0</t>
        </is>
      </c>
      <c r="F102"/>
      <c r="G102" t="inlineStr">
        <is>
          <t>武器系统</t>
        </is>
      </c>
      <c r="H102"/>
      <c r="I102" s="2"/>
      <c r="J102"/>
    </row>
    <row r="103" ht="12.75" customHeight="1">
      <c r="A103" t="inlineStr">
        <is>
          <t>* 子弹飞行+碰撞检测</t>
        </is>
      </c>
      <c r="B103" t="inlineStr">
        <is>
          <t>Decay</t>
        </is>
      </c>
      <c r="C103" s="2">
        <v>45443</v>
      </c>
      <c r="D103" t="inlineStr">
        <is>
          <t>Done</t>
        </is>
      </c>
      <c r="E103" t="inlineStr">
        <is>
          <t>v0.0.0</t>
        </is>
      </c>
      <c r="F103"/>
      <c r="G103" t="inlineStr">
        <is>
          <t>武器系统</t>
        </is>
      </c>
      <c r="H103"/>
      <c r="I103" s="2"/>
      <c r="J103"/>
    </row>
    <row r="104" ht="12.75" customHeight="1">
      <c r="A104" t="inlineStr">
        <is>
          <t>* 施加伤害+伤害接受</t>
        </is>
      </c>
      <c r="B104" t="inlineStr">
        <is>
          <t>Decay</t>
        </is>
      </c>
      <c r="C104" s="2">
        <v>45443</v>
      </c>
      <c r="D104" t="inlineStr">
        <is>
          <t>Done</t>
        </is>
      </c>
      <c r="E104" t="inlineStr">
        <is>
          <t>v0.0.0</t>
        </is>
      </c>
      <c r="F104"/>
      <c r="G104" t="inlineStr">
        <is>
          <t>武器系统</t>
        </is>
      </c>
      <c r="H104"/>
      <c r="I104" s="2"/>
      <c r="J104"/>
    </row>
    <row r="105" ht="12.75" customHeight="1">
      <c r="A105" t="inlineStr">
        <is>
          <t>** 可被攻击的假人</t>
        </is>
      </c>
      <c r="B105" t="inlineStr">
        <is>
          <t>Decay</t>
        </is>
      </c>
      <c r="C105" s="2">
        <v>45443</v>
      </c>
      <c r="D105" t="inlineStr">
        <is>
          <t>Done</t>
        </is>
      </c>
      <c r="E105" t="inlineStr">
        <is>
          <t>v0.0.0</t>
        </is>
      </c>
      <c r="F105"/>
      <c r="G105" t="inlineStr">
        <is>
          <t>武器系统</t>
        </is>
      </c>
      <c r="H105"/>
      <c r="I105" s="2"/>
      <c r="J105"/>
    </row>
    <row r="106" ht="12.75" customHeight="1">
      <c r="A106" t="inlineStr">
        <is>
          <t>敌人基础AI巡逻逻辑</t>
        </is>
      </c>
      <c r="B106" t="inlineStr">
        <is>
          <t>龚政涛</t>
        </is>
      </c>
      <c r="C106" s="2">
        <v>45443</v>
      </c>
      <c r="D106" t="inlineStr">
        <is>
          <t>Done</t>
        </is>
      </c>
      <c r="E106" t="inlineStr">
        <is>
          <t>v0.0.0</t>
        </is>
      </c>
      <c r="F106" t="inlineStr">
        <is>
          <t>Feature</t>
        </is>
      </c>
      <c r="G106" t="inlineStr">
        <is>
          <t>武器系统</t>
        </is>
      </c>
      <c r="H106"/>
      <c r="I106" s="2"/>
      <c r="J106"/>
    </row>
    <row r="107" ht="12.75" customHeight="1">
      <c r="A107" t="inlineStr">
        <is>
          <t>切换同一个位置的武器（1切换到1）会bug，反复尝试会crash</t>
        </is>
      </c>
      <c r="B107" t="inlineStr">
        <is>
          <t>Decay</t>
        </is>
      </c>
      <c r="C107" s="2">
        <v>45456</v>
      </c>
      <c r="D107" t="inlineStr">
        <is>
          <t>Done</t>
        </is>
      </c>
      <c r="E107" t="inlineStr">
        <is>
          <t>v0.0.0</t>
        </is>
      </c>
      <c r="F107" t="inlineStr">
        <is>
          <t>Bug</t>
        </is>
      </c>
      <c r="G107" t="inlineStr">
        <is>
          <t>武器系统</t>
        </is>
      </c>
      <c r="H107"/>
      <c r="I107" s="2"/>
      <c r="J107"/>
    </row>
    <row r="108" ht="12.75" customHeight="1">
      <c r="A108" t="inlineStr">
        <is>
          <t>武器系统 - 武器攻击间隔</t>
        </is>
      </c>
      <c r="B108" t="inlineStr">
        <is>
          <t>Decay</t>
        </is>
      </c>
      <c r="C108" s="2">
        <v>45463</v>
      </c>
      <c r="D108" t="inlineStr">
        <is>
          <t>Done</t>
        </is>
      </c>
      <c r="E108" t="inlineStr">
        <is>
          <t>v0.0.0</t>
        </is>
      </c>
      <c r="F108" t="inlineStr">
        <is>
          <t>Feature</t>
        </is>
      </c>
      <c r="G108" t="inlineStr">
        <is>
          <t>武器系统</t>
        </is>
      </c>
      <c r="H108"/>
      <c r="I108" s="2">
        <v>45474</v>
      </c>
      <c r="J108"/>
    </row>
    <row r="109" ht="12.75" customHeight="1">
      <c r="A109" t="inlineStr">
        <is>
          <t>开发任务排期</t>
        </is>
      </c>
      <c r="B109" t="inlineStr">
        <is>
          <t>龚政涛</t>
        </is>
      </c>
      <c r="C109" s="2">
        <v>45465</v>
      </c>
      <c r="D109" t="inlineStr">
        <is>
          <t>Done</t>
        </is>
      </c>
      <c r="E109"/>
      <c r="F109"/>
      <c r="G109" t="inlineStr">
        <is>
          <t>策划</t>
        </is>
      </c>
      <c r="H109"/>
      <c r="I109" s="2">
        <v>45478</v>
      </c>
      <c r="J109"/>
    </row>
    <row r="110" ht="12.75" customHeight="1">
      <c r="A110" t="inlineStr">
        <is>
          <t>存档系统底层</t>
        </is>
      </c>
      <c r="B110" t="inlineStr">
        <is>
          <t>李少秋</t>
        </is>
      </c>
      <c r="C110" s="2">
        <v>45465</v>
      </c>
      <c r="D110" t="inlineStr">
        <is>
          <t>Done</t>
        </is>
      </c>
      <c r="E110" t="inlineStr">
        <is>
          <t>v0.0.1</t>
        </is>
      </c>
      <c r="F110" t="inlineStr">
        <is>
          <t>Feature</t>
        </is>
      </c>
      <c r="G110" t="inlineStr">
        <is>
          <t>底层系统</t>
        </is>
      </c>
      <c r="H110"/>
      <c r="I110" s="2">
        <v>45485</v>
      </c>
      <c r="J110"/>
    </row>
    <row r="111" ht="12.75" customHeight="1">
      <c r="A111" t="inlineStr">
        <is>
          <t>AI调用玩家能力</t>
        </is>
      </c>
      <c r="B111" t="inlineStr">
        <is>
          <t>李少秋,Decay</t>
        </is>
      </c>
      <c r="C111" s="2">
        <v>45465</v>
      </c>
      <c r="D111" t="inlineStr">
        <is>
          <t>Done</t>
        </is>
      </c>
      <c r="E111" t="inlineStr">
        <is>
          <t>v0.0.1</t>
        </is>
      </c>
      <c r="F111"/>
      <c r="G111" t="inlineStr">
        <is>
          <t>AI系统</t>
        </is>
      </c>
      <c r="H111"/>
      <c r="I111" s="2">
        <v>45505</v>
      </c>
      <c r="J111"/>
    </row>
    <row r="112" ht="12.75" customHeight="1">
      <c r="A112" t="inlineStr">
        <is>
          <t>新迷雾渲染方案</t>
        </is>
      </c>
      <c r="B112" t="inlineStr">
        <is>
          <t>Decay</t>
        </is>
      </c>
      <c r="C112" s="2">
        <v>45472</v>
      </c>
      <c r="D112" t="inlineStr">
        <is>
          <t>Done</t>
        </is>
      </c>
      <c r="E112" t="inlineStr">
        <is>
          <t>v0.0.1</t>
        </is>
      </c>
      <c r="F112" t="inlineStr">
        <is>
          <t>Feature</t>
        </is>
      </c>
      <c r="G112" t="inlineStr">
        <is>
          <t>战争迷雾</t>
        </is>
      </c>
      <c r="H112"/>
      <c r="I112" s="2">
        <v>45495</v>
      </c>
      <c r="J112"/>
    </row>
    <row r="113" ht="12.75" customHeight="1">
      <c r="A113" t="inlineStr">
        <is>
          <t>AI共享视野</t>
        </is>
      </c>
      <c r="B113" t="inlineStr">
        <is>
          <t>李少秋</t>
        </is>
      </c>
      <c r="C113" s="2">
        <v>45479</v>
      </c>
      <c r="D113" t="inlineStr">
        <is>
          <t>Done</t>
        </is>
      </c>
      <c r="E113" t="inlineStr">
        <is>
          <t>v0.0.1</t>
        </is>
      </c>
      <c r="F113"/>
      <c r="G113" t="inlineStr">
        <is>
          <t>AI系统</t>
        </is>
      </c>
      <c r="H113"/>
      <c r="I113" s="2">
        <v>45505</v>
      </c>
      <c r="J113"/>
    </row>
    <row r="114" ht="12.75" customHeight="1">
      <c r="A114" t="inlineStr">
        <is>
          <t>随机的关卡生成</t>
        </is>
      </c>
      <c r="B114" t="inlineStr">
        <is>
          <t>白煜明</t>
        </is>
      </c>
      <c r="C114" s="2">
        <v>45486</v>
      </c>
      <c r="D114" t="inlineStr">
        <is>
          <t>Done</t>
        </is>
      </c>
      <c r="E114" t="inlineStr">
        <is>
          <t>v0.0.1</t>
        </is>
      </c>
      <c r="F114" t="inlineStr">
        <is>
          <t>Feature</t>
        </is>
      </c>
      <c r="G114" t="inlineStr">
        <is>
          <t>关卡系统</t>
        </is>
      </c>
      <c r="H114"/>
      <c r="I114" s="2">
        <v>45513</v>
      </c>
      <c r="J114" t="inlineStr">
        <is>
          <t>P0</t>
        </is>
      </c>
    </row>
    <row r="115" ht="12.75" customHeight="1">
      <c r="A115" t="inlineStr">
        <is>
          <t>「劳旅」战斗场景贴图</t>
        </is>
      </c>
      <c r="B115" t="inlineStr">
        <is>
          <t>Arthur Li</t>
        </is>
      </c>
      <c r="C115" s="2">
        <v>45493</v>
      </c>
      <c r="D115" t="inlineStr">
        <is>
          <t>Done</t>
        </is>
      </c>
      <c r="E115" t="inlineStr">
        <is>
          <t>v0.0.1</t>
        </is>
      </c>
      <c r="F115" t="inlineStr">
        <is>
          <t>Content</t>
        </is>
      </c>
      <c r="G115" t="inlineStr">
        <is>
          <t>场景美术</t>
        </is>
      </c>
      <c r="H115"/>
      <c r="I115" s="2">
        <v>45506</v>
      </c>
      <c r="J115" t="inlineStr">
        <is>
          <t>P0</t>
        </is>
      </c>
    </row>
    <row r="116" ht="12.75" customHeight="1">
      <c r="A116" t="inlineStr">
        <is>
          <t>白板数值框架</t>
        </is>
      </c>
      <c r="B116" t="inlineStr">
        <is>
          <t>苏祺恒</t>
        </is>
      </c>
      <c r="C116" s="2">
        <v>45493</v>
      </c>
      <c r="D116" t="inlineStr">
        <is>
          <t>Done</t>
        </is>
      </c>
      <c r="E116" t="inlineStr">
        <is>
          <t>v0.0.1</t>
        </is>
      </c>
      <c r="F116" t="inlineStr">
        <is>
          <t>Content</t>
        </is>
      </c>
      <c r="G116" t="inlineStr">
        <is>
          <t>游戏内容</t>
        </is>
      </c>
      <c r="H116"/>
      <c r="I116" s="2">
        <v>45513</v>
      </c>
      <c r="J116"/>
    </row>
    <row r="117" ht="12.75" customHeight="1">
      <c r="A117" t="inlineStr">
        <is>
          <t>物品UUID</t>
        </is>
      </c>
      <c r="B117" t="inlineStr">
        <is>
          <t>Decay</t>
        </is>
      </c>
      <c r="C117" s="2">
        <v>45493</v>
      </c>
      <c r="D117" t="inlineStr">
        <is>
          <t>Done</t>
        </is>
      </c>
      <c r="E117" t="inlineStr">
        <is>
          <t>v0.0.1</t>
        </is>
      </c>
      <c r="F117" t="inlineStr">
        <is>
          <t>Feature</t>
        </is>
      </c>
      <c r="G117" t="inlineStr">
        <is>
          <t>底层系统</t>
        </is>
      </c>
      <c r="H117" t="inlineStr">
        <is>
          <t>物品的唯一标识符</t>
        </is>
      </c>
      <c r="I117" s="2">
        <v>45499</v>
      </c>
      <c r="J117"/>
    </row>
    <row r="118" ht="12.75" customHeight="1">
      <c r="A118" t="inlineStr">
        <is>
          <t>战争迷雾遮挡敌人</t>
        </is>
      </c>
      <c r="B118" t="inlineStr">
        <is>
          <t>Decay</t>
        </is>
      </c>
      <c r="C118" s="2">
        <v>45493</v>
      </c>
      <c r="D118" t="inlineStr">
        <is>
          <t>Done</t>
        </is>
      </c>
      <c r="E118" t="inlineStr">
        <is>
          <t>v0.0.1</t>
        </is>
      </c>
      <c r="F118" t="inlineStr">
        <is>
          <t>Feature</t>
        </is>
      </c>
      <c r="G118" t="inlineStr">
        <is>
          <t>战争迷雾</t>
        </is>
      </c>
      <c r="H118"/>
      <c r="I118" s="2">
        <v>45495</v>
      </c>
      <c r="J118"/>
    </row>
    <row r="119" ht="12.75" customHeight="1">
      <c r="A119" t="inlineStr">
        <is>
          <t>完整的角色属性系统</t>
        </is>
      </c>
      <c r="B119" t="inlineStr">
        <is>
          <t>Decay</t>
        </is>
      </c>
      <c r="C119" s="2">
        <v>45493</v>
      </c>
      <c r="D119" t="inlineStr">
        <is>
          <t>Done</t>
        </is>
      </c>
      <c r="E119" t="inlineStr">
        <is>
          <t>v0.0.1</t>
        </is>
      </c>
      <c r="F119"/>
      <c r="G119" t="inlineStr">
        <is>
          <t>属性系统</t>
        </is>
      </c>
      <c r="H119"/>
      <c r="I119" s="2">
        <v>45513</v>
      </c>
      <c r="J119"/>
    </row>
    <row r="120" ht="12.75" customHeight="1">
      <c r="A120" t="inlineStr">
        <is>
          <t>「劳旅」关卡模板</t>
        </is>
      </c>
      <c r="B120" t="inlineStr">
        <is>
          <t>Joyce Jiao</t>
        </is>
      </c>
      <c r="C120" s="2">
        <v>45493</v>
      </c>
      <c r="D120" t="inlineStr">
        <is>
          <t>Done</t>
        </is>
      </c>
      <c r="E120" t="inlineStr">
        <is>
          <t>v0.0.1</t>
        </is>
      </c>
      <c r="F120" t="inlineStr">
        <is>
          <t>Content</t>
        </is>
      </c>
      <c r="G120" t="inlineStr">
        <is>
          <t>游戏内容</t>
        </is>
      </c>
      <c r="H120"/>
      <c r="I120" s="2">
        <v>45509</v>
      </c>
      <c r="J120" t="inlineStr">
        <is>
          <t>P0</t>
        </is>
      </c>
    </row>
    <row r="121" ht="12.75" customHeight="1">
      <c r="A121" t="inlineStr">
        <is>
          <t>主控“Stray”头像 - 平静</t>
        </is>
      </c>
      <c r="B121" t="inlineStr">
        <is>
          <t>Ke Huang</t>
        </is>
      </c>
      <c r="C121" s="2">
        <v>45493</v>
      </c>
      <c r="D121" t="inlineStr">
        <is>
          <t>Done</t>
        </is>
      </c>
      <c r="E121" t="inlineStr">
        <is>
          <t>v0.0.1</t>
        </is>
      </c>
      <c r="F121"/>
      <c r="G121" t="inlineStr">
        <is>
          <t>角色美术</t>
        </is>
      </c>
      <c r="H121"/>
      <c r="I121" s="2">
        <v>45499</v>
      </c>
      <c r="J121"/>
    </row>
    <row r="122" ht="12.75" customHeight="1">
      <c r="A122" t="inlineStr">
        <is>
          <t>“Galatea”的新手教程对话</t>
        </is>
      </c>
      <c r="B122" t="inlineStr">
        <is>
          <t>Serein,Jade</t>
        </is>
      </c>
      <c r="C122" s="2">
        <v>45493</v>
      </c>
      <c r="D122" t="inlineStr">
        <is>
          <t>Done</t>
        </is>
      </c>
      <c r="E122" t="inlineStr">
        <is>
          <t>v0.0.1</t>
        </is>
      </c>
      <c r="F122" t="inlineStr">
        <is>
          <t>Content</t>
        </is>
      </c>
      <c r="G122" t="inlineStr">
        <is>
          <t>剧情</t>
        </is>
      </c>
      <c r="H122"/>
      <c r="I122" s="2">
        <v>45506</v>
      </c>
      <c r="J122" t="inlineStr">
        <is>
          <t>P0</t>
        </is>
      </c>
    </row>
    <row r="123" ht="12.75" customHeight="1">
      <c r="A123" t="inlineStr">
        <is>
          <t>战斗UI - 低保真</t>
        </is>
      </c>
      <c r="B123" t="inlineStr">
        <is>
          <t>Zoey</t>
        </is>
      </c>
      <c r="C123" s="2">
        <v>45493</v>
      </c>
      <c r="D123" t="inlineStr">
        <is>
          <t>Done</t>
        </is>
      </c>
      <c r="E123" t="inlineStr">
        <is>
          <t>v0.0.1</t>
        </is>
      </c>
      <c r="F123" t="inlineStr">
        <is>
          <t>Content</t>
        </is>
      </c>
      <c r="G123" t="inlineStr">
        <is>
          <t>UI</t>
        </is>
      </c>
      <c r="H123"/>
      <c r="I123" s="2">
        <v>45498</v>
      </c>
      <c r="J123" t="inlineStr">
        <is>
          <t>P0</t>
        </is>
      </c>
    </row>
    <row r="124" ht="12.75" customHeight="1">
      <c r="A124" t="inlineStr">
        <is>
          <t>菜单UI - 低保真</t>
        </is>
      </c>
      <c r="B124" t="inlineStr">
        <is>
          <t>Zoey</t>
        </is>
      </c>
      <c r="C124" s="2">
        <v>45493</v>
      </c>
      <c r="D124" t="inlineStr">
        <is>
          <t>Done</t>
        </is>
      </c>
      <c r="E124" t="inlineStr">
        <is>
          <t>v0.0.1</t>
        </is>
      </c>
      <c r="F124"/>
      <c r="G124" t="inlineStr">
        <is>
          <t>UI</t>
        </is>
      </c>
      <c r="H124"/>
      <c r="I124" s="2">
        <v>45498</v>
      </c>
      <c r="J124"/>
    </row>
    <row r="125" ht="12.75" customHeight="1">
      <c r="A125" t="inlineStr">
        <is>
          <t>对话UI - 低保真</t>
        </is>
      </c>
      <c r="B125" t="inlineStr">
        <is>
          <t>Zoey</t>
        </is>
      </c>
      <c r="C125" s="2">
        <v>45493</v>
      </c>
      <c r="D125" t="inlineStr">
        <is>
          <t>Done</t>
        </is>
      </c>
      <c r="E125" t="inlineStr">
        <is>
          <t>v0.0.1</t>
        </is>
      </c>
      <c r="F125"/>
      <c r="G125" t="inlineStr">
        <is>
          <t>UI</t>
        </is>
      </c>
      <c r="H125"/>
      <c r="I125" s="2">
        <v>45498</v>
      </c>
      <c r="J125"/>
    </row>
    <row r="126" ht="12.75" customHeight="1">
      <c r="A126" t="inlineStr">
        <is>
          <t>可交互的门</t>
        </is>
      </c>
      <c r="B126" t="inlineStr">
        <is>
          <t>白煜明</t>
        </is>
      </c>
      <c r="C126" s="2">
        <v>45493</v>
      </c>
      <c r="D126" t="inlineStr">
        <is>
          <t>Done</t>
        </is>
      </c>
      <c r="E126" t="inlineStr">
        <is>
          <t>v0.0.1</t>
        </is>
      </c>
      <c r="F126" t="inlineStr">
        <is>
          <t>Feature</t>
        </is>
      </c>
      <c r="G126" t="inlineStr">
        <is>
          <t>关卡系统</t>
        </is>
      </c>
      <c r="H126"/>
      <c r="I126" s="2">
        <v>45513</v>
      </c>
      <c r="J126" t="inlineStr">
        <is>
          <t>P0</t>
        </is>
      </c>
    </row>
    <row r="127" ht="12.75" customHeight="1">
      <c r="A127" t="inlineStr">
        <is>
          <t>可交互的“武器打印机”UI</t>
        </is>
      </c>
      <c r="B127" t="inlineStr">
        <is>
          <t>白煜明</t>
        </is>
      </c>
      <c r="C127" s="2">
        <v>45493</v>
      </c>
      <c r="D127" t="inlineStr">
        <is>
          <t>Done</t>
        </is>
      </c>
      <c r="E127" t="inlineStr">
        <is>
          <t>v0.0.1</t>
        </is>
      </c>
      <c r="F127"/>
      <c r="G127" t="inlineStr">
        <is>
          <t>奖励系统</t>
        </is>
      </c>
      <c r="H127"/>
      <c r="I127" s="2">
        <v>45506</v>
      </c>
      <c r="J127"/>
    </row>
    <row r="128" ht="12.75" customHeight="1">
      <c r="A128" t="inlineStr">
        <is>
          <t>需要额外2位策划</t>
        </is>
      </c>
      <c r="B128" t="inlineStr">
        <is>
          <t>龚政涛</t>
        </is>
      </c>
      <c r="C128" s="2">
        <v>45493</v>
      </c>
      <c r="D128" t="inlineStr">
        <is>
          <t>Done</t>
        </is>
      </c>
      <c r="E128" t="inlineStr">
        <is>
          <t>v0.0.1</t>
        </is>
      </c>
      <c r="F128" t="inlineStr">
        <is>
          <t>Content</t>
        </is>
      </c>
      <c r="G128" t="inlineStr">
        <is>
          <t>策划</t>
        </is>
      </c>
      <c r="H128" t="inlineStr">
        <is>
          <t>需要协助完成以下3个部分：
我现在初步看下来有3块内容可以比较完整的拆开：
1. 局内、局外升级系统
2. 敌人设计
3. 物品、道具和数值设计
不知道老师你更擅长/感兴趣哪一块呢？</t>
        </is>
      </c>
      <c r="I128" s="2">
        <v>45494</v>
      </c>
      <c r="J128"/>
    </row>
    <row r="129" ht="12.75" customHeight="1">
      <c r="A129" t="inlineStr">
        <is>
          <t>“劳旅”小怪设定</t>
        </is>
      </c>
      <c r="B129" t="inlineStr">
        <is>
          <t>龚政涛</t>
        </is>
      </c>
      <c r="C129" s="2">
        <v>45493</v>
      </c>
      <c r="D129" t="inlineStr">
        <is>
          <t>Done</t>
        </is>
      </c>
      <c r="E129" t="inlineStr">
        <is>
          <t>v0.0.1</t>
        </is>
      </c>
      <c r="F129"/>
      <c r="G129" t="inlineStr">
        <is>
          <t>游戏内容</t>
        </is>
      </c>
      <c r="H129"/>
      <c r="I129" s="2">
        <v>45495</v>
      </c>
      <c r="J129"/>
    </row>
    <row r="130" ht="12.75" customHeight="1">
      <c r="A130" t="inlineStr">
        <is>
          <t>模型素材</t>
        </is>
      </c>
      <c r="B130" t="inlineStr">
        <is>
          <t>龚政涛</t>
        </is>
      </c>
      <c r="C130" s="2">
        <v>45493</v>
      </c>
      <c r="D130" t="inlineStr">
        <is>
          <t>Done</t>
        </is>
      </c>
      <c r="E130" t="inlineStr">
        <is>
          <t>v0.0.1</t>
        </is>
      </c>
      <c r="F130"/>
      <c r="G130"/>
      <c r="H130"/>
      <c r="I130" s="2">
        <v>45506</v>
      </c>
      <c r="J130"/>
    </row>
    <row r="131" ht="12.75" customHeight="1">
      <c r="A131" t="inlineStr">
        <is>
          <t>UI文本需求</t>
        </is>
      </c>
      <c r="B131" t="inlineStr">
        <is>
          <t>龚政涛</t>
        </is>
      </c>
      <c r="C131" s="2">
        <v>45493</v>
      </c>
      <c r="D131" t="inlineStr">
        <is>
          <t>Done</t>
        </is>
      </c>
      <c r="E131" t="inlineStr">
        <is>
          <t>v0.0.1</t>
        </is>
      </c>
      <c r="F131"/>
      <c r="G131"/>
      <c r="H131"/>
      <c r="I131" s="2">
        <v>45506</v>
      </c>
      <c r="J131"/>
    </row>
    <row r="132" ht="12.75" customHeight="1">
      <c r="A132" t="inlineStr">
        <is>
          <t>教程剧情需求</t>
        </is>
      </c>
      <c r="B132" t="inlineStr">
        <is>
          <t>龚政涛</t>
        </is>
      </c>
      <c r="C132" s="2">
        <v>45493</v>
      </c>
      <c r="D132" t="inlineStr">
        <is>
          <t>Done</t>
        </is>
      </c>
      <c r="E132" t="inlineStr">
        <is>
          <t>v0.0.1</t>
        </is>
      </c>
      <c r="F132"/>
      <c r="G132"/>
      <c r="H132"/>
      <c r="I132" s="2">
        <v>45499</v>
      </c>
      <c r="J132"/>
    </row>
    <row r="133" ht="12.75" customHeight="1">
      <c r="A133" t="inlineStr">
        <is>
          <t>定义要出场的装备</t>
        </is>
      </c>
      <c r="B133" t="inlineStr">
        <is>
          <t>龚政涛</t>
        </is>
      </c>
      <c r="C133" s="2">
        <v>45493</v>
      </c>
      <c r="D133" t="inlineStr">
        <is>
          <t>Done</t>
        </is>
      </c>
      <c r="E133" t="inlineStr">
        <is>
          <t>v0.0.1</t>
        </is>
      </c>
      <c r="F133"/>
      <c r="G133"/>
      <c r="H133"/>
      <c r="I133" s="2">
        <v>45495</v>
      </c>
      <c r="J133"/>
    </row>
    <row r="134" ht="12.75" customHeight="1">
      <c r="A134" t="inlineStr">
        <is>
          <t>需要额外2位策划</t>
        </is>
      </c>
      <c r="B134" t="inlineStr">
        <is>
          <t>龚政涛</t>
        </is>
      </c>
      <c r="C134" s="2">
        <v>45493</v>
      </c>
      <c r="D134" t="inlineStr">
        <is>
          <t>Done</t>
        </is>
      </c>
      <c r="E134" t="inlineStr">
        <is>
          <t>v0.0.1</t>
        </is>
      </c>
      <c r="F134" t="inlineStr">
        <is>
          <t>Content</t>
        </is>
      </c>
      <c r="G134" t="inlineStr">
        <is>
          <t>策划</t>
        </is>
      </c>
      <c r="H134" t="inlineStr">
        <is>
          <t>需要协助完成以下3个部分：
我现在初步看下来有3块内容可以比较完整的拆开：
1. 局内、局外升级系统
2. 敌人设计
3. 物品、道具和数值设计
不知道老师你更擅长/感兴趣哪一块呢？</t>
        </is>
      </c>
      <c r="I134" s="2">
        <v>45494</v>
      </c>
      <c r="J134"/>
    </row>
    <row r="135" ht="12.75" customHeight="1">
      <c r="A135" t="inlineStr">
        <is>
          <t>远程敌人基础AI</t>
        </is>
      </c>
      <c r="B135" t="inlineStr">
        <is>
          <t>李少秋</t>
        </is>
      </c>
      <c r="C135" s="2">
        <v>45493</v>
      </c>
      <c r="D135" t="inlineStr">
        <is>
          <t>Done</t>
        </is>
      </c>
      <c r="E135" t="inlineStr">
        <is>
          <t>v0.0.1</t>
        </is>
      </c>
      <c r="F135"/>
      <c r="G135" t="inlineStr">
        <is>
          <t>AI系统</t>
        </is>
      </c>
      <c r="H135"/>
      <c r="I135" s="2">
        <v>45505</v>
      </c>
      <c r="J135"/>
    </row>
    <row r="136" ht="12.75" customHeight="1">
      <c r="A136" t="inlineStr">
        <is>
          <t>AI继承完整属性系统</t>
        </is>
      </c>
      <c r="B136" t="inlineStr">
        <is>
          <t>李少秋,Decay</t>
        </is>
      </c>
      <c r="C136" s="2">
        <v>45493</v>
      </c>
      <c r="D136" t="inlineStr">
        <is>
          <t>Done</t>
        </is>
      </c>
      <c r="E136" t="inlineStr">
        <is>
          <t>v0.0.1</t>
        </is>
      </c>
      <c r="F136"/>
      <c r="G136" t="inlineStr">
        <is>
          <t>AI系统</t>
        </is>
      </c>
      <c r="H136"/>
      <c r="I136" s="2">
        <v>45513</v>
      </c>
      <c r="J136"/>
    </row>
    <row r="137" ht="12.75" customHeight="1">
      <c r="A137" t="inlineStr">
        <is>
          <t>主菜单UI - 高保真</t>
        </is>
      </c>
      <c r="B137" t="inlineStr">
        <is>
          <t>Zoey</t>
        </is>
      </c>
      <c r="C137" s="2">
        <v>45495</v>
      </c>
      <c r="D137" t="inlineStr">
        <is>
          <t>Done</t>
        </is>
      </c>
      <c r="E137" t="inlineStr">
        <is>
          <t>v0.0.1</t>
        </is>
      </c>
      <c r="F137"/>
      <c r="G137"/>
      <c r="H137"/>
      <c r="I137" s="2">
        <v>45496</v>
      </c>
      <c r="J137"/>
    </row>
    <row r="138" ht="12.75" customHeight="1">
      <c r="A138" t="inlineStr">
        <is>
          <t>武器打印机UI - 高保真</t>
        </is>
      </c>
      <c r="B138" t="inlineStr">
        <is>
          <t>Zoey</t>
        </is>
      </c>
      <c r="C138" s="2">
        <v>45499</v>
      </c>
      <c r="D138" t="inlineStr">
        <is>
          <t>Done</t>
        </is>
      </c>
      <c r="E138" t="inlineStr">
        <is>
          <t>v0.0.1</t>
        </is>
      </c>
      <c r="F138"/>
      <c r="G138" t="inlineStr">
        <is>
          <t>UI</t>
        </is>
      </c>
      <c r="H138"/>
      <c r="I138" s="2">
        <v>45506</v>
      </c>
      <c r="J138"/>
    </row>
    <row r="139" ht="12.75" customHeight="1">
      <c r="A139" t="inlineStr">
        <is>
          <t>背景音乐接入</t>
        </is>
      </c>
      <c r="B139" t="inlineStr">
        <is>
          <t>李少秋</t>
        </is>
      </c>
      <c r="C139" s="2">
        <v>45499</v>
      </c>
      <c r="D139" t="inlineStr">
        <is>
          <t>Done</t>
        </is>
      </c>
      <c r="E139" t="inlineStr">
        <is>
          <t>v0.0.1</t>
        </is>
      </c>
      <c r="F139"/>
      <c r="G139" t="inlineStr">
        <is>
          <t>底层系统</t>
        </is>
      </c>
      <c r="H139"/>
      <c r="I139" s="2">
        <v>45505</v>
      </c>
      <c r="J139"/>
    </row>
    <row r="140" ht="12.75" customHeight="1">
      <c r="A140" t="inlineStr">
        <is>
          <t>武器数值</t>
        </is>
      </c>
      <c r="B140" t="inlineStr">
        <is>
          <t>苏祺恒</t>
        </is>
      </c>
      <c r="C140" s="2">
        <v>45500</v>
      </c>
      <c r="D140" t="inlineStr">
        <is>
          <t>Done</t>
        </is>
      </c>
      <c r="E140" t="inlineStr">
        <is>
          <t>v0.0.1</t>
        </is>
      </c>
      <c r="F140"/>
      <c r="G140" t="inlineStr">
        <is>
          <t>游戏内容</t>
        </is>
      </c>
      <c r="H140"/>
      <c r="I140" s="2">
        <v>45513</v>
      </c>
      <c r="J140"/>
    </row>
    <row r="141" ht="12.75" customHeight="1">
      <c r="A141" t="inlineStr">
        <is>
          <t>义体数值</t>
        </is>
      </c>
      <c r="B141" t="inlineStr">
        <is>
          <t>苏祺恒</t>
        </is>
      </c>
      <c r="C141" s="2">
        <v>45500</v>
      </c>
      <c r="D141" t="inlineStr">
        <is>
          <t>Done</t>
        </is>
      </c>
      <c r="E141" t="inlineStr">
        <is>
          <t>v0.0.1</t>
        </is>
      </c>
      <c r="F141"/>
      <c r="G141" t="inlineStr">
        <is>
          <t>游戏内容</t>
        </is>
      </c>
      <c r="H141"/>
      <c r="I141" s="2">
        <v>45513</v>
      </c>
      <c r="J141"/>
    </row>
    <row r="142" ht="12.75" customHeight="1">
      <c r="A142" t="inlineStr">
        <is>
          <t>技能数值</t>
        </is>
      </c>
      <c r="B142" t="inlineStr">
        <is>
          <t>苏祺恒</t>
        </is>
      </c>
      <c r="C142" s="2">
        <v>45500</v>
      </c>
      <c r="D142" t="inlineStr">
        <is>
          <t>Done</t>
        </is>
      </c>
      <c r="E142" t="inlineStr">
        <is>
          <t>v0.0.1</t>
        </is>
      </c>
      <c r="F142"/>
      <c r="G142" t="inlineStr">
        <is>
          <t>游戏内容</t>
        </is>
      </c>
      <c r="H142"/>
      <c r="I142" s="2">
        <v>45513</v>
      </c>
      <c r="J142"/>
    </row>
    <row r="143" ht="12.75" customHeight="1">
      <c r="A143" t="inlineStr">
        <is>
          <t>小怪数值</t>
        </is>
      </c>
      <c r="B143" t="inlineStr">
        <is>
          <t>苏祺恒</t>
        </is>
      </c>
      <c r="C143" s="2">
        <v>45500</v>
      </c>
      <c r="D143" t="inlineStr">
        <is>
          <t>Done</t>
        </is>
      </c>
      <c r="E143" t="inlineStr">
        <is>
          <t>v0.0.1</t>
        </is>
      </c>
      <c r="F143"/>
      <c r="G143" t="inlineStr">
        <is>
          <t>游戏内容</t>
        </is>
      </c>
      <c r="H143"/>
      <c r="I143" s="2">
        <v>45506</v>
      </c>
      <c r="J143"/>
    </row>
    <row r="144" ht="12.75" customHeight="1">
      <c r="A144" t="inlineStr">
        <is>
          <t>自动恢复体力</t>
        </is>
      </c>
      <c r="B144" t="inlineStr">
        <is>
          <t>Decay</t>
        </is>
      </c>
      <c r="C144" s="2">
        <v>45500</v>
      </c>
      <c r="D144" t="inlineStr">
        <is>
          <t>Done</t>
        </is>
      </c>
      <c r="E144" t="inlineStr">
        <is>
          <t>v0.0.1</t>
        </is>
      </c>
      <c r="F144"/>
      <c r="G144" t="inlineStr">
        <is>
          <t>属性系统</t>
        </is>
      </c>
      <c r="H144"/>
      <c r="I144" s="2">
        <v>45506</v>
      </c>
      <c r="J144"/>
    </row>
    <row r="145" ht="12.75" customHeight="1">
      <c r="A145" t="inlineStr">
        <is>
          <t>近战武器模板</t>
        </is>
      </c>
      <c r="B145" t="inlineStr">
        <is>
          <t>Decay</t>
        </is>
      </c>
      <c r="C145" s="2">
        <v>45500</v>
      </c>
      <c r="D145" t="inlineStr">
        <is>
          <t>Done</t>
        </is>
      </c>
      <c r="E145" t="inlineStr">
        <is>
          <t>v0.0.1</t>
        </is>
      </c>
      <c r="F145"/>
      <c r="G145" t="inlineStr">
        <is>
          <t>武器系统</t>
        </is>
      </c>
      <c r="H145"/>
      <c r="I145" s="2">
        <v>45506</v>
      </c>
      <c r="J145"/>
    </row>
    <row r="146" ht="12.75" customHeight="1">
      <c r="A146" t="inlineStr">
        <is>
          <t>2个测试用战技</t>
        </is>
      </c>
      <c r="B146" t="inlineStr">
        <is>
          <t>Decay</t>
        </is>
      </c>
      <c r="C146" s="2">
        <v>45500</v>
      </c>
      <c r="D146" t="inlineStr">
        <is>
          <t>Done</t>
        </is>
      </c>
      <c r="E146" t="inlineStr">
        <is>
          <t>v0.0.1</t>
        </is>
      </c>
      <c r="F146"/>
      <c r="G146" t="inlineStr">
        <is>
          <t>游戏内容</t>
        </is>
      </c>
      <c r="H146"/>
      <c r="I146" s="2">
        <v>45506</v>
      </c>
      <c r="J146"/>
    </row>
    <row r="147" ht="12.75" customHeight="1">
      <c r="A147" t="inlineStr">
        <is>
          <t>2个测试用义体技能</t>
        </is>
      </c>
      <c r="B147" t="inlineStr">
        <is>
          <t>Decay</t>
        </is>
      </c>
      <c r="C147" s="2">
        <v>45500</v>
      </c>
      <c r="D147" t="inlineStr">
        <is>
          <t>Done</t>
        </is>
      </c>
      <c r="E147" t="inlineStr">
        <is>
          <t>v0.0.1</t>
        </is>
      </c>
      <c r="F147"/>
      <c r="G147" t="inlineStr">
        <is>
          <t>游戏内容</t>
        </is>
      </c>
      <c r="H147"/>
      <c r="I147" s="2">
        <v>45506</v>
      </c>
      <c r="J147"/>
    </row>
    <row r="148" ht="12.75" customHeight="1">
      <c r="A148" t="inlineStr">
        <is>
          <t>2个测试用武器技能</t>
        </is>
      </c>
      <c r="B148" t="inlineStr">
        <is>
          <t>Decay</t>
        </is>
      </c>
      <c r="C148" s="2">
        <v>45500</v>
      </c>
      <c r="D148" t="inlineStr">
        <is>
          <t>Done</t>
        </is>
      </c>
      <c r="E148" t="inlineStr">
        <is>
          <t>v0.0.1</t>
        </is>
      </c>
      <c r="F148"/>
      <c r="G148" t="inlineStr">
        <is>
          <t>游戏内容</t>
        </is>
      </c>
      <c r="H148"/>
      <c r="I148" s="2">
        <v>45506</v>
      </c>
      <c r="J148"/>
    </row>
    <row r="149" ht="12.75" customHeight="1">
      <c r="A149" t="inlineStr">
        <is>
          <t>Galatea头像 - 平静 - 模糊</t>
        </is>
      </c>
      <c r="B149" t="inlineStr">
        <is>
          <t>Ke Huang</t>
        </is>
      </c>
      <c r="C149" s="2">
        <v>45500</v>
      </c>
      <c r="D149" t="inlineStr">
        <is>
          <t>Done</t>
        </is>
      </c>
      <c r="E149" t="inlineStr">
        <is>
          <t>v0.0.1</t>
        </is>
      </c>
      <c r="F149"/>
      <c r="G149" t="inlineStr">
        <is>
          <t>角色美术</t>
        </is>
      </c>
      <c r="H149"/>
      <c r="I149" s="2">
        <v>45506</v>
      </c>
      <c r="J149"/>
    </row>
    <row r="150" ht="12.75" customHeight="1">
      <c r="A150" t="inlineStr">
        <is>
          <t>场景内会出现的文本</t>
        </is>
      </c>
      <c r="B150" t="inlineStr">
        <is>
          <t>Serein,Jade</t>
        </is>
      </c>
      <c r="C150" s="2">
        <v>45500</v>
      </c>
      <c r="D150" t="inlineStr">
        <is>
          <t>Done</t>
        </is>
      </c>
      <c r="E150" t="inlineStr">
        <is>
          <t>v0.0.1</t>
        </is>
      </c>
      <c r="F150" t="inlineStr">
        <is>
          <t>Content</t>
        </is>
      </c>
      <c r="G150" t="inlineStr">
        <is>
          <t>剧情</t>
        </is>
      </c>
      <c r="H150"/>
      <c r="I150" s="2">
        <v>45513</v>
      </c>
      <c r="J150" t="inlineStr">
        <is>
          <t>P1</t>
        </is>
      </c>
    </row>
    <row r="151" ht="12.75" customHeight="1">
      <c r="A151" t="inlineStr">
        <is>
          <t>义体打印机UI - 高保真</t>
        </is>
      </c>
      <c r="B151" t="inlineStr">
        <is>
          <t>Zoey</t>
        </is>
      </c>
      <c r="C151" s="2">
        <v>45500</v>
      </c>
      <c r="D151" t="inlineStr">
        <is>
          <t>Done</t>
        </is>
      </c>
      <c r="E151" t="inlineStr">
        <is>
          <t>v0.0.1</t>
        </is>
      </c>
      <c r="F151"/>
      <c r="G151"/>
      <c r="H151"/>
      <c r="I151" s="2">
        <v>45506</v>
      </c>
      <c r="J151"/>
    </row>
    <row r="152" ht="12.75" customHeight="1">
      <c r="A152" t="inlineStr">
        <is>
          <t>玩家属性菜单UI - 高保真</t>
        </is>
      </c>
      <c r="B152" t="inlineStr">
        <is>
          <t>Zoey</t>
        </is>
      </c>
      <c r="C152" s="2">
        <v>45500</v>
      </c>
      <c r="D152" t="inlineStr">
        <is>
          <t>Done</t>
        </is>
      </c>
      <c r="E152" t="inlineStr">
        <is>
          <t>v0.0.1</t>
        </is>
      </c>
      <c r="F152"/>
      <c r="G152"/>
      <c r="H152"/>
      <c r="I152" s="2">
        <v>45506</v>
      </c>
      <c r="J152"/>
    </row>
    <row r="153" ht="12.75" customHeight="1">
      <c r="A153" t="inlineStr">
        <is>
          <t>义体技能配置UI - 低保真</t>
        </is>
      </c>
      <c r="B153" t="inlineStr">
        <is>
          <t>Zoey</t>
        </is>
      </c>
      <c r="C153" s="2">
        <v>45500</v>
      </c>
      <c r="D153" t="inlineStr">
        <is>
          <t>Done</t>
        </is>
      </c>
      <c r="E153" t="inlineStr">
        <is>
          <t>v0.0.1</t>
        </is>
      </c>
      <c r="F153"/>
      <c r="G153"/>
      <c r="H153"/>
      <c r="I153" s="2">
        <v>45502</v>
      </c>
      <c r="J153"/>
    </row>
    <row r="154" ht="12.75" customHeight="1">
      <c r="A154" t="inlineStr">
        <is>
          <t>可交互的直接回复奖励</t>
        </is>
      </c>
      <c r="B154" t="inlineStr">
        <is>
          <t>白煜明</t>
        </is>
      </c>
      <c r="C154" s="2">
        <v>45500</v>
      </c>
      <c r="D154" t="inlineStr">
        <is>
          <t>Done</t>
        </is>
      </c>
      <c r="E154" t="inlineStr">
        <is>
          <t>v0.0.1</t>
        </is>
      </c>
      <c r="F154"/>
      <c r="G154" t="inlineStr">
        <is>
          <t>奖励系统</t>
        </is>
      </c>
      <c r="H154"/>
      <c r="I154" s="2">
        <v>45506</v>
      </c>
      <c r="J154"/>
    </row>
    <row r="155" ht="12.75" customHeight="1">
      <c r="A155" t="inlineStr">
        <is>
          <t>通过电梯卡切换关卡</t>
        </is>
      </c>
      <c r="B155" t="inlineStr">
        <is>
          <t>白煜明</t>
        </is>
      </c>
      <c r="C155" s="2">
        <v>45500</v>
      </c>
      <c r="D155" t="inlineStr">
        <is>
          <t>Done</t>
        </is>
      </c>
      <c r="E155" t="inlineStr">
        <is>
          <t>v0.0.1</t>
        </is>
      </c>
      <c r="F155"/>
      <c r="G155" t="inlineStr">
        <is>
          <t>关卡系统</t>
        </is>
      </c>
      <c r="H155"/>
      <c r="I155" s="2">
        <v>45506</v>
      </c>
      <c r="J155"/>
    </row>
    <row r="156" ht="12.75" customHeight="1">
      <c r="A156" t="inlineStr">
        <is>
          <t>SFX素材</t>
        </is>
      </c>
      <c r="B156" t="inlineStr">
        <is>
          <t>龚政涛</t>
        </is>
      </c>
      <c r="C156" s="2">
        <v>45500</v>
      </c>
      <c r="D156" t="inlineStr">
        <is>
          <t>Done</t>
        </is>
      </c>
      <c r="E156" t="inlineStr">
        <is>
          <t>v0.0.1</t>
        </is>
      </c>
      <c r="F156"/>
      <c r="G156"/>
      <c r="H156"/>
      <c r="I156" s="2">
        <v>45506</v>
      </c>
      <c r="J156"/>
    </row>
    <row r="157" ht="12.75" customHeight="1">
      <c r="A157" t="inlineStr">
        <is>
          <t>远程敌人1</t>
        </is>
      </c>
      <c r="B157" t="inlineStr">
        <is>
          <t>李少秋</t>
        </is>
      </c>
      <c r="C157" s="2">
        <v>45500</v>
      </c>
      <c r="D157" t="inlineStr">
        <is>
          <t>Done</t>
        </is>
      </c>
      <c r="E157" t="inlineStr">
        <is>
          <t>v0.0.1</t>
        </is>
      </c>
      <c r="F157"/>
      <c r="G157" t="inlineStr">
        <is>
          <t>AI系统</t>
        </is>
      </c>
      <c r="H157"/>
      <c r="I157" s="2">
        <v>45505</v>
      </c>
      <c r="J157"/>
    </row>
    <row r="158" ht="12.75" customHeight="1">
      <c r="A158" t="inlineStr">
        <is>
          <t>近战敌人1</t>
        </is>
      </c>
      <c r="B158" t="inlineStr">
        <is>
          <t>李少秋</t>
        </is>
      </c>
      <c r="C158" s="2">
        <v>45500</v>
      </c>
      <c r="D158" t="inlineStr">
        <is>
          <t>Done</t>
        </is>
      </c>
      <c r="E158" t="inlineStr">
        <is>
          <t>v0.0.1</t>
        </is>
      </c>
      <c r="F158"/>
      <c r="G158" t="inlineStr">
        <is>
          <t>AI系统</t>
        </is>
      </c>
      <c r="H158"/>
      <c r="I158" s="2">
        <v>45505</v>
      </c>
      <c r="J158"/>
    </row>
    <row r="159" ht="12.75" customHeight="1">
      <c r="A159" t="inlineStr">
        <is>
          <t>游戏内音效 - v0.0.1</t>
        </is>
      </c>
      <c r="B159" t="inlineStr">
        <is>
          <t>李奕慧</t>
        </is>
      </c>
      <c r="C159" s="2">
        <v>45500</v>
      </c>
      <c r="D159" t="inlineStr">
        <is>
          <t>Done</t>
        </is>
      </c>
      <c r="E159" t="inlineStr">
        <is>
          <t>v0.0.1</t>
        </is>
      </c>
      <c r="F159"/>
      <c r="G159"/>
      <c r="H159"/>
      <c r="I159" s="2">
        <v>45513</v>
      </c>
      <c r="J159"/>
    </row>
    <row r="160" ht="12.75" customHeight="1">
      <c r="A160" t="inlineStr">
        <is>
          <t>三个品牌的水印</t>
        </is>
      </c>
      <c r="B160" t="inlineStr">
        <is>
          <t>Arthur Li</t>
        </is>
      </c>
      <c r="C160" s="2">
        <v>45502</v>
      </c>
      <c r="D160" t="inlineStr">
        <is>
          <t>Done</t>
        </is>
      </c>
      <c r="E160" t="inlineStr">
        <is>
          <t>v0.0.1</t>
        </is>
      </c>
      <c r="F160"/>
      <c r="G160"/>
      <c r="H160"/>
      <c r="I160" s="2">
        <v>45513</v>
      </c>
      <c r="J160"/>
    </row>
    <row r="161" ht="12.75" customHeight="1">
      <c r="A161" t="inlineStr">
        <is>
          <t>「劳旅」关卡量产</t>
        </is>
      </c>
      <c r="B161" t="inlineStr">
        <is>
          <t>Joyce Jiao</t>
        </is>
      </c>
      <c r="C161" s="2">
        <v>45502</v>
      </c>
      <c r="D161" t="inlineStr">
        <is>
          <t>Done</t>
        </is>
      </c>
      <c r="E161" t="inlineStr">
        <is>
          <t>v0.0.1</t>
        </is>
      </c>
      <c r="F161" t="inlineStr">
        <is>
          <t>Content</t>
        </is>
      </c>
      <c r="G161" t="inlineStr">
        <is>
          <t>游戏内容</t>
        </is>
      </c>
      <c r="H161"/>
      <c r="I161" s="2">
        <v>45519</v>
      </c>
      <c r="J161" t="inlineStr">
        <is>
          <t>P0</t>
        </is>
      </c>
    </row>
    <row r="162" ht="12.75" customHeight="1">
      <c r="A162" t="inlineStr">
        <is>
          <t>义体技能配置UI - 高保真</t>
        </is>
      </c>
      <c r="B162" t="inlineStr">
        <is>
          <t>Zoey</t>
        </is>
      </c>
      <c r="C162" s="2">
        <v>45503</v>
      </c>
      <c r="D162" t="inlineStr">
        <is>
          <t>Done</t>
        </is>
      </c>
      <c r="E162" t="inlineStr">
        <is>
          <t>v0.0.1</t>
        </is>
      </c>
      <c r="F162"/>
      <c r="G162"/>
      <c r="H162"/>
      <c r="I162" s="2">
        <v>45506</v>
      </c>
      <c r="J162"/>
    </row>
    <row r="163" ht="12.75" customHeight="1">
      <c r="A163" t="inlineStr">
        <is>
          <t>子弹散布</t>
        </is>
      </c>
      <c r="B163" t="inlineStr">
        <is>
          <t>Decay</t>
        </is>
      </c>
      <c r="C163" s="2">
        <v>45506</v>
      </c>
      <c r="D163" t="inlineStr">
        <is>
          <t>Done</t>
        </is>
      </c>
      <c r="E163" t="inlineStr">
        <is>
          <t>v0.0.1</t>
        </is>
      </c>
      <c r="F163" t="inlineStr">
        <is>
          <t>Feature</t>
        </is>
      </c>
      <c r="G163" t="inlineStr">
        <is>
          <t>底层系统</t>
        </is>
      </c>
      <c r="H163"/>
      <c r="I163" s="2">
        <v>45507</v>
      </c>
      <c r="J163"/>
    </row>
    <row r="164" ht="12.75" customHeight="1">
      <c r="A164" t="inlineStr">
        <is>
          <t>UI细节优化</t>
        </is>
      </c>
      <c r="B164" t="inlineStr">
        <is>
          <t>Zoey</t>
        </is>
      </c>
      <c r="C164" s="2">
        <v>45506</v>
      </c>
      <c r="D164" t="inlineStr">
        <is>
          <t>Done</t>
        </is>
      </c>
      <c r="E164" t="inlineStr">
        <is>
          <t>v0.0.1</t>
        </is>
      </c>
      <c r="F164"/>
      <c r="G164"/>
      <c r="H164"/>
      <c r="I164" s="2">
        <v>45522</v>
      </c>
      <c r="J164"/>
    </row>
    <row r="165" ht="12.75" customHeight="1">
      <c r="A165" t="inlineStr">
        <is>
          <t>战斗UI - 高保真</t>
        </is>
      </c>
      <c r="B165" t="inlineStr">
        <is>
          <t>Zoey</t>
        </is>
      </c>
      <c r="C165" s="2">
        <v>45506</v>
      </c>
      <c r="D165" t="inlineStr">
        <is>
          <t>Done</t>
        </is>
      </c>
      <c r="E165" t="inlineStr">
        <is>
          <t>v0.0.1</t>
        </is>
      </c>
      <c r="F165"/>
      <c r="G165"/>
      <c r="H165"/>
      <c r="I165" s="2">
        <v>45513</v>
      </c>
      <c r="J165"/>
    </row>
    <row r="166" ht="12.75" customHeight="1">
      <c r="A166" t="inlineStr">
        <is>
          <t>关卡数值加成</t>
        </is>
      </c>
      <c r="B166" t="inlineStr">
        <is>
          <t>苏祺恒</t>
        </is>
      </c>
      <c r="C166" s="2">
        <v>45507</v>
      </c>
      <c r="D166" t="inlineStr">
        <is>
          <t>Done</t>
        </is>
      </c>
      <c r="E166" t="inlineStr">
        <is>
          <t>v0.0.1</t>
        </is>
      </c>
      <c r="F166"/>
      <c r="G166" t="inlineStr">
        <is>
          <t>游戏内容</t>
        </is>
      </c>
      <c r="H166"/>
      <c r="I166" s="2">
        <v>45513</v>
      </c>
      <c r="J166"/>
    </row>
    <row r="167" ht="12.75" customHeight="1">
      <c r="A167" t="inlineStr">
        <is>
          <t>UI支持框架</t>
        </is>
      </c>
      <c r="B167" t="inlineStr">
        <is>
          <t>白煜明,Decay</t>
        </is>
      </c>
      <c r="C167" s="2">
        <v>45507</v>
      </c>
      <c r="D167" t="inlineStr">
        <is>
          <t>Done</t>
        </is>
      </c>
      <c r="E167" t="inlineStr">
        <is>
          <t>v0.0.1</t>
        </is>
      </c>
      <c r="F167"/>
      <c r="G167" t="inlineStr">
        <is>
          <t>底层系统</t>
        </is>
      </c>
      <c r="H167"/>
      <c r="I167" s="2">
        <v>45513</v>
      </c>
      <c r="J167"/>
    </row>
    <row r="168" ht="12.75" customHeight="1">
      <c r="A168" t="inlineStr">
        <is>
          <t>额外4把武器</t>
        </is>
      </c>
      <c r="B168" t="inlineStr">
        <is>
          <t>Decay</t>
        </is>
      </c>
      <c r="C168" s="2">
        <v>45507</v>
      </c>
      <c r="D168" t="inlineStr">
        <is>
          <t>Done</t>
        </is>
      </c>
      <c r="E168" t="inlineStr">
        <is>
          <t>v0.0.1</t>
        </is>
      </c>
      <c r="F168"/>
      <c r="G168" t="inlineStr">
        <is>
          <t>游戏内容</t>
        </is>
      </c>
      <c r="H168"/>
      <c r="I168" s="2">
        <v>45513</v>
      </c>
      <c r="J168"/>
    </row>
    <row r="169" ht="12.75" customHeight="1">
      <c r="A169" t="inlineStr">
        <is>
          <t>额外4个武器战技</t>
        </is>
      </c>
      <c r="B169" t="inlineStr">
        <is>
          <t>Decay</t>
        </is>
      </c>
      <c r="C169" s="2">
        <v>45507</v>
      </c>
      <c r="D169" t="inlineStr">
        <is>
          <t>Done</t>
        </is>
      </c>
      <c r="E169" t="inlineStr">
        <is>
          <t>v0.0.1</t>
        </is>
      </c>
      <c r="F169"/>
      <c r="G169" t="inlineStr">
        <is>
          <t>游戏内容</t>
        </is>
      </c>
      <c r="H169"/>
      <c r="I169" s="2">
        <v>45513</v>
      </c>
      <c r="J169"/>
    </row>
    <row r="170" ht="12.75" customHeight="1">
      <c r="A170" t="inlineStr">
        <is>
          <t>额外6个武器技能</t>
        </is>
      </c>
      <c r="B170" t="inlineStr">
        <is>
          <t>Decay</t>
        </is>
      </c>
      <c r="C170" s="2">
        <v>45507</v>
      </c>
      <c r="D170" t="inlineStr">
        <is>
          <t>Done</t>
        </is>
      </c>
      <c r="E170" t="inlineStr">
        <is>
          <t>v0.0.1</t>
        </is>
      </c>
      <c r="F170"/>
      <c r="G170" t="inlineStr">
        <is>
          <t>游戏内容</t>
        </is>
      </c>
      <c r="H170"/>
      <c r="I170" s="2">
        <v>45513</v>
      </c>
      <c r="J170"/>
    </row>
    <row r="171" ht="12.75" customHeight="1">
      <c r="A171" t="inlineStr">
        <is>
          <t>“Galatea”和“Stray”的对话</t>
        </is>
      </c>
      <c r="B171" t="inlineStr">
        <is>
          <t>Serein,Jade</t>
        </is>
      </c>
      <c r="C171" s="2">
        <v>45507</v>
      </c>
      <c r="D171" t="inlineStr">
        <is>
          <t>Done</t>
        </is>
      </c>
      <c r="E171" t="inlineStr">
        <is>
          <t>v0.0.1</t>
        </is>
      </c>
      <c r="F171"/>
      <c r="G171" t="inlineStr">
        <is>
          <t>剧情</t>
        </is>
      </c>
      <c r="H171"/>
      <c r="I171" s="2">
        <v>45513</v>
      </c>
      <c r="J171"/>
    </row>
    <row r="172" ht="12.75" customHeight="1">
      <c r="A172" t="inlineStr">
        <is>
          <t>游戏商品名</t>
        </is>
      </c>
      <c r="B172" t="inlineStr">
        <is>
          <t>Serein,Jade</t>
        </is>
      </c>
      <c r="C172" s="2">
        <v>45507</v>
      </c>
      <c r="D172" t="inlineStr">
        <is>
          <t>Done</t>
        </is>
      </c>
      <c r="E172" t="inlineStr">
        <is>
          <t>v0.0.1</t>
        </is>
      </c>
      <c r="F172"/>
      <c r="G172"/>
      <c r="H172"/>
      <c r="I172" s="2">
        <v>45515</v>
      </c>
      <c r="J172"/>
    </row>
    <row r="173" ht="12.75" customHeight="1">
      <c r="A173" t="inlineStr">
        <is>
          <t>对话UI - 高保真</t>
        </is>
      </c>
      <c r="B173" t="inlineStr">
        <is>
          <t>Zoey</t>
        </is>
      </c>
      <c r="C173" s="2">
        <v>45507</v>
      </c>
      <c r="D173" t="inlineStr">
        <is>
          <t>Done</t>
        </is>
      </c>
      <c r="E173" t="inlineStr">
        <is>
          <t>v0.0.1</t>
        </is>
      </c>
      <c r="F173"/>
      <c r="G173"/>
      <c r="H173"/>
      <c r="I173" s="2">
        <v>45513</v>
      </c>
      <c r="J173"/>
    </row>
    <row r="174" ht="12.75" customHeight="1">
      <c r="A174" t="inlineStr">
        <is>
          <t>对话UI系统</t>
        </is>
      </c>
      <c r="B174" t="inlineStr">
        <is>
          <t>白煜明</t>
        </is>
      </c>
      <c r="C174" s="2">
        <v>45507</v>
      </c>
      <c r="D174" t="inlineStr">
        <is>
          <t>Done</t>
        </is>
      </c>
      <c r="E174" t="inlineStr">
        <is>
          <t>v0.0.1</t>
        </is>
      </c>
      <c r="F174"/>
      <c r="G174" t="inlineStr">
        <is>
          <t>UI</t>
        </is>
      </c>
      <c r="H174"/>
      <c r="I174" s="2">
        <v>45513</v>
      </c>
      <c r="J174"/>
    </row>
    <row r="175" ht="12.75" customHeight="1">
      <c r="A175" t="inlineStr">
        <is>
          <t>局内升级布置&amp;资源消耗设计</t>
        </is>
      </c>
      <c r="B175" t="inlineStr">
        <is>
          <t>龚政涛</t>
        </is>
      </c>
      <c r="C175" s="2">
        <v>45507</v>
      </c>
      <c r="D175" t="inlineStr">
        <is>
          <t>Done</t>
        </is>
      </c>
      <c r="E175" t="inlineStr">
        <is>
          <t>v0.0.1</t>
        </is>
      </c>
      <c r="F175" t="inlineStr">
        <is>
          <t>Content</t>
        </is>
      </c>
      <c r="G175" t="inlineStr">
        <is>
          <t>策划</t>
        </is>
      </c>
      <c r="H175"/>
      <c r="I175" s="2">
        <v>45513</v>
      </c>
      <c r="J175"/>
    </row>
    <row r="176" ht="12.75" customHeight="1">
      <c r="A176" t="inlineStr">
        <is>
          <t>SFX需求视频</t>
        </is>
      </c>
      <c r="B176" t="inlineStr">
        <is>
          <t>龚政涛</t>
        </is>
      </c>
      <c r="C176" s="2">
        <v>45507</v>
      </c>
      <c r="D176" t="inlineStr">
        <is>
          <t>Done</t>
        </is>
      </c>
      <c r="E176" t="inlineStr">
        <is>
          <t>v0.0.1</t>
        </is>
      </c>
      <c r="F176"/>
      <c r="G176"/>
      <c r="H176"/>
      <c r="I176" s="2">
        <v>45513</v>
      </c>
      <c r="J176"/>
    </row>
    <row r="177" ht="12.75" customHeight="1">
      <c r="A177" t="inlineStr">
        <is>
          <t>动画</t>
        </is>
      </c>
      <c r="B177" t="inlineStr">
        <is>
          <t>龚政涛</t>
        </is>
      </c>
      <c r="C177" s="2">
        <v>45513</v>
      </c>
      <c r="D177" t="inlineStr">
        <is>
          <t>Done</t>
        </is>
      </c>
      <c r="E177" t="inlineStr">
        <is>
          <t>v0.0.1</t>
        </is>
      </c>
      <c r="F177"/>
      <c r="G177"/>
      <c r="H177"/>
      <c r="I177" s="2">
        <v>45515</v>
      </c>
      <c r="J177"/>
    </row>
    <row r="178" ht="12.75" customHeight="1">
      <c r="A178" t="inlineStr">
        <is>
          <t>存档系统保存对话进度和挑战记录</t>
        </is>
      </c>
      <c r="B178" t="inlineStr">
        <is>
          <t>李少秋</t>
        </is>
      </c>
      <c r="C178" s="2">
        <v>45513</v>
      </c>
      <c r="D178" t="inlineStr">
        <is>
          <t>Done</t>
        </is>
      </c>
      <c r="E178" t="inlineStr">
        <is>
          <t>v0.0.1</t>
        </is>
      </c>
      <c r="F178"/>
      <c r="G178" t="inlineStr">
        <is>
          <t>底层系统</t>
        </is>
      </c>
      <c r="H178"/>
      <c r="I178" s="2">
        <v>45513</v>
      </c>
      <c r="J178"/>
    </row>
    <row r="179" ht="12.75" customHeight="1">
      <c r="A179" t="inlineStr">
        <is>
          <t>近战敌人2</t>
        </is>
      </c>
      <c r="B179" t="inlineStr">
        <is>
          <t>李少秋</t>
        </is>
      </c>
      <c r="C179" s="2">
        <v>45513</v>
      </c>
      <c r="D179" t="inlineStr">
        <is>
          <t>Done</t>
        </is>
      </c>
      <c r="E179" t="inlineStr">
        <is>
          <t>v0.0.1</t>
        </is>
      </c>
      <c r="F179"/>
      <c r="G179" t="inlineStr">
        <is>
          <t>AI系统</t>
        </is>
      </c>
      <c r="H179"/>
      <c r="I179" s="2">
        <v>45517</v>
      </c>
      <c r="J179"/>
    </row>
    <row r="180" ht="12.75" customHeight="1">
      <c r="A180" t="inlineStr">
        <is>
          <t>音效接入</t>
        </is>
      </c>
      <c r="B180" t="inlineStr">
        <is>
          <t>李少秋</t>
        </is>
      </c>
      <c r="C180" s="2">
        <v>45513</v>
      </c>
      <c r="D180" t="inlineStr">
        <is>
          <t>Done</t>
        </is>
      </c>
      <c r="E180" t="inlineStr">
        <is>
          <t>v0.0.1</t>
        </is>
      </c>
      <c r="F180"/>
      <c r="G180"/>
      <c r="H180"/>
      <c r="I180" s="2">
        <v>45519</v>
      </c>
      <c r="J180"/>
    </row>
    <row r="181" ht="12.75" customHeight="1">
      <c r="A181" t="inlineStr">
        <is>
          <t>“浩”的广播</t>
        </is>
      </c>
      <c r="B181" t="inlineStr">
        <is>
          <t>Serein,Jade</t>
        </is>
      </c>
      <c r="C181" s="2">
        <v>45514</v>
      </c>
      <c r="D181" t="inlineStr">
        <is>
          <t>Done</t>
        </is>
      </c>
      <c r="E181" t="inlineStr">
        <is>
          <t>v0.0.1</t>
        </is>
      </c>
      <c r="F181"/>
      <c r="G181" t="inlineStr">
        <is>
          <t>剧情</t>
        </is>
      </c>
      <c r="H181"/>
      <c r="I181" s="2">
        <v>45520</v>
      </c>
      <c r="J181"/>
    </row>
    <row r="182" ht="12.75" customHeight="1">
      <c r="A182" t="inlineStr">
        <is>
          <t>v0.0.1 - 测试&amp;打包</t>
        </is>
      </c>
      <c r="B182" t="inlineStr">
        <is>
          <t>龚政涛,李少秋,Ke Huang,Jade,Joyce Jiao,Serein,Arthur Li,Decay,白煜明</t>
        </is>
      </c>
      <c r="C182" s="2">
        <v>45514</v>
      </c>
      <c r="D182" t="inlineStr">
        <is>
          <t>Done</t>
        </is>
      </c>
      <c r="E182" t="inlineStr">
        <is>
          <t>v0.0.1</t>
        </is>
      </c>
      <c r="F182" t="inlineStr">
        <is>
          <t>Operation</t>
        </is>
      </c>
      <c r="G182" t="inlineStr">
        <is>
          <t>测试</t>
        </is>
      </c>
      <c r="H182"/>
      <c r="I182" s="2">
        <v>45519</v>
      </c>
      <c r="J182" t="inlineStr">
        <is>
          <t>P0</t>
        </is>
      </c>
    </row>
    <row r="183" ht="12.75" customHeight="1">
      <c r="A183" t="inlineStr">
        <is>
          <t>暴露APawn::FaceActor到蓝图中以供AI重写</t>
        </is>
      </c>
      <c r="B183" t="inlineStr">
        <is>
          <t>李少秋</t>
        </is>
      </c>
      <c r="C183" s="2">
        <v>45514</v>
      </c>
      <c r="D183" t="inlineStr">
        <is>
          <t>Done</t>
        </is>
      </c>
      <c r="E183" t="inlineStr">
        <is>
          <t>v0.0.1</t>
        </is>
      </c>
      <c r="F183"/>
      <c r="G183"/>
      <c r="H183"/>
      <c r="I183" s="2">
        <v>45520</v>
      </c>
      <c r="J183"/>
    </row>
    <row r="184" ht="12.75" customHeight="1">
      <c r="A184" t="inlineStr">
        <is>
          <t>BOOOM提交</t>
        </is>
      </c>
      <c r="B184" t="inlineStr">
        <is>
          <t>龚政涛,Arthur Li,Ke Huang,白煜明,李少秋,Decay,Jade,Serein,Joyce Jiao</t>
        </is>
      </c>
      <c r="C184" s="2">
        <v>45520</v>
      </c>
      <c r="D184" t="inlineStr">
        <is>
          <t>Done</t>
        </is>
      </c>
      <c r="E184" t="inlineStr">
        <is>
          <t>v0.0.1</t>
        </is>
      </c>
      <c r="F184" t="inlineStr">
        <is>
          <t>Operation</t>
        </is>
      </c>
      <c r="G184" t="inlineStr">
        <is>
          <t>运营</t>
        </is>
      </c>
      <c r="H184"/>
      <c r="I184" s="2">
        <v>45522</v>
      </c>
      <c r="J184" t="inlineStr">
        <is>
          <t>P0</t>
        </is>
      </c>
    </row>
    <row r="185" ht="12.75" customHeight="1">
      <c r="A185" t="inlineStr">
        <is>
          <t>v0.0.1 - Debug</t>
        </is>
      </c>
      <c r="B185" t="inlineStr">
        <is>
          <t>龚政涛,李少秋,Ke Huang,Jade,Joyce Jiao,Serein,Arthur Li,Decay,白煜明</t>
        </is>
      </c>
      <c r="C185" s="2">
        <v>45523</v>
      </c>
      <c r="D185" t="inlineStr">
        <is>
          <t>Done</t>
        </is>
      </c>
      <c r="E185" t="inlineStr">
        <is>
          <t>v0.0.1</t>
        </is>
      </c>
      <c r="F185"/>
      <c r="G185" t="inlineStr">
        <is>
          <t>测试</t>
        </is>
      </c>
      <c r="H185"/>
      <c r="I185" s="2">
        <v>45526</v>
      </c>
      <c r="J185"/>
    </row>
    <row r="186" ht="12.75" customHeight="1">
      <c r="A186" t="inlineStr">
        <is>
          <t>下载工程</t>
        </is>
      </c>
      <c r="B186" t="inlineStr">
        <is>
          <t>苏祺恒</t>
        </is>
      </c>
      <c r="C186" s="2">
        <v>45528</v>
      </c>
      <c r="D186" t="inlineStr">
        <is>
          <t>Done</t>
        </is>
      </c>
      <c r="E186" t="inlineStr">
        <is>
          <t>v0.0.2</t>
        </is>
      </c>
      <c r="F186"/>
      <c r="G186"/>
      <c r="H186"/>
      <c r="I186" s="2">
        <v>45531</v>
      </c>
      <c r="J186"/>
    </row>
    <row r="187" ht="12.75" customHeight="1">
      <c r="A187" t="inlineStr">
        <is>
          <t>视角遮挡解决方案</t>
        </is>
      </c>
      <c r="B187" t="inlineStr">
        <is>
          <t>Decay</t>
        </is>
      </c>
      <c r="C187" s="2">
        <v>45528</v>
      </c>
      <c r="D187" t="inlineStr">
        <is>
          <t>Done</t>
        </is>
      </c>
      <c r="E187" t="inlineStr">
        <is>
          <t>v0.0.2</t>
        </is>
      </c>
      <c r="F187" t="inlineStr">
        <is>
          <t>Feature</t>
        </is>
      </c>
      <c r="G187" t="inlineStr">
        <is>
          <t>战争迷雾</t>
        </is>
      </c>
      <c r="H187"/>
      <c r="I187" s="2">
        <v>45541</v>
      </c>
      <c r="J187"/>
    </row>
    <row r="188" ht="12.75" customHeight="1">
      <c r="A188" t="inlineStr">
        <is>
          <t>BP更新</t>
        </is>
      </c>
      <c r="B188" t="inlineStr">
        <is>
          <t>龚政涛</t>
        </is>
      </c>
      <c r="C188" s="2">
        <v>45528</v>
      </c>
      <c r="D188" t="inlineStr">
        <is>
          <t>Done</t>
        </is>
      </c>
      <c r="E188" t="inlineStr">
        <is>
          <t>v0.0.2</t>
        </is>
      </c>
      <c r="F188"/>
      <c r="G188"/>
      <c r="H188"/>
      <c r="I188" s="2">
        <v>45534</v>
      </c>
      <c r="J188"/>
    </row>
    <row r="189" ht="12.75" customHeight="1">
      <c r="A189" t="inlineStr">
        <is>
          <t>申请Wwise License</t>
        </is>
      </c>
      <c r="B189" t="inlineStr">
        <is>
          <t>龚政涛</t>
        </is>
      </c>
      <c r="C189" s="2">
        <v>45528</v>
      </c>
      <c r="D189" t="inlineStr">
        <is>
          <t>Done</t>
        </is>
      </c>
      <c r="E189" t="inlineStr">
        <is>
          <t>v0.0.2</t>
        </is>
      </c>
      <c r="F189"/>
      <c r="G189"/>
      <c r="H189"/>
      <c r="I189" s="2">
        <v>45531</v>
      </c>
      <c r="J189"/>
    </row>
    <row r="190" ht="12.75" customHeight="1">
      <c r="A190" t="inlineStr">
        <is>
          <t>Wwise接入</t>
        </is>
      </c>
      <c r="B190" t="inlineStr">
        <is>
          <t>李少秋</t>
        </is>
      </c>
      <c r="C190" s="2">
        <v>45528</v>
      </c>
      <c r="D190" t="inlineStr">
        <is>
          <t>Done</t>
        </is>
      </c>
      <c r="E190" t="inlineStr">
        <is>
          <t>v0.0.2</t>
        </is>
      </c>
      <c r="F190"/>
      <c r="G190"/>
      <c r="H190"/>
      <c r="I190" s="2">
        <v>45529</v>
      </c>
      <c r="J190"/>
    </row>
    <row r="191" ht="12.75" customHeight="1">
      <c r="A191" t="inlineStr">
        <is>
          <t>v0.0.1 - patch 1</t>
        </is>
      </c>
      <c r="B191" t="inlineStr">
        <is>
          <t>龚政涛,Decay</t>
        </is>
      </c>
      <c r="C191" s="2">
        <v>45530</v>
      </c>
      <c r="D191" t="inlineStr">
        <is>
          <t>Done</t>
        </is>
      </c>
      <c r="E191" t="inlineStr">
        <is>
          <t>v0.0.2</t>
        </is>
      </c>
      <c r="F191"/>
      <c r="G191" t="inlineStr">
        <is>
          <t>测试</t>
        </is>
      </c>
      <c r="H191"/>
      <c r="I191" s="2">
        <v>45534</v>
      </c>
      <c r="J191"/>
    </row>
    <row r="192" ht="12.75" customHeight="1">
      <c r="A192" t="inlineStr">
        <is>
          <t>提供Master材质</t>
        </is>
      </c>
      <c r="B192" t="inlineStr">
        <is>
          <t>Decay</t>
        </is>
      </c>
      <c r="C192" s="2">
        <v>45535</v>
      </c>
      <c r="D192" t="inlineStr">
        <is>
          <t>Done</t>
        </is>
      </c>
      <c r="E192" t="inlineStr">
        <is>
          <t>v0.0.2</t>
        </is>
      </c>
      <c r="F192"/>
      <c r="G192"/>
      <c r="H192"/>
      <c r="I192" s="2">
        <v>45541</v>
      </c>
      <c r="J192"/>
    </row>
    <row r="193" ht="12.75" customHeight="1">
      <c r="A193" t="inlineStr">
        <is>
          <t>体力逻辑修改</t>
        </is>
      </c>
      <c r="B193" t="inlineStr">
        <is>
          <t>Decay</t>
        </is>
      </c>
      <c r="C193" s="2"/>
      <c r="D193" t="inlineStr">
        <is>
          <t>Done</t>
        </is>
      </c>
      <c r="E193" t="inlineStr">
        <is>
          <t>v0.0.2</t>
        </is>
      </c>
      <c r="F193" t="inlineStr">
        <is>
          <t>Feature</t>
        </is>
      </c>
      <c r="G193" t="inlineStr">
        <is>
          <t>底层系统</t>
        </is>
      </c>
      <c r="H193"/>
      <c r="I193" s="2">
        <v>45538</v>
      </c>
      <c r="J193"/>
    </row>
    <row r="194" ht="12.75" customHeight="1">
      <c r="A194" t="inlineStr">
        <is>
          <t>巡逻逻辑</t>
        </is>
      </c>
      <c r="B194" t="inlineStr">
        <is>
          <t>李少秋</t>
        </is>
      </c>
      <c r="C194" s="2"/>
      <c r="D194" t="inlineStr">
        <is>
          <t>Done</t>
        </is>
      </c>
      <c r="E194" t="inlineStr">
        <is>
          <t>v0.0.2</t>
        </is>
      </c>
      <c r="F194"/>
      <c r="G194"/>
      <c r="H194"/>
      <c r="I194" s="2"/>
      <c r="J194"/>
    </row>
    <row r="195" ht="12.75" customHeight="1">
      <c r="A195" t="inlineStr">
        <is>
          <t>警戒逻辑</t>
        </is>
      </c>
      <c r="B195" t="inlineStr">
        <is>
          <t>李少秋</t>
        </is>
      </c>
      <c r="C195" s="2"/>
      <c r="D195" t="inlineStr">
        <is>
          <t>Done</t>
        </is>
      </c>
      <c r="E195" t="inlineStr">
        <is>
          <t>v0.0.2</t>
        </is>
      </c>
      <c r="F195"/>
      <c r="G195"/>
      <c r="H195"/>
      <c r="I195" s="2"/>
      <c r="J195"/>
    </row>
    <row r="196" ht="12.75" customHeight="1">
      <c r="A196" t="inlineStr">
        <is>
          <t>敌人基础AI</t>
        </is>
      </c>
      <c r="B196" t="inlineStr">
        <is>
          <t>龚政涛,李少秋</t>
        </is>
      </c>
      <c r="C196" s="2">
        <v>45437</v>
      </c>
      <c r="D196" t="inlineStr">
        <is>
          <t>Discard</t>
        </is>
      </c>
      <c r="E196" t="inlineStr">
        <is>
          <t>v0.0.1</t>
        </is>
      </c>
      <c r="F196" t="inlineStr">
        <is>
          <t>Content</t>
        </is>
      </c>
      <c r="G196" t="inlineStr">
        <is>
          <t>AI系统</t>
        </is>
      </c>
      <c r="H196"/>
      <c r="I196" s="2">
        <v>45478</v>
      </c>
      <c r="J196"/>
    </row>
    <row r="197" ht="12.75" customHeight="1">
      <c r="A197" t="inlineStr">
        <is>
          <t>可交互的“武器升级”UI</t>
        </is>
      </c>
      <c r="B197" t="inlineStr">
        <is>
          <t>白煜明</t>
        </is>
      </c>
      <c r="C197" s="2">
        <v>45500</v>
      </c>
      <c r="D197" t="inlineStr">
        <is>
          <t>Discard</t>
        </is>
      </c>
      <c r="E197" t="inlineStr">
        <is>
          <t>v0.0.1</t>
        </is>
      </c>
      <c r="F197"/>
      <c r="G197" t="inlineStr">
        <is>
          <t>奖励系统</t>
        </is>
      </c>
      <c r="H197"/>
      <c r="I197" s="2">
        <v>45506</v>
      </c>
      <c r="J197"/>
    </row>
    <row r="198" ht="12.75" customHeight="1">
      <c r="A198" t="inlineStr">
        <is>
          <t>可交互的“义体升级”UI</t>
        </is>
      </c>
      <c r="B198" t="inlineStr">
        <is>
          <t>白煜明</t>
        </is>
      </c>
      <c r="C198" s="2">
        <v>45500</v>
      </c>
      <c r="D198" t="inlineStr">
        <is>
          <t>Discard</t>
        </is>
      </c>
      <c r="E198" t="inlineStr">
        <is>
          <t>v0.0.1</t>
        </is>
      </c>
      <c r="F198"/>
      <c r="G198" t="inlineStr">
        <is>
          <t>奖励系统</t>
        </is>
      </c>
      <c r="H198"/>
      <c r="I198" s="2">
        <v>45506</v>
      </c>
      <c r="J198"/>
    </row>
    <row r="199" ht="12.75" customHeight="1">
      <c r="A199" t="inlineStr">
        <is>
          <t>电梯门遮挡视野</t>
        </is>
      </c>
      <c r="B199" t="inlineStr">
        <is>
          <t>Decay</t>
        </is>
      </c>
      <c r="C199" s="2">
        <v>45528</v>
      </c>
      <c r="D199" t="inlineStr">
        <is>
          <t>Discard</t>
        </is>
      </c>
      <c r="E199" t="inlineStr">
        <is>
          <t>v0.0.2</t>
        </is>
      </c>
      <c r="F199" t="inlineStr">
        <is>
          <t>Feature</t>
        </is>
      </c>
      <c r="G199" t="inlineStr">
        <is>
          <t>战争迷雾</t>
        </is>
      </c>
      <c r="H199"/>
      <c r="I199" s="2">
        <v>45534</v>
      </c>
      <c r="J199"/>
    </row>
    <row r="200" ht="12.75" customHeight="1">
      <c r="A200" t="inlineStr">
        <is>
          <t>关卡验证 - 0.0.1</t>
        </is>
      </c>
      <c r="B200" t="inlineStr">
        <is>
          <t>苏祺恒</t>
        </is>
      </c>
      <c r="C200" s="2">
        <v>45532</v>
      </c>
      <c r="D200" t="inlineStr">
        <is>
          <t>Discard</t>
        </is>
      </c>
      <c r="E200" t="inlineStr">
        <is>
          <t>v0.0.2</t>
        </is>
      </c>
      <c r="F200"/>
      <c r="G200"/>
      <c r="H200"/>
      <c r="I200" s="2">
        <v>45541</v>
      </c>
      <c r="J200"/>
    </row>
    <row r="201" ht="12.75" customHeight="1">
      <c r="A201" t="inlineStr">
        <is>
          <t>镜头Zoom In的菜单lofi</t>
        </is>
      </c>
      <c r="B201" t="inlineStr">
        <is>
          <t>Zoey</t>
        </is>
      </c>
      <c r="C201" s="2">
        <v>45535</v>
      </c>
      <c r="D201" t="inlineStr">
        <is>
          <t>Discard</t>
        </is>
      </c>
      <c r="E201" t="inlineStr">
        <is>
          <t>v0.0.2</t>
        </is>
      </c>
      <c r="F201"/>
      <c r="G201"/>
      <c r="H201"/>
      <c r="I201" s="2">
        <v>45541</v>
      </c>
      <c r="J201"/>
    </row>
    <row r="202" ht="12.75" customHeight="1">
      <c r="A202" t="inlineStr">
        <is>
          <t>角色的义体栏</t>
        </is>
      </c>
      <c r="B202" t="inlineStr">
        <is>
          <t>白煜明</t>
        </is>
      </c>
      <c r="C202" s="2">
        <v>45535</v>
      </c>
      <c r="D202" t="inlineStr">
        <is>
          <t>Discard</t>
        </is>
      </c>
      <c r="E202" t="inlineStr">
        <is>
          <t>v0.0.2</t>
        </is>
      </c>
      <c r="F202" t="inlineStr">
        <is>
          <t>Feature</t>
        </is>
      </c>
      <c r="G202" t="inlineStr">
        <is>
          <t>义体系统</t>
        </is>
      </c>
      <c r="H202" t="inlineStr">
        <is>
          <t>开发任务分配</t>
        </is>
      </c>
      <c r="I202" s="2">
        <v>45548</v>
      </c>
      <c r="J202"/>
    </row>
    <row r="203" ht="12.75" customHeight="1">
      <c r="A203" t="inlineStr">
        <is>
          <t>可用的义体物品</t>
        </is>
      </c>
      <c r="B203" t="inlineStr">
        <is>
          <t>白煜明</t>
        </is>
      </c>
      <c r="C203" s="2">
        <v>45535</v>
      </c>
      <c r="D203" t="inlineStr">
        <is>
          <t>Discard</t>
        </is>
      </c>
      <c r="E203" t="inlineStr">
        <is>
          <t>v0.0.2</t>
        </is>
      </c>
      <c r="F203" t="inlineStr">
        <is>
          <t>Feature</t>
        </is>
      </c>
      <c r="G203" t="inlineStr">
        <is>
          <t>义体系统</t>
        </is>
      </c>
      <c r="H203"/>
      <c r="I203" s="2">
        <v>45548</v>
      </c>
      <c r="J203"/>
    </row>
    <row r="204" ht="12.75" customHeight="1">
      <c r="A204" t="inlineStr">
        <is>
          <t>可交互的“义体打印机”</t>
        </is>
      </c>
      <c r="B204" t="inlineStr">
        <is>
          <t>白煜明</t>
        </is>
      </c>
      <c r="C204" s="2">
        <v>45535</v>
      </c>
      <c r="D204" t="inlineStr">
        <is>
          <t>Discard</t>
        </is>
      </c>
      <c r="E204" t="inlineStr">
        <is>
          <t>v0.0.2</t>
        </is>
      </c>
      <c r="F204" t="inlineStr">
        <is>
          <t>Feature</t>
        </is>
      </c>
      <c r="G204" t="inlineStr">
        <is>
          <t>奖励系统</t>
        </is>
      </c>
      <c r="H204"/>
      <c r="I204" s="2">
        <v>45548</v>
      </c>
      <c r="J204"/>
    </row>
    <row r="205" ht="12.75" customHeight="1">
      <c r="A205" t="inlineStr">
        <is>
          <t>配置完整的义体和对应技能</t>
        </is>
      </c>
      <c r="B205" t="inlineStr">
        <is>
          <t>白煜明,龚政涛,苏祺恒</t>
        </is>
      </c>
      <c r="C205" s="2">
        <v>45549</v>
      </c>
      <c r="D205" t="inlineStr">
        <is>
          <t>Discard</t>
        </is>
      </c>
      <c r="E205" t="inlineStr">
        <is>
          <t>v0.0.2</t>
        </is>
      </c>
      <c r="F205"/>
      <c r="G205" t="inlineStr">
        <is>
          <t>游戏内容</t>
        </is>
      </c>
      <c r="H205"/>
      <c r="I205" s="2">
        <v>45555</v>
      </c>
      <c r="J205"/>
    </row>
    <row r="206" ht="12.75" customHeight="1">
      <c r="A206" t="inlineStr">
        <is>
          <t>生成奖励房间</t>
        </is>
      </c>
      <c r="B206" t="inlineStr">
        <is>
          <t>白煜明</t>
        </is>
      </c>
      <c r="C206" s="2">
        <v>45556</v>
      </c>
      <c r="D206" t="inlineStr">
        <is>
          <t>Discard</t>
        </is>
      </c>
      <c r="E206" t="inlineStr">
        <is>
          <t>v0.0.2</t>
        </is>
      </c>
      <c r="F206"/>
      <c r="G206" t="inlineStr">
        <is>
          <t>奖励系统</t>
        </is>
      </c>
      <c r="H206" t="inlineStr">
        <is>
          <t>奖励房间的具体描述，详见开发任务分配</t>
        </is>
      </c>
      <c r="I206" s="2">
        <v>45562</v>
      </c>
      <c r="J206"/>
    </row>
    <row r="207" ht="12.75" customHeight="1">
      <c r="A207" t="inlineStr">
        <is>
          <t>配合调整</t>
        </is>
      </c>
      <c r="B207" t="inlineStr">
        <is>
          <t>Joyce Jiao</t>
        </is>
      </c>
      <c r="C207" s="2"/>
      <c r="D207"/>
      <c r="E207" t="inlineStr">
        <is>
          <t>v0.0.2</t>
        </is>
      </c>
      <c r="F207"/>
      <c r="G207"/>
      <c r="H207"/>
      <c r="I207" s="2"/>
      <c r="J207"/>
    </row>
  </sheetData>
  <dataValidations count="5">
    <dataValidation allowBlank="false" sqref="D2:D206" type="list">
      <formula1>"In progress,Not started,Pending,Done,Discard"</formula1>
    </dataValidation>
    <dataValidation allowBlank="false" sqref="E2:E206" type="list">
      <formula1>"v0.0.2,v0.0.1,v0.0.0,v0.1,v0.2,v1.0,v0.0.3"</formula1>
    </dataValidation>
    <dataValidation allowBlank="false" sqref="F2:F206" type="list">
      <formula1>"Content,Feature,Bug,Operation"</formula1>
    </dataValidation>
    <dataValidation allowBlank="false" sqref="G2:G206" type="list">
      <formula1>"策划,底层系统,剧情,角色美术,义体系统,关卡系统,武器系统,场景美术,奖励系统,战争迷雾,角色控制,AI系统,测试,属性系统,游戏内容,运营,UI,* AI集成属性,玩法"</formula1>
    </dataValidation>
    <dataValidation allowBlank="false" sqref="J2:J206" type="list">
      <formula1>"P0,P1,P2,P3"</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0"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s>
  <sheetData>
    <row r="1" ht="13" customHeight="1">
      <c r="A1" s="1" t="inlineStr">
        <is>
          <t>任务标题</t>
        </is>
      </c>
      <c r="B1" s="1" t="inlineStr">
        <is>
          <t>任务描述</t>
        </is>
      </c>
      <c r="C1" s="1" t="inlineStr">
        <is>
          <t>自定义分组</t>
        </is>
      </c>
      <c r="D1" s="1" t="inlineStr">
        <is>
          <t>任务已完成人员</t>
        </is>
      </c>
      <c r="E1" s="1" t="inlineStr">
        <is>
          <t>子任务进度</t>
        </is>
      </c>
      <c r="F1" s="1" t="inlineStr">
        <is>
          <t>负责人</t>
        </is>
      </c>
      <c r="G1" s="1" t="inlineStr">
        <is>
          <t>创建人</t>
        </is>
      </c>
      <c r="H1" s="1" t="inlineStr">
        <is>
          <t>创建时间</t>
        </is>
      </c>
      <c r="I1" s="1" t="inlineStr">
        <is>
          <t>完成时间</t>
        </is>
      </c>
      <c r="J1" s="1" t="inlineStr">
        <is>
          <t>截止时间</t>
        </is>
      </c>
      <c r="K1" s="1" t="inlineStr">
        <is>
          <t>更新时间</t>
        </is>
      </c>
      <c r="L1" s="1" t="inlineStr">
        <is>
          <t>子任务数</t>
        </is>
      </c>
      <c r="M1" s="1" t="inlineStr">
        <is>
          <t>评论数</t>
        </is>
      </c>
      <c r="N1" s="1" t="inlineStr">
        <is>
          <t>SourceID</t>
        </is>
      </c>
      <c r="O1" s="1" t="inlineStr">
        <is>
          <t>任务完成状态</t>
        </is>
      </c>
      <c r="P1" s="1" t="inlineStr">
        <is>
          <t>任务完成方式</t>
        </is>
      </c>
      <c r="Q1" s="1" t="inlineStr">
        <is>
          <t>里程碑</t>
        </is>
      </c>
      <c r="R1" s="1" t="inlineStr">
        <is>
          <t>关注人</t>
        </is>
      </c>
      <c r="S1" s="1" t="inlineStr">
        <is>
          <t>开始时间</t>
        </is>
      </c>
      <c r="T1" s="1" t="inlineStr">
        <is>
          <t>任务清单</t>
        </is>
      </c>
      <c r="U1" s="1" t="inlineStr">
        <is>
          <t>任务清单 ID</t>
        </is>
      </c>
      <c r="V1" s="1" t="inlineStr">
        <is>
          <t>任务 ID</t>
        </is>
      </c>
      <c r="W1" s="1" t="inlineStr">
        <is>
          <t>前置任务 ID</t>
        </is>
      </c>
      <c r="X1" s="1" t="inlineStr">
        <is>
          <t>后置任务 ID</t>
        </is>
      </c>
      <c r="Y1" s="1" t="inlineStr">
        <is>
          <t>父任务 ID</t>
        </is>
      </c>
      <c r="Z1" s="1" t="inlineStr">
        <is>
          <t>规划版本</t>
        </is>
      </c>
      <c r="AA1" s="1" t="inlineStr">
        <is>
          <t>二级分类</t>
        </is>
      </c>
      <c r="AB1" s="1" t="inlineStr">
        <is>
          <t>任务状态</t>
        </is>
      </c>
      <c r="AC1" s="1" t="inlineStr">
        <is>
          <t>优先级</t>
        </is>
      </c>
      <c r="AD1" s="1" t="inlineStr">
        <is>
          <t>一级分类</t>
        </is>
      </c>
      <c r="AE1" s="1" t="inlineStr">
        <is>
          <t>工时预计</t>
        </is>
      </c>
    </row>
    <row r="2" ht="25.5" customHeight="1">
      <c r="A2" s="3" t="str">
        <f>=HYPERLINK("https://applink.feishu.cn/client/todo/detail?guid=acc7982c-0608-42d3-ad85-7cf5cf1ba175&amp;suite_entity_num=t100004", "整理UI相关会议纪要和规划")</f>
        <v>整理UI相关会议纪要和规划</v>
      </c>
      <c r="B2"/>
      <c r="C2" t="inlineStr">
        <is>
          <t>默认分组</t>
        </is>
      </c>
      <c r="D2"/>
      <c r="E2"/>
      <c r="F2" t="inlineStr">
        <is>
          <t>龚政涛</t>
        </is>
      </c>
      <c r="G2" t="inlineStr">
        <is>
          <t>龚政涛</t>
        </is>
      </c>
      <c r="H2" s="4">
        <v>45536.4640162037</v>
      </c>
      <c r="I2" s="4">
        <v>45536.97336805556</v>
      </c>
      <c r="J2" s="4">
        <v>45536.333333333336</v>
      </c>
      <c r="K2" s="4">
        <v>45548.42109953704</v>
      </c>
      <c r="L2">
        <v>0</v>
      </c>
      <c r="M2">
        <v>0</v>
      </c>
      <c r="N2" t="inlineStr">
        <is>
          <t>NzQxMzM4ODg5NzkxNDY2NzAwOTphY2M3OTgyYy0wNjA4LTQyZDMtYWQ4NS03Y2Y1Y2YxYmExNzU6MjQxNzM5ZDdlNTNmYzFmYWJkNzQzNTg3Mzk4NWE3MDY6MQ==</t>
        </is>
      </c>
      <c r="O2" t="inlineStr">
        <is>
          <t>1</t>
        </is>
      </c>
      <c r="P2" t="inlineStr">
        <is>
          <t>或签任务</t>
        </is>
      </c>
      <c r="Q2" t="inlineStr">
        <is>
          <t>0</t>
        </is>
      </c>
      <c r="R2" t="inlineStr">
        <is>
          <t>龚政涛</t>
        </is>
      </c>
      <c r="S2" s="4"/>
      <c r="T2" s="3" t="str">
        <f>=HYPERLINK("https://applink.feishu.cn/client/todo/task_list?guid=4d92b9af-66d1-4cd7-95d1-4b753a64ca6b", "跃入迷城")</f>
        <v>跃入迷城</v>
      </c>
      <c r="U2" t="inlineStr">
        <is>
          <t>4d92b9af-66d1-4cd7-95d1-4b753a64ca6b</t>
        </is>
      </c>
      <c r="V2" t="inlineStr">
        <is>
          <t>acc7982c-0608-42d3-ad85-7cf5cf1ba175</t>
        </is>
      </c>
      <c r="W2"/>
      <c r="X2"/>
      <c r="Y2"/>
      <c r="Z2" t="inlineStr">
        <is>
          <t>0.0.2</t>
        </is>
      </c>
      <c r="AA2" t="inlineStr">
        <is>
          <t>项目管理</t>
        </is>
      </c>
      <c r="AB2" t="inlineStr">
        <is>
          <t>已完成</t>
        </is>
      </c>
      <c r="AC2"/>
      <c r="AD2"/>
      <c r="AE2"/>
    </row>
    <row r="3" ht="25.5" customHeight="1">
      <c r="A3" s="3" t="str">
        <f>=HYPERLINK("https://applink.feishu.cn/client/todo/detail?guid=95e87c81-6140-4a25-810c-3295787ab0e7&amp;suite_entity_num=t100002", "先把场景搭出来截个图，作为参考")</f>
        <v>先把场景搭出来截个图，作为参考</v>
      </c>
      <c r="B3"/>
      <c r="C3" t="inlineStr">
        <is>
          <t>默认分组</t>
        </is>
      </c>
      <c r="D3"/>
      <c r="E3"/>
      <c r="F3" t="inlineStr">
        <is>
          <t>龚政涛</t>
        </is>
      </c>
      <c r="G3" t="inlineStr">
        <is>
          <t>龚政涛</t>
        </is>
      </c>
      <c r="H3" s="4">
        <v>45535.472974537035</v>
      </c>
      <c r="I3" s="4">
        <v>45540.70484953704</v>
      </c>
      <c r="J3" s="4">
        <v>45539.333333333336</v>
      </c>
      <c r="K3" s="4">
        <v>45548.42115740741</v>
      </c>
      <c r="L3">
        <v>0</v>
      </c>
      <c r="M3">
        <v>0</v>
      </c>
      <c r="N3" t="inlineStr">
        <is>
          <t>NzQxMzM4ODg5NzkxNDY2NzAwOTo5NWU4N2M4MS02MTQwLTRhMjUtODEwYy0zMjk1Nzg3YWIwZTc6ZTc0NzU1OTI5OGFmMjM0MWUwZGNmZGI4NTA1YzljNTY6MQ==</t>
        </is>
      </c>
      <c r="O3" t="inlineStr">
        <is>
          <t>1</t>
        </is>
      </c>
      <c r="P3" t="inlineStr">
        <is>
          <t>或签任务</t>
        </is>
      </c>
      <c r="Q3" t="inlineStr">
        <is>
          <t>0</t>
        </is>
      </c>
      <c r="R3" t="inlineStr">
        <is>
          <t>龚政涛</t>
        </is>
      </c>
      <c r="S3" s="4"/>
      <c r="T3" s="3" t="str">
        <f>=HYPERLINK("https://applink.feishu.cn/client/todo/task_list?guid=4d92b9af-66d1-4cd7-95d1-4b753a64ca6b", "跃入迷城")</f>
        <v>跃入迷城</v>
      </c>
      <c r="U3" t="inlineStr">
        <is>
          <t>4d92b9af-66d1-4cd7-95d1-4b753a64ca6b</t>
        </is>
      </c>
      <c r="V3" t="inlineStr">
        <is>
          <t>95e87c81-6140-4a25-810c-3295787ab0e7</t>
        </is>
      </c>
      <c r="W3"/>
      <c r="X3"/>
      <c r="Y3"/>
      <c r="Z3" t="inlineStr">
        <is>
          <t>0.0.2</t>
        </is>
      </c>
      <c r="AA3" t="inlineStr">
        <is>
          <t>平面美术</t>
        </is>
      </c>
      <c r="AB3" t="inlineStr">
        <is>
          <t>已完成</t>
        </is>
      </c>
      <c r="AC3"/>
      <c r="AD3"/>
      <c r="AE3"/>
    </row>
    <row r="4" ht="25.5" customHeight="1">
      <c r="A4" s="3" t="str">
        <f>=HYPERLINK("https://applink.feishu.cn/client/todo/detail?guid=961c3c99-40b1-4822-a130-e6488fb42db3&amp;suite_entity_num=t100003", "v0.0.2规划")</f>
        <v>v0.0.2规划</v>
      </c>
      <c r="B4"/>
      <c r="C4" t="inlineStr">
        <is>
          <t>默认分组</t>
        </is>
      </c>
      <c r="D4"/>
      <c r="E4"/>
      <c r="F4" t="inlineStr">
        <is>
          <t>龚政涛</t>
        </is>
      </c>
      <c r="G4" t="inlineStr">
        <is>
          <t>龚政涛</t>
        </is>
      </c>
      <c r="H4" s="4">
        <v>45536.46333333333</v>
      </c>
      <c r="I4" s="4">
        <v>45537.00063657408</v>
      </c>
      <c r="J4" s="4">
        <v>45537.333333333336</v>
      </c>
      <c r="K4" s="4">
        <v>45548.421122685184</v>
      </c>
      <c r="L4">
        <v>0</v>
      </c>
      <c r="M4">
        <v>0</v>
      </c>
      <c r="N4" t="inlineStr">
        <is>
          <t>NzQxMzM4ODg5NzkxNDY2NzAwOTo5NjFjM2M5OS00MGIxLTQ4MjItYTEzMC1lNjQ4OGZiNDJkYjM6YWFlZjFiYWZmOWIxOGM5NmMxZDMyOTZlOTUxYTBhMmM6MQ==</t>
        </is>
      </c>
      <c r="O4" t="inlineStr">
        <is>
          <t>1</t>
        </is>
      </c>
      <c r="P4" t="inlineStr">
        <is>
          <t>或签任务</t>
        </is>
      </c>
      <c r="Q4" t="inlineStr">
        <is>
          <t>0</t>
        </is>
      </c>
      <c r="R4" t="inlineStr">
        <is>
          <t>龚政涛</t>
        </is>
      </c>
      <c r="S4" s="4">
        <v>45528.333333333336</v>
      </c>
      <c r="T4" s="3" t="str">
        <f>=HYPERLINK("https://applink.feishu.cn/client/todo/task_list?guid=4d92b9af-66d1-4cd7-95d1-4b753a64ca6b", "跃入迷城")</f>
        <v>跃入迷城</v>
      </c>
      <c r="U4" t="inlineStr">
        <is>
          <t>4d92b9af-66d1-4cd7-95d1-4b753a64ca6b</t>
        </is>
      </c>
      <c r="V4" t="inlineStr">
        <is>
          <t>961c3c99-40b1-4822-a130-e6488fb42db3</t>
        </is>
      </c>
      <c r="W4"/>
      <c r="X4"/>
      <c r="Y4"/>
      <c r="Z4" t="inlineStr">
        <is>
          <t>0.0.2</t>
        </is>
      </c>
      <c r="AA4" t="inlineStr">
        <is>
          <t>项目管理</t>
        </is>
      </c>
      <c r="AB4" t="inlineStr">
        <is>
          <t>已完成</t>
        </is>
      </c>
      <c r="AC4"/>
      <c r="AD4"/>
      <c r="AE4"/>
    </row>
    <row r="5" ht="25.5" customHeight="1">
      <c r="A5" s="3" t="str">
        <f>=HYPERLINK("https://applink.feishu.cn/client/todo/detail?guid=026e5dd4-6639-4eef-9f84-0802135b772b&amp;suite_entity_num=t100017", "测试meta scane素材应用到场景")</f>
        <v>测试meta scane素材应用到场景</v>
      </c>
      <c r="B5"/>
      <c r="C5" t="inlineStr">
        <is>
          <t>默认分组</t>
        </is>
      </c>
      <c r="D5"/>
      <c r="E5"/>
      <c r="F5" t="inlineStr">
        <is>
          <t>龚政涛</t>
        </is>
      </c>
      <c r="G5" t="inlineStr">
        <is>
          <t>龚政涛</t>
        </is>
      </c>
      <c r="H5" s="4">
        <v>45536.97971064815</v>
      </c>
      <c r="I5" s="4">
        <v>45583.48550925926</v>
      </c>
      <c r="J5" s="4">
        <v>45551.333333333336</v>
      </c>
      <c r="K5" s="4">
        <v>45727.476493055554</v>
      </c>
      <c r="L5">
        <v>0</v>
      </c>
      <c r="M5">
        <v>1</v>
      </c>
      <c r="N5" t="inlineStr">
        <is>
          <t>NzQxMzM4ODg5NzkxNDY2NzAwOTowMjZlNWRkNC02NjM5LTRlZWYtOWY4NC0wODAyMTM1Yjc3MmI6NjhiZGYzNzMwNmI1MGI2MjlmYmM5NGZhZWI5MTE4ZDE6MQ==</t>
        </is>
      </c>
      <c r="O5" t="inlineStr">
        <is>
          <t>1</t>
        </is>
      </c>
      <c r="P5" t="inlineStr">
        <is>
          <t>或签任务</t>
        </is>
      </c>
      <c r="Q5" t="inlineStr">
        <is>
          <t>0</t>
        </is>
      </c>
      <c r="R5" t="inlineStr">
        <is>
          <t>龚政涛</t>
        </is>
      </c>
      <c r="S5" s="4"/>
      <c r="T5" s="3" t="str">
        <f>=HYPERLINK("https://applink.feishu.cn/client/todo/task_list?guid=4d92b9af-66d1-4cd7-95d1-4b753a64ca6b", "跃入迷城")</f>
        <v>跃入迷城</v>
      </c>
      <c r="U5" t="inlineStr">
        <is>
          <t>4d92b9af-66d1-4cd7-95d1-4b753a64ca6b</t>
        </is>
      </c>
      <c r="V5" t="inlineStr">
        <is>
          <t>026e5dd4-6639-4eef-9f84-0802135b772b</t>
        </is>
      </c>
      <c r="W5"/>
      <c r="X5"/>
      <c r="Y5"/>
      <c r="Z5" t="inlineStr">
        <is>
          <t>0.0.2</t>
        </is>
      </c>
      <c r="AA5" t="inlineStr">
        <is>
          <t>平面美术</t>
        </is>
      </c>
      <c r="AB5" t="inlineStr">
        <is>
          <t>已废弃</t>
        </is>
      </c>
      <c r="AC5" t="inlineStr">
        <is>
          <t>P2 - Nice to Have</t>
        </is>
      </c>
      <c r="AD5"/>
      <c r="AE5"/>
    </row>
    <row r="6" ht="25.5" customHeight="1">
      <c r="A6" s="3" t="str">
        <f>=HYPERLINK("https://applink.feishu.cn/client/todo/detail?guid=10e1d8c3-4a3c-4b55-aa97-d2ff333ac01a&amp;suite_entity_num=t100038", "翻滚时没有和角色的碰撞体积")</f>
        <v>翻滚时没有和角色的碰撞体积</v>
      </c>
      <c r="B6"/>
      <c r="C6" t="inlineStr">
        <is>
          <t>默认分组</t>
        </is>
      </c>
      <c r="D6"/>
      <c r="E6"/>
      <c r="F6" t="inlineStr">
        <is>
          <t>Decay</t>
        </is>
      </c>
      <c r="G6" t="inlineStr">
        <is>
          <t>龚政涛</t>
        </is>
      </c>
      <c r="H6" s="4">
        <v>45538.973125</v>
      </c>
      <c r="I6" s="4">
        <v>45614.46826388889</v>
      </c>
      <c r="J6" s="4">
        <v>45605.333333333336</v>
      </c>
      <c r="K6" s="4">
        <v>45614.46826388889</v>
      </c>
      <c r="L6">
        <v>0</v>
      </c>
      <c r="M6">
        <v>1</v>
      </c>
      <c r="N6" t="inlineStr">
        <is>
          <t>NzQxMzM4ODg5NzkxNDY2NzAwOToxMGUxZDhjMy00YTNjLTRiNTUtYWE5Ny1kMmZmMzMzYWMwMWE6ZjMzZWFlYTY3NWE2NGVmYjBkY2MyODkwOWM4MzY0OTY6MQ==</t>
        </is>
      </c>
      <c r="O6" t="inlineStr">
        <is>
          <t>1</t>
        </is>
      </c>
      <c r="P6" t="inlineStr">
        <is>
          <t>或签任务</t>
        </is>
      </c>
      <c r="Q6" t="inlineStr">
        <is>
          <t>0</t>
        </is>
      </c>
      <c r="R6" t="inlineStr">
        <is>
          <t>龚政涛,Decay</t>
        </is>
      </c>
      <c r="S6" s="4">
        <v>45605.333333333336</v>
      </c>
      <c r="T6" s="3" t="str">
        <f>=HYPERLINK("https://applink.feishu.cn/client/todo/task_list?guid=4d92b9af-66d1-4cd7-95d1-4b753a64ca6b", "跃入迷城")</f>
        <v>跃入迷城</v>
      </c>
      <c r="U6" t="inlineStr">
        <is>
          <t>4d92b9af-66d1-4cd7-95d1-4b753a64ca6b</t>
        </is>
      </c>
      <c r="V6" t="inlineStr">
        <is>
          <t>10e1d8c3-4a3c-4b55-aa97-d2ff333ac01a</t>
        </is>
      </c>
      <c r="W6"/>
      <c r="X6" t="inlineStr">
        <is>
          <t>37031620-b9d9-4e61-bfac-a2529d86d8de</t>
        </is>
      </c>
      <c r="Y6"/>
      <c r="Z6" t="inlineStr">
        <is>
          <t>0.0.3</t>
        </is>
      </c>
      <c r="AA6" t="inlineStr">
        <is>
          <t>操作</t>
        </is>
      </c>
      <c r="AB6" t="inlineStr">
        <is>
          <t>已废弃</t>
        </is>
      </c>
      <c r="AC6" t="inlineStr">
        <is>
          <t>P0 - Must (not) Have</t>
        </is>
      </c>
      <c r="AD6"/>
      <c r="AE6"/>
    </row>
    <row r="7" ht="25.5" customHeight="1">
      <c r="A7" s="3" t="str">
        <f>=HYPERLINK("https://applink.feishu.cn/client/todo/detail?guid=ca0124ed-7c56-4d55-8134-f69d44296221&amp;suite_entity_num=t100041", "调整近战攻击逻辑")</f>
        <v>调整近战攻击逻辑</v>
      </c>
      <c r="B7"/>
      <c r="C7" t="inlineStr">
        <is>
          <t>默认分组</t>
        </is>
      </c>
      <c r="D7"/>
      <c r="E7"/>
      <c r="F7" t="inlineStr">
        <is>
          <t>Decay</t>
        </is>
      </c>
      <c r="G7" t="inlineStr">
        <is>
          <t>龚政涛</t>
        </is>
      </c>
      <c r="H7" s="4">
        <v>45547.019641203704</v>
      </c>
      <c r="I7" s="4">
        <v>45552.13363425926</v>
      </c>
      <c r="J7" s="4">
        <v>45551.333333333336</v>
      </c>
      <c r="K7" s="4">
        <v>45552.13364583333</v>
      </c>
      <c r="L7">
        <v>0</v>
      </c>
      <c r="M7">
        <v>0</v>
      </c>
      <c r="N7" t="inlineStr">
        <is>
          <t>NzQxMzM4ODg5NzkxNDY2NzAwOTpjYTAxMjRlZC03YzU2LTRkNTUtODEzNC1mNjlkNDQyOTYyMjE6ZmRjOTk4Nzg1ODA1MmNiYmRkYjBhNTU2NjIzYWMyODg6MQ==</t>
        </is>
      </c>
      <c r="O7" t="inlineStr">
        <is>
          <t>1</t>
        </is>
      </c>
      <c r="P7" t="inlineStr">
        <is>
          <t>或签任务</t>
        </is>
      </c>
      <c r="Q7" t="inlineStr">
        <is>
          <t>0</t>
        </is>
      </c>
      <c r="R7" t="inlineStr">
        <is>
          <t>龚政涛,Decay</t>
        </is>
      </c>
      <c r="S7" s="4">
        <v>45549.333333333336</v>
      </c>
      <c r="T7" s="3" t="str">
        <f>=HYPERLINK("https://applink.feishu.cn/client/todo/task_list?guid=4d92b9af-66d1-4cd7-95d1-4b753a64ca6b", "跃入迷城")</f>
        <v>跃入迷城</v>
      </c>
      <c r="U7" t="inlineStr">
        <is>
          <t>4d92b9af-66d1-4cd7-95d1-4b753a64ca6b</t>
        </is>
      </c>
      <c r="V7" t="inlineStr">
        <is>
          <t>ca0124ed-7c56-4d55-8134-f69d44296221</t>
        </is>
      </c>
      <c r="W7" t="inlineStr">
        <is>
          <t>10250abc-c9a8-490b-8ea7-25cfaf437532</t>
        </is>
      </c>
      <c r="X7"/>
      <c r="Y7"/>
      <c r="Z7" t="inlineStr">
        <is>
          <t>0.0.2</t>
        </is>
      </c>
      <c r="AA7" t="inlineStr">
        <is>
          <t>操作</t>
        </is>
      </c>
      <c r="AB7" t="inlineStr">
        <is>
          <t>已完成</t>
        </is>
      </c>
      <c r="AC7"/>
      <c r="AD7"/>
      <c r="AE7"/>
    </row>
    <row r="8" ht="25.5" customHeight="1">
      <c r="A8" s="3" t="str">
        <f>=HYPERLINK("https://applink.feishu.cn/client/todo/detail?guid=a868512d-797a-493b-8c90-235dbe6d592c&amp;suite_entity_num=t100034", "玩家应该有1次刷新菜单的机会")</f>
        <v>玩家应该有1次刷新菜单的机会</v>
      </c>
      <c r="B8"/>
      <c r="C8" t="inlineStr">
        <is>
          <t>默认分组</t>
        </is>
      </c>
      <c r="D8"/>
      <c r="E8"/>
      <c r="F8" t="inlineStr">
        <is>
          <t>Decay</t>
        </is>
      </c>
      <c r="G8" t="inlineStr">
        <is>
          <t>龚政涛</t>
        </is>
      </c>
      <c r="H8" s="4">
        <v>45538.940092592595</v>
      </c>
      <c r="I8" s="4">
        <v>45709.45333333333</v>
      </c>
      <c r="J8" s="4">
        <v>45573.333333333336</v>
      </c>
      <c r="K8" s="4">
        <v>45709.45327546296</v>
      </c>
      <c r="L8">
        <v>0</v>
      </c>
      <c r="M8">
        <v>2</v>
      </c>
      <c r="N8" t="inlineStr">
        <is>
          <t>NzQxMzM4ODg5NzkxNDY2NzAwOTphODY4NTEyZC03OTdhLTQ5M2ItOGM5MC0yMzVkYmU2ZDU5MmM6ZDc2Yjg0YTU4NGNlOThkZGJhZjYyZjQwMTE2Zjk5NzU6MQ==</t>
        </is>
      </c>
      <c r="O8" t="inlineStr">
        <is>
          <t>1</t>
        </is>
      </c>
      <c r="P8" t="inlineStr">
        <is>
          <t>或签任务</t>
        </is>
      </c>
      <c r="Q8" t="inlineStr">
        <is>
          <t>0</t>
        </is>
      </c>
      <c r="R8" t="inlineStr">
        <is>
          <t>龚政涛,Decay</t>
        </is>
      </c>
      <c r="S8" s="4">
        <v>45573.333333333336</v>
      </c>
      <c r="T8" s="3" t="str">
        <f>=HYPERLINK("https://applink.feishu.cn/client/todo/task_list?guid=4d92b9af-66d1-4cd7-95d1-4b753a64ca6b", "跃入迷城")</f>
        <v>跃入迷城</v>
      </c>
      <c r="U8" t="inlineStr">
        <is>
          <t>4d92b9af-66d1-4cd7-95d1-4b753a64ca6b</t>
        </is>
      </c>
      <c r="V8" t="inlineStr">
        <is>
          <t>a868512d-797a-493b-8c90-235dbe6d592c</t>
        </is>
      </c>
      <c r="W8" t="inlineStr">
        <is>
          <t>c5e43c49-af72-4158-be59-5ef5ff067295</t>
        </is>
      </c>
      <c r="X8" t="inlineStr">
        <is>
          <t>883ef65c-8d61-4b3d-a33a-761a7a28be03</t>
        </is>
      </c>
      <c r="Y8"/>
      <c r="Z8" t="inlineStr">
        <is>
          <t>0.0.2</t>
        </is>
      </c>
      <c r="AA8" t="inlineStr">
        <is>
          <t>操作</t>
        </is>
      </c>
      <c r="AB8" t="inlineStr">
        <is>
          <t>已废弃</t>
        </is>
      </c>
      <c r="AC8" t="inlineStr">
        <is>
          <t>P1 - Bigger the Better</t>
        </is>
      </c>
      <c r="AD8"/>
      <c r="AE8"/>
    </row>
    <row r="9" ht="25.5" customHeight="1">
      <c r="A9" s="3" t="str">
        <f>=HYPERLINK("https://applink.feishu.cn/client/todo/detail?guid=10250abc-c9a8-490b-8ea7-25cfaf437532&amp;suite_entity_num=t100022", "调整远程攻击逻辑")</f>
        <v>调整远程攻击逻辑</v>
      </c>
      <c r="B9"/>
      <c r="C9" t="inlineStr">
        <is>
          <t>默认分组</t>
        </is>
      </c>
      <c r="D9"/>
      <c r="E9"/>
      <c r="F9" t="inlineStr">
        <is>
          <t>Decay</t>
        </is>
      </c>
      <c r="G9" t="inlineStr">
        <is>
          <t>龚政涛</t>
        </is>
      </c>
      <c r="H9" s="4">
        <v>45536.98206018518</v>
      </c>
      <c r="I9" s="4">
        <v>45552.13364583333</v>
      </c>
      <c r="J9" s="4">
        <v>45548.333333333336</v>
      </c>
      <c r="K9" s="4">
        <v>45552.13366898148</v>
      </c>
      <c r="L9">
        <v>0</v>
      </c>
      <c r="M9">
        <v>0</v>
      </c>
      <c r="N9" t="inlineStr">
        <is>
          <t>NzQxMzM4ODg5NzkxNDY2NzAwOToxMDI1MGFiYy1jOWE4LTQ5MGItOGVhNy0yNWNmYWY0Mzc1MzI6NGFiZWE2NWMxNGZmYjFlNzYyMTYwZDI1MzJjZWQwMzM6MQ==</t>
        </is>
      </c>
      <c r="O9" t="inlineStr">
        <is>
          <t>1</t>
        </is>
      </c>
      <c r="P9" t="inlineStr">
        <is>
          <t>或签任务</t>
        </is>
      </c>
      <c r="Q9" t="inlineStr">
        <is>
          <t>0</t>
        </is>
      </c>
      <c r="R9" t="inlineStr">
        <is>
          <t>龚政涛,Decay</t>
        </is>
      </c>
      <c r="S9" s="4">
        <v>45547.333333333336</v>
      </c>
      <c r="T9" s="3" t="str">
        <f>=HYPERLINK("https://applink.feishu.cn/client/todo/task_list?guid=4d92b9af-66d1-4cd7-95d1-4b753a64ca6b", "跃入迷城")</f>
        <v>跃入迷城</v>
      </c>
      <c r="U9" t="inlineStr">
        <is>
          <t>4d92b9af-66d1-4cd7-95d1-4b753a64ca6b</t>
        </is>
      </c>
      <c r="V9" t="inlineStr">
        <is>
          <t>10250abc-c9a8-490b-8ea7-25cfaf437532</t>
        </is>
      </c>
      <c r="W9"/>
      <c r="X9" t="inlineStr">
        <is>
          <t>ca0124ed-7c56-4d55-8134-f69d44296221</t>
        </is>
      </c>
      <c r="Y9"/>
      <c r="Z9" t="inlineStr">
        <is>
          <t>0.0.2</t>
        </is>
      </c>
      <c r="AA9" t="inlineStr">
        <is>
          <t>操作</t>
        </is>
      </c>
      <c r="AB9" t="inlineStr">
        <is>
          <t>已完成</t>
        </is>
      </c>
      <c r="AC9"/>
      <c r="AD9"/>
      <c r="AE9"/>
    </row>
    <row r="10" ht="25.5" customHeight="1">
      <c r="A10" s="3" t="str">
        <f>=HYPERLINK("https://applink.feishu.cn/client/todo/detail?guid=11a47804-abfe-4dc9-a638-7ffdcdbd860a&amp;suite_entity_num=t100021", "撰写冲击力+硬直系统逻辑")</f>
        <v>撰写冲击力+硬直系统逻辑</v>
      </c>
      <c r="B10"/>
      <c r="C10" t="inlineStr">
        <is>
          <t>默认分组</t>
        </is>
      </c>
      <c r="D10"/>
      <c r="E10"/>
      <c r="F10" t="inlineStr">
        <is>
          <t>苏祺恒</t>
        </is>
      </c>
      <c r="G10" t="inlineStr">
        <is>
          <t>龚政涛</t>
        </is>
      </c>
      <c r="H10" s="4">
        <v>45536.98168981481</v>
      </c>
      <c r="I10" s="4">
        <v>45709.45326388889</v>
      </c>
      <c r="J10" s="4">
        <v>45548.333333333336</v>
      </c>
      <c r="K10" s="4">
        <v>45709.453206018516</v>
      </c>
      <c r="L10">
        <v>0</v>
      </c>
      <c r="M10">
        <v>0</v>
      </c>
      <c r="N10" t="inlineStr">
        <is>
          <t>NzQxMzM4ODg5NzkxNDY2NzAwOToxMWE0NzgwNC1hYmZlLTRkYzktYTYzOC03ZmZkY2RiZDg2MGE6YjM0ZGYwYTg4MzRhNWNiYjUwYjM0Y2Q0MGI0MTk1MzM6MQ==</t>
        </is>
      </c>
      <c r="O10" t="inlineStr">
        <is>
          <t>1</t>
        </is>
      </c>
      <c r="P10" t="inlineStr">
        <is>
          <t>或签任务</t>
        </is>
      </c>
      <c r="Q10" t="inlineStr">
        <is>
          <t>0</t>
        </is>
      </c>
      <c r="R10" t="inlineStr">
        <is>
          <t>龚政涛,苏祺恒</t>
        </is>
      </c>
      <c r="S10" s="4">
        <v>45542.333333333336</v>
      </c>
      <c r="T10" s="3" t="str">
        <f>=HYPERLINK("https://applink.feishu.cn/client/todo/task_list?guid=4d92b9af-66d1-4cd7-95d1-4b753a64ca6b", "跃入迷城")</f>
        <v>跃入迷城</v>
      </c>
      <c r="U10" t="inlineStr">
        <is>
          <t>4d92b9af-66d1-4cd7-95d1-4b753a64ca6b</t>
        </is>
      </c>
      <c r="V10" t="inlineStr">
        <is>
          <t>11a47804-abfe-4dc9-a638-7ffdcdbd860a</t>
        </is>
      </c>
      <c r="W10"/>
      <c r="X10"/>
      <c r="Y10"/>
      <c r="Z10" t="inlineStr">
        <is>
          <t>0.0.2</t>
        </is>
      </c>
      <c r="AA10" t="inlineStr">
        <is>
          <t>操作</t>
        </is>
      </c>
      <c r="AB10" t="inlineStr">
        <is>
          <t>已废弃</t>
        </is>
      </c>
      <c r="AC10" t="inlineStr">
        <is>
          <t>P0 - Must (not) Have</t>
        </is>
      </c>
      <c r="AD10"/>
      <c r="AE10"/>
    </row>
    <row r="11" ht="25.5" customHeight="1">
      <c r="A11" s="3" t="str">
        <f>=HYPERLINK("https://applink.feishu.cn/client/todo/detail?guid=9186a384-0f2c-493c-abc8-a14b609ad759&amp;suite_entity_num=t100026", "敌人死亡后尸体不消失")</f>
        <v>敌人死亡后尸体不消失</v>
      </c>
      <c r="B11"/>
      <c r="C11" t="inlineStr">
        <is>
          <t>默认分组</t>
        </is>
      </c>
      <c r="D11"/>
      <c r="E11"/>
      <c r="F11" t="inlineStr">
        <is>
          <t>Decay,李少秋</t>
        </is>
      </c>
      <c r="G11" t="inlineStr">
        <is>
          <t>龚政涛</t>
        </is>
      </c>
      <c r="H11" s="4">
        <v>45536.98783564815</v>
      </c>
      <c r="I11" s="4">
        <v>45572.58615740741</v>
      </c>
      <c r="J11" s="4">
        <v>45559.333333333336</v>
      </c>
      <c r="K11" s="4">
        <v>45727.475266203706</v>
      </c>
      <c r="L11">
        <v>0</v>
      </c>
      <c r="M11">
        <v>1</v>
      </c>
      <c r="N11" t="inlineStr">
        <is>
          <t>NzQxMzM4ODg5NzkxNDY2NzAwOTo5MTg2YTM4NC0wZjJjLTQ5M2MtYWJjOC1hMTRiNjA5YWQ3NTk6ZGM1MWQ0Y2UzZjlkYzBiZTE5ZmU4OWNhYWE4ODM0ODQ6MQ==</t>
        </is>
      </c>
      <c r="O11" t="inlineStr">
        <is>
          <t>1</t>
        </is>
      </c>
      <c r="P11" t="inlineStr">
        <is>
          <t>或签任务</t>
        </is>
      </c>
      <c r="Q11" t="inlineStr">
        <is>
          <t>0</t>
        </is>
      </c>
      <c r="R11" t="inlineStr">
        <is>
          <t>龚政涛,Decay,李少秋</t>
        </is>
      </c>
      <c r="S11" s="4">
        <v>45556.333333333336</v>
      </c>
      <c r="T11" s="3" t="str">
        <f>=HYPERLINK("https://applink.feishu.cn/client/todo/task_list?guid=4d92b9af-66d1-4cd7-95d1-4b753a64ca6b", "跃入迷城")</f>
        <v>跃入迷城</v>
      </c>
      <c r="U11" t="inlineStr">
        <is>
          <t>4d92b9af-66d1-4cd7-95d1-4b753a64ca6b</t>
        </is>
      </c>
      <c r="V11" t="inlineStr">
        <is>
          <t>9186a384-0f2c-493c-abc8-a14b609ad759</t>
        </is>
      </c>
      <c r="W11"/>
      <c r="X11"/>
      <c r="Y11"/>
      <c r="Z11" t="inlineStr">
        <is>
          <t>0.0.2</t>
        </is>
      </c>
      <c r="AA11" t="inlineStr">
        <is>
          <t>操作</t>
        </is>
      </c>
      <c r="AB11" t="inlineStr">
        <is>
          <t>已完成</t>
        </is>
      </c>
      <c r="AC11" t="inlineStr">
        <is>
          <t>P1 - Bigger the Better</t>
        </is>
      </c>
      <c r="AD11"/>
      <c r="AE11"/>
    </row>
    <row r="12" ht="25.5" customHeight="1">
      <c r="A12" s="3" t="str">
        <f>=HYPERLINK("https://applink.feishu.cn/client/todo/detail?guid=be7ffd56-214a-491d-b6e3-9c326fe21ae7&amp;suite_entity_num=t100023", "撰写玩家近战攻击逻辑")</f>
        <v>撰写玩家近战攻击逻辑</v>
      </c>
      <c r="B12"/>
      <c r="C12" t="inlineStr">
        <is>
          <t>默认分组</t>
        </is>
      </c>
      <c r="D12"/>
      <c r="E12"/>
      <c r="F12" t="inlineStr">
        <is>
          <t>龚政涛,苏祺恒</t>
        </is>
      </c>
      <c r="G12" t="inlineStr">
        <is>
          <t>龚政涛</t>
        </is>
      </c>
      <c r="H12" s="4">
        <v>45536.985972222225</v>
      </c>
      <c r="I12" s="4">
        <v>45541.62086805556</v>
      </c>
      <c r="J12" s="4">
        <v>45538.333333333336</v>
      </c>
      <c r="K12" s="4">
        <v>45552.1352662037</v>
      </c>
      <c r="L12">
        <v>0</v>
      </c>
      <c r="M12">
        <v>0</v>
      </c>
      <c r="N12" t="inlineStr">
        <is>
          <t>NzQxMzM4ODg5NzkxNDY2NzAwOTpiZTdmZmQ1Ni0yMTRhLTQ5MWQtYjZlMy05YzMyNmZlMjFhZTc6YjgxY2FiZDY4NTgyODU2OTNhODc4YjFkMDVjYTU1Yjg6MQ==</t>
        </is>
      </c>
      <c r="O12" t="inlineStr">
        <is>
          <t>1</t>
        </is>
      </c>
      <c r="P12" t="inlineStr">
        <is>
          <t>或签任务</t>
        </is>
      </c>
      <c r="Q12" t="inlineStr">
        <is>
          <t>0</t>
        </is>
      </c>
      <c r="R12" t="inlineStr">
        <is>
          <t>龚政涛,苏祺恒</t>
        </is>
      </c>
      <c r="S12" s="4"/>
      <c r="T12" s="3" t="str">
        <f>=HYPERLINK("https://applink.feishu.cn/client/todo/task_list?guid=4d92b9af-66d1-4cd7-95d1-4b753a64ca6b", "跃入迷城")</f>
        <v>跃入迷城</v>
      </c>
      <c r="U12" t="inlineStr">
        <is>
          <t>4d92b9af-66d1-4cd7-95d1-4b753a64ca6b</t>
        </is>
      </c>
      <c r="V12" t="inlineStr">
        <is>
          <t>be7ffd56-214a-491d-b6e3-9c326fe21ae7</t>
        </is>
      </c>
      <c r="W12"/>
      <c r="X12"/>
      <c r="Y12"/>
      <c r="Z12" t="inlineStr">
        <is>
          <t>0.0.2</t>
        </is>
      </c>
      <c r="AA12" t="inlineStr">
        <is>
          <t>操作</t>
        </is>
      </c>
      <c r="AB12" t="inlineStr">
        <is>
          <t>已完成</t>
        </is>
      </c>
      <c r="AC12"/>
      <c r="AD12"/>
      <c r="AE12"/>
    </row>
    <row r="13" ht="25.5" customHeight="1">
      <c r="A13" s="3" t="str">
        <f>=HYPERLINK("https://applink.feishu.cn/client/todo/detail?guid=388490d4-c2a7-494e-aadc-18b522fe5e7b&amp;suite_entity_num=t100011", "白模关卡测试")</f>
        <v>白模关卡测试</v>
      </c>
      <c r="B13"/>
      <c r="C13" t="inlineStr">
        <is>
          <t>默认分组</t>
        </is>
      </c>
      <c r="D13"/>
      <c r="E13"/>
      <c r="F13" t="inlineStr">
        <is>
          <t>苏祺恒,龚政涛</t>
        </is>
      </c>
      <c r="G13" t="inlineStr">
        <is>
          <t>龚政涛</t>
        </is>
      </c>
      <c r="H13" s="4">
        <v>45536.974594907406</v>
      </c>
      <c r="I13" s="4">
        <v>45572.02275462963</v>
      </c>
      <c r="J13" s="4">
        <v>45548.333333333336</v>
      </c>
      <c r="K13" s="4">
        <v>45727.47613425926</v>
      </c>
      <c r="L13">
        <v>0</v>
      </c>
      <c r="M13">
        <v>2</v>
      </c>
      <c r="N13" t="inlineStr">
        <is>
          <t>NzQxMzM4ODg5NzkxNDY2NzAwOTozODg0OTBkNC1jMmE3LTQ5NGUtYWFkYy0xOGI1MjJmZTVlN2I6YzYyNTJiYzc2OTUwMmE0YmY1MzdiNmU4MTA0NDU3MDg6MQ==</t>
        </is>
      </c>
      <c r="O13" t="inlineStr">
        <is>
          <t>1</t>
        </is>
      </c>
      <c r="P13" t="inlineStr">
        <is>
          <t>或签任务</t>
        </is>
      </c>
      <c r="Q13" t="inlineStr">
        <is>
          <t>0</t>
        </is>
      </c>
      <c r="R13" t="inlineStr">
        <is>
          <t>龚政涛,苏祺恒</t>
        </is>
      </c>
      <c r="S13" s="4"/>
      <c r="T13" s="3" t="str">
        <f>=HYPERLINK("https://applink.feishu.cn/client/todo/task_list?guid=4d92b9af-66d1-4cd7-95d1-4b753a64ca6b", "跃入迷城")</f>
        <v>跃入迷城</v>
      </c>
      <c r="U13" t="inlineStr">
        <is>
          <t>4d92b9af-66d1-4cd7-95d1-4b753a64ca6b</t>
        </is>
      </c>
      <c r="V13" t="inlineStr">
        <is>
          <t>388490d4-c2a7-494e-aadc-18b522fe5e7b</t>
        </is>
      </c>
      <c r="W13"/>
      <c r="X13"/>
      <c r="Y13"/>
      <c r="Z13" t="inlineStr">
        <is>
          <t>0.0.2</t>
        </is>
      </c>
      <c r="AA13" t="inlineStr">
        <is>
          <t>操作</t>
        </is>
      </c>
      <c r="AB13" t="inlineStr">
        <is>
          <t>已废弃</t>
        </is>
      </c>
      <c r="AC13" t="inlineStr">
        <is>
          <t>P0 - Must (not) Have</t>
        </is>
      </c>
      <c r="AD13"/>
      <c r="AE13"/>
    </row>
    <row r="14" ht="25.5" customHeight="1">
      <c r="A14" s="3" t="str">
        <f>=HYPERLINK("https://applink.feishu.cn/client/todo/detail?guid=280e4816-4b06-497a-9d02-192533f260a4&amp;suite_entity_num=t100035", "整理剧本文档框架")</f>
        <v>整理剧本文档框架</v>
      </c>
      <c r="B14"/>
      <c r="C14" t="inlineStr">
        <is>
          <t>默认分组</t>
        </is>
      </c>
      <c r="D14"/>
      <c r="E14"/>
      <c r="F14" t="inlineStr">
        <is>
          <t>龚政涛,Serein</t>
        </is>
      </c>
      <c r="G14" t="inlineStr">
        <is>
          <t>龚政涛</t>
        </is>
      </c>
      <c r="H14" s="4">
        <v>45538.94173611111</v>
      </c>
      <c r="I14" s="4">
        <v>45555.97944444444</v>
      </c>
      <c r="J14" s="4">
        <v>45540.333333333336</v>
      </c>
      <c r="K14" s="4">
        <v>45866.688796296294</v>
      </c>
      <c r="L14">
        <v>0</v>
      </c>
      <c r="M14">
        <v>0</v>
      </c>
      <c r="N14" t="inlineStr">
        <is>
          <t>NzQxMzM4ODg5NzkxNDY2NzAwOToyODBlNDgxNi00YjA2LTQ5N2EtOWQwMi0xOTI1MzNmMjYwYTQ6Yjc1NGU4ZDRjYjQ0ZWRjYWEyYjQwZjIxNmRjN2JlNmU6MQ==</t>
        </is>
      </c>
      <c r="O14" t="inlineStr">
        <is>
          <t>1</t>
        </is>
      </c>
      <c r="P14" t="inlineStr">
        <is>
          <t>或签任务</t>
        </is>
      </c>
      <c r="Q14" t="inlineStr">
        <is>
          <t>0</t>
        </is>
      </c>
      <c r="R14" t="inlineStr">
        <is>
          <t>龚政涛,Serein</t>
        </is>
      </c>
      <c r="S14" s="4"/>
      <c r="T14" s="3" t="str">
        <f>=HYPERLINK("https://applink.feishu.cn/client/todo/task_list?guid=4d92b9af-66d1-4cd7-95d1-4b753a64ca6b", "跃入迷城")</f>
        <v>跃入迷城</v>
      </c>
      <c r="U14" t="inlineStr">
        <is>
          <t>4d92b9af-66d1-4cd7-95d1-4b753a64ca6b</t>
        </is>
      </c>
      <c r="V14" t="inlineStr">
        <is>
          <t>280e4816-4b06-497a-9d02-192533f260a4</t>
        </is>
      </c>
      <c r="W14"/>
      <c r="X14"/>
      <c r="Y14"/>
      <c r="Z14" t="inlineStr">
        <is>
          <t>0.0.5</t>
        </is>
      </c>
      <c r="AA14" t="inlineStr">
        <is>
          <t>剧本</t>
        </is>
      </c>
      <c r="AB14" t="inlineStr">
        <is>
          <t>工作中</t>
        </is>
      </c>
      <c r="AC14" t="inlineStr">
        <is>
          <t>P0 - Must (not) Have</t>
        </is>
      </c>
      <c r="AD14" t="inlineStr">
        <is>
          <t>✍️故事</t>
        </is>
      </c>
      <c r="AE14"/>
    </row>
    <row r="15" ht="25.5" customHeight="1">
      <c r="A15" s="3" t="str">
        <f>=HYPERLINK("https://applink.feishu.cn/client/todo/detail?guid=e15401d9-55b3-43ff-b1a8-83996d4a8f33&amp;suite_entity_num=t100019", "找一个合适的俯视角敌人案例")</f>
        <v>找一个合适的俯视角敌人案例</v>
      </c>
      <c r="B15"/>
      <c r="C15" t="inlineStr">
        <is>
          <t>默认分组</t>
        </is>
      </c>
      <c r="D15"/>
      <c r="E15"/>
      <c r="F15" t="inlineStr">
        <is>
          <t>龚政涛</t>
        </is>
      </c>
      <c r="G15" t="inlineStr">
        <is>
          <t>龚政涛</t>
        </is>
      </c>
      <c r="H15" s="4">
        <v>45536.980358796296</v>
      </c>
      <c r="I15" s="4">
        <v>45540.70490740741</v>
      </c>
      <c r="J15" s="4">
        <v>45540.333333333336</v>
      </c>
      <c r="K15" s="4">
        <v>45548.421215277776</v>
      </c>
      <c r="L15">
        <v>0</v>
      </c>
      <c r="M15">
        <v>0</v>
      </c>
      <c r="N15" t="inlineStr">
        <is>
          <t>NzQxMzM4ODg5NzkxNDY2NzAwOTplMTU0MDFkOS01NWIzLTQzZmYtYjFhOC04Mzk5NmQ0YThmMzM6OWRjNDkxOTY1NjE4YWEzMWI2NGVlYzdjYTE3NzFkNDA6MQ==</t>
        </is>
      </c>
      <c r="O15" t="inlineStr">
        <is>
          <t>1</t>
        </is>
      </c>
      <c r="P15" t="inlineStr">
        <is>
          <t>或签任务</t>
        </is>
      </c>
      <c r="Q15" t="inlineStr">
        <is>
          <t>0</t>
        </is>
      </c>
      <c r="R15" t="inlineStr">
        <is>
          <t>龚政涛</t>
        </is>
      </c>
      <c r="S15" s="4"/>
      <c r="T15" s="3" t="str">
        <f>=HYPERLINK("https://applink.feishu.cn/client/todo/task_list?guid=4d92b9af-66d1-4cd7-95d1-4b753a64ca6b", "跃入迷城")</f>
        <v>跃入迷城</v>
      </c>
      <c r="U15" t="inlineStr">
        <is>
          <t>4d92b9af-66d1-4cd7-95d1-4b753a64ca6b</t>
        </is>
      </c>
      <c r="V15" t="inlineStr">
        <is>
          <t>e15401d9-55b3-43ff-b1a8-83996d4a8f33</t>
        </is>
      </c>
      <c r="W15"/>
      <c r="X15"/>
      <c r="Y15"/>
      <c r="Z15" t="inlineStr">
        <is>
          <t>0.0.2</t>
        </is>
      </c>
      <c r="AA15" t="inlineStr">
        <is>
          <t>操作</t>
        </is>
      </c>
      <c r="AB15" t="inlineStr">
        <is>
          <t>已完成</t>
        </is>
      </c>
      <c r="AC15"/>
      <c r="AD15"/>
      <c r="AE15"/>
    </row>
    <row r="16" ht="25.5" customHeight="1">
      <c r="A16" s="3" t="str">
        <f>=HYPERLINK("https://applink.feishu.cn/client/todo/detail?guid=689db3a1-4ae5-4c64-ae12-daf6c73017eb&amp;suite_entity_num=t100020", "准备AI事件逻辑")</f>
        <v>准备AI事件逻辑</v>
      </c>
      <c r="B16"/>
      <c r="C16" t="inlineStr">
        <is>
          <t>默认分组</t>
        </is>
      </c>
      <c r="D16"/>
      <c r="E16"/>
      <c r="F16" t="inlineStr">
        <is>
          <t>龚政涛,苏祺恒</t>
        </is>
      </c>
      <c r="G16" t="inlineStr">
        <is>
          <t>龚政涛</t>
        </is>
      </c>
      <c r="H16" s="4">
        <v>45536.98128472222</v>
      </c>
      <c r="I16" s="4">
        <v>45538.93917824074</v>
      </c>
      <c r="J16" s="4">
        <v>45538.333333333336</v>
      </c>
      <c r="K16" s="4">
        <v>45552.135243055556</v>
      </c>
      <c r="L16">
        <v>0</v>
      </c>
      <c r="M16">
        <v>0</v>
      </c>
      <c r="N16" t="inlineStr">
        <is>
          <t>NzQxMzM4ODg5NzkxNDY2NzAwOTo2ODlkYjNhMS00YWU1LTRjNjQtYWUxMi1kYWY2YzczMDE3ZWI6NTUxN2Q0MWJiMTg3NjMwYjJhNDg3ODVhOTNhZTY4ZmE6MQ==</t>
        </is>
      </c>
      <c r="O16" t="inlineStr">
        <is>
          <t>1</t>
        </is>
      </c>
      <c r="P16" t="inlineStr">
        <is>
          <t>或签任务</t>
        </is>
      </c>
      <c r="Q16" t="inlineStr">
        <is>
          <t>0</t>
        </is>
      </c>
      <c r="R16" t="inlineStr">
        <is>
          <t>龚政涛,苏祺恒</t>
        </is>
      </c>
      <c r="S16" s="4"/>
      <c r="T16" s="3" t="str">
        <f>=HYPERLINK("https://applink.feishu.cn/client/todo/task_list?guid=4d92b9af-66d1-4cd7-95d1-4b753a64ca6b", "跃入迷城")</f>
        <v>跃入迷城</v>
      </c>
      <c r="U16" t="inlineStr">
        <is>
          <t>4d92b9af-66d1-4cd7-95d1-4b753a64ca6b</t>
        </is>
      </c>
      <c r="V16" t="inlineStr">
        <is>
          <t>689db3a1-4ae5-4c64-ae12-daf6c73017eb</t>
        </is>
      </c>
      <c r="W16"/>
      <c r="X16"/>
      <c r="Y16"/>
      <c r="Z16" t="inlineStr">
        <is>
          <t>0.0.2</t>
        </is>
      </c>
      <c r="AA16" t="inlineStr">
        <is>
          <t>操作</t>
        </is>
      </c>
      <c r="AB16" t="inlineStr">
        <is>
          <t>已完成</t>
        </is>
      </c>
      <c r="AC16"/>
      <c r="AD16"/>
      <c r="AE16"/>
    </row>
    <row r="17" ht="25.5" customHeight="1">
      <c r="A17" s="3" t="str">
        <f>=HYPERLINK("https://applink.feishu.cn/client/todo/detail?guid=d73e9a8b-6afa-461b-9ede-bce0d94bdd89&amp;suite_entity_num=t100018", "准备AI概念草图")</f>
        <v>准备AI概念草图</v>
      </c>
      <c r="B17"/>
      <c r="C17" t="inlineStr">
        <is>
          <t>默认分组</t>
        </is>
      </c>
      <c r="D17"/>
      <c r="E17"/>
      <c r="F17" t="inlineStr">
        <is>
          <t>龚政涛</t>
        </is>
      </c>
      <c r="G17" t="inlineStr">
        <is>
          <t>龚政涛</t>
        </is>
      </c>
      <c r="H17" s="4">
        <v>45536.980046296296</v>
      </c>
      <c r="I17" s="4">
        <v>45651.62349537037</v>
      </c>
      <c r="J17" s="4"/>
      <c r="K17" s="4">
        <v>45651.623506944445</v>
      </c>
      <c r="L17">
        <v>0</v>
      </c>
      <c r="M17">
        <v>0</v>
      </c>
      <c r="N17" t="inlineStr">
        <is>
          <t>NzQxMzM4ODg5NzkxNDY2NzAwOTpkNzNlOWE4Yi02YWZhLTQ2MWItOWVkZS1iY2UwZDk0YmRkODk6NmE5ODJmYWJlZDZiYzg5NTcxZmY4NmNiOTNkZTlkZGU6MQ==</t>
        </is>
      </c>
      <c r="O17" t="inlineStr">
        <is>
          <t>1</t>
        </is>
      </c>
      <c r="P17" t="inlineStr">
        <is>
          <t>或签任务</t>
        </is>
      </c>
      <c r="Q17" t="inlineStr">
        <is>
          <t>0</t>
        </is>
      </c>
      <c r="R17" t="inlineStr">
        <is>
          <t>龚政涛</t>
        </is>
      </c>
      <c r="S17" s="4"/>
      <c r="T17" s="3" t="str">
        <f>=HYPERLINK("https://applink.feishu.cn/client/todo/task_list?guid=4d92b9af-66d1-4cd7-95d1-4b753a64ca6b", "跃入迷城")</f>
        <v>跃入迷城</v>
      </c>
      <c r="U17" t="inlineStr">
        <is>
          <t>4d92b9af-66d1-4cd7-95d1-4b753a64ca6b</t>
        </is>
      </c>
      <c r="V17" t="inlineStr">
        <is>
          <t>d73e9a8b-6afa-461b-9ede-bce0d94bdd89</t>
        </is>
      </c>
      <c r="W17"/>
      <c r="X17"/>
      <c r="Y17"/>
      <c r="Z17" t="inlineStr">
        <is>
          <t>0.0.3</t>
        </is>
      </c>
      <c r="AA17" t="inlineStr">
        <is>
          <t>平面美术</t>
        </is>
      </c>
      <c r="AB17" t="inlineStr">
        <is>
          <t>已废弃</t>
        </is>
      </c>
      <c r="AC17"/>
      <c r="AD17"/>
      <c r="AE17"/>
    </row>
    <row r="18" ht="25.5" customHeight="1">
      <c r="A18" s="3" t="str">
        <f>=HYPERLINK("https://applink.feishu.cn/client/todo/detail?guid=668e1297-3536-408a-af2a-a1af32967600&amp;suite_entity_num=t100012", "标准化素材替换")</f>
        <v>标准化素材替换</v>
      </c>
      <c r="B18"/>
      <c r="C18" t="inlineStr">
        <is>
          <t>默认分组</t>
        </is>
      </c>
      <c r="D18"/>
      <c r="E18"/>
      <c r="F18" t="inlineStr">
        <is>
          <t>龚政涛</t>
        </is>
      </c>
      <c r="G18" t="inlineStr">
        <is>
          <t>龚政涛</t>
        </is>
      </c>
      <c r="H18" s="4">
        <v>45536.9759837963</v>
      </c>
      <c r="I18" s="4">
        <v>45557.975277777776</v>
      </c>
      <c r="J18" s="4">
        <v>45541.333333333336</v>
      </c>
      <c r="K18" s="4">
        <v>45727.47508101852</v>
      </c>
      <c r="L18">
        <v>0</v>
      </c>
      <c r="M18">
        <v>2</v>
      </c>
      <c r="N18" t="inlineStr">
        <is>
          <t>NzQxMzM4ODg5NzkxNDY2NzAwOTo2NjhlMTI5Ny0zNTM2LTQwOGEtYWYyYS1hMWFmMzI5Njc2MDA6ZmQwNTdlYjAyMGJhNTlmMmJlM2QwOTgzNmJhM2Q1YjA6MQ==</t>
        </is>
      </c>
      <c r="O18" t="inlineStr">
        <is>
          <t>1</t>
        </is>
      </c>
      <c r="P18" t="inlineStr">
        <is>
          <t>或签任务</t>
        </is>
      </c>
      <c r="Q18" t="inlineStr">
        <is>
          <t>0</t>
        </is>
      </c>
      <c r="R18" t="inlineStr">
        <is>
          <t>龚政涛</t>
        </is>
      </c>
      <c r="S18" s="4">
        <v>45535.333333333336</v>
      </c>
      <c r="T18" s="3" t="str">
        <f>=HYPERLINK("https://applink.feishu.cn/client/todo/task_list?guid=4d92b9af-66d1-4cd7-95d1-4b753a64ca6b", "跃入迷城")</f>
        <v>跃入迷城</v>
      </c>
      <c r="U18" t="inlineStr">
        <is>
          <t>4d92b9af-66d1-4cd7-95d1-4b753a64ca6b</t>
        </is>
      </c>
      <c r="V18" t="inlineStr">
        <is>
          <t>668e1297-3536-408a-af2a-a1af32967600</t>
        </is>
      </c>
      <c r="W18"/>
      <c r="X18"/>
      <c r="Y18"/>
      <c r="Z18" t="inlineStr">
        <is>
          <t>0.0.5</t>
        </is>
      </c>
      <c r="AA18" t="inlineStr">
        <is>
          <t>平面美术</t>
        </is>
      </c>
      <c r="AB18" t="inlineStr">
        <is>
          <t>未开始</t>
        </is>
      </c>
      <c r="AC18" t="inlineStr">
        <is>
          <t>P0 - Must (not) Have</t>
        </is>
      </c>
      <c r="AD18"/>
      <c r="AE18"/>
    </row>
    <row r="19" ht="25.5" customHeight="1">
      <c r="A19" s="3" t="str">
        <f>=HYPERLINK("https://applink.feishu.cn/client/todo/detail?guid=6b93ba80-d875-4baf-a1b4-d66a416b2a85&amp;suite_entity_num=t100039", "截图 - 人物模型")</f>
        <v>截图 - 人物模型</v>
      </c>
      <c r="B19"/>
      <c r="C19" t="inlineStr">
        <is>
          <t>默认分组</t>
        </is>
      </c>
      <c r="D19"/>
      <c r="E19"/>
      <c r="F19" t="inlineStr">
        <is>
          <t>龚政涛</t>
        </is>
      </c>
      <c r="G19" t="inlineStr">
        <is>
          <t>龚政涛</t>
        </is>
      </c>
      <c r="H19" s="4">
        <v>45545.629328703704</v>
      </c>
      <c r="I19" s="4">
        <v>45546.49826388889</v>
      </c>
      <c r="J19" s="4">
        <v>45545.333333333336</v>
      </c>
      <c r="K19" s="4">
        <v>45548.42125</v>
      </c>
      <c r="L19">
        <v>0</v>
      </c>
      <c r="M19">
        <v>0</v>
      </c>
      <c r="N19" t="inlineStr">
        <is>
          <t>NzQxMzM4ODg5NzkxNDY2NzAwOTo2YjkzYmE4MC1kODc1LTRiYWYtYTFiNC1kNjZhNDE2YjJhODU6MjRjMjc5OTkwMDg2ZWNiZjM5MjQ2ZWJmMTZhZGYyNzU6MQ==</t>
        </is>
      </c>
      <c r="O19" t="inlineStr">
        <is>
          <t>1</t>
        </is>
      </c>
      <c r="P19" t="inlineStr">
        <is>
          <t>或签任务</t>
        </is>
      </c>
      <c r="Q19" t="inlineStr">
        <is>
          <t>0</t>
        </is>
      </c>
      <c r="R19" t="inlineStr">
        <is>
          <t>龚政涛</t>
        </is>
      </c>
      <c r="S19" s="4"/>
      <c r="T19" s="3" t="str">
        <f>=HYPERLINK("https://applink.feishu.cn/client/todo/task_list?guid=4d92b9af-66d1-4cd7-95d1-4b753a64ca6b", "跃入迷城")</f>
        <v>跃入迷城</v>
      </c>
      <c r="U19" t="inlineStr">
        <is>
          <t>4d92b9af-66d1-4cd7-95d1-4b753a64ca6b</t>
        </is>
      </c>
      <c r="V19" t="inlineStr">
        <is>
          <t>6b93ba80-d875-4baf-a1b4-d66a416b2a85</t>
        </is>
      </c>
      <c r="W19"/>
      <c r="X19"/>
      <c r="Y19"/>
      <c r="Z19" t="inlineStr">
        <is>
          <t>0.0.2</t>
        </is>
      </c>
      <c r="AA19" t="inlineStr">
        <is>
          <t>平面美术</t>
        </is>
      </c>
      <c r="AB19" t="inlineStr">
        <is>
          <t>已完成</t>
        </is>
      </c>
      <c r="AC19"/>
      <c r="AD19"/>
      <c r="AE19"/>
    </row>
    <row r="20" ht="25.5" customHeight="1">
      <c r="A20" s="3" t="str">
        <f>=HYPERLINK("https://applink.feishu.cn/client/todo/detail?guid=56f6b98d-3383-494a-b890-435e61176ef3&amp;suite_entity_num=t100033", "撰写AI远程逻辑")</f>
        <v>撰写AI远程逻辑</v>
      </c>
      <c r="B20"/>
      <c r="C20" t="inlineStr">
        <is>
          <t>默认分组</t>
        </is>
      </c>
      <c r="D20"/>
      <c r="E20"/>
      <c r="F20" t="inlineStr">
        <is>
          <t>龚政涛</t>
        </is>
      </c>
      <c r="G20" t="inlineStr">
        <is>
          <t>龚政涛</t>
        </is>
      </c>
      <c r="H20" s="4">
        <v>45538.93971064815</v>
      </c>
      <c r="I20" s="4">
        <v>45540.70570601852</v>
      </c>
      <c r="J20" s="4">
        <v>45539.333333333336</v>
      </c>
      <c r="K20" s="4">
        <v>45548.42115740741</v>
      </c>
      <c r="L20">
        <v>0</v>
      </c>
      <c r="M20">
        <v>0</v>
      </c>
      <c r="N20" t="inlineStr">
        <is>
          <t>NzQxMzM4ODg5NzkxNDY2NzAwOTo1NmY2Yjk4ZC0zMzgzLTQ5NGEtYjg5MC00MzVlNjExNzZlZjM6NGQwMDNhZWU2NzU3YjY2YjQ1OTNiMjhjMTVmMTJlY2U6MQ==</t>
        </is>
      </c>
      <c r="O20" t="inlineStr">
        <is>
          <t>1</t>
        </is>
      </c>
      <c r="P20" t="inlineStr">
        <is>
          <t>或签任务</t>
        </is>
      </c>
      <c r="Q20" t="inlineStr">
        <is>
          <t>0</t>
        </is>
      </c>
      <c r="R20" t="inlineStr">
        <is>
          <t>龚政涛</t>
        </is>
      </c>
      <c r="S20" s="4"/>
      <c r="T20" s="3" t="str">
        <f>=HYPERLINK("https://applink.feishu.cn/client/todo/task_list?guid=4d92b9af-66d1-4cd7-95d1-4b753a64ca6b", "跃入迷城")</f>
        <v>跃入迷城</v>
      </c>
      <c r="U20" t="inlineStr">
        <is>
          <t>4d92b9af-66d1-4cd7-95d1-4b753a64ca6b</t>
        </is>
      </c>
      <c r="V20" t="inlineStr">
        <is>
          <t>56f6b98d-3383-494a-b890-435e61176ef3</t>
        </is>
      </c>
      <c r="W20"/>
      <c r="X20"/>
      <c r="Y20"/>
      <c r="Z20" t="inlineStr">
        <is>
          <t>0.0.2</t>
        </is>
      </c>
      <c r="AA20" t="inlineStr">
        <is>
          <t>操作</t>
        </is>
      </c>
      <c r="AB20" t="inlineStr">
        <is>
          <t>已完成</t>
        </is>
      </c>
      <c r="AC20"/>
      <c r="AD20"/>
      <c r="AE20"/>
    </row>
    <row r="21" ht="25.5" customHeight="1">
      <c r="A21" s="3" t="str">
        <f>=HYPERLINK("https://applink.feishu.cn/client/todo/detail?guid=d621bf07-a1cd-4204-9fa8-2d52204cc831&amp;suite_entity_num=t100045", "先不说内容，看下这种“在摄像机前放一个canvas”的方案是否可以实现？")</f>
        <v>先不说内容，看下这种“在摄像机前放一个canvas”的方案是否可以实现？</v>
      </c>
      <c r="B21"/>
      <c r="C21" t="inlineStr">
        <is>
          <t>默认分组</t>
        </is>
      </c>
      <c r="D21"/>
      <c r="E21"/>
      <c r="F21" t="inlineStr">
        <is>
          <t>Decay</t>
        </is>
      </c>
      <c r="G21" t="inlineStr">
        <is>
          <t>龚政涛</t>
        </is>
      </c>
      <c r="H21" s="4">
        <v>45547.72545138889</v>
      </c>
      <c r="I21" s="4">
        <v>45571.990208333336</v>
      </c>
      <c r="J21" s="4">
        <v>45557.333333333336</v>
      </c>
      <c r="K21" s="4">
        <v>45571.990208333336</v>
      </c>
      <c r="L21">
        <v>0</v>
      </c>
      <c r="M21">
        <v>2</v>
      </c>
      <c r="N21" t="inlineStr">
        <is>
          <t>NzQxMzM4ODg5NzkxNDY2NzAwOTpkNjIxYmYwNy1hMWNkLTQyMDQtOWZhOC0yZDUyMjA0Y2M4MzE6NzA0MDY1Y2M5ZjU0ZGFmYjcxN2JmMjNkMWZlZjMwN2Q6MQ==</t>
        </is>
      </c>
      <c r="O21" t="inlineStr">
        <is>
          <t>1</t>
        </is>
      </c>
      <c r="P21" t="inlineStr">
        <is>
          <t>或签任务</t>
        </is>
      </c>
      <c r="Q21" t="inlineStr">
        <is>
          <t>0</t>
        </is>
      </c>
      <c r="R21" t="inlineStr">
        <is>
          <t>龚政涛,Decay</t>
        </is>
      </c>
      <c r="S21" s="4">
        <v>45557.333333333336</v>
      </c>
      <c r="T21" s="3" t="str">
        <f>=HYPERLINK("https://applink.feishu.cn/client/todo/task_list?guid=4d92b9af-66d1-4cd7-95d1-4b753a64ca6b", "跃入迷城")</f>
        <v>跃入迷城</v>
      </c>
      <c r="U21" t="inlineStr">
        <is>
          <t>4d92b9af-66d1-4cd7-95d1-4b753a64ca6b</t>
        </is>
      </c>
      <c r="V21" t="inlineStr">
        <is>
          <t>d621bf07-a1cd-4204-9fa8-2d52204cc831</t>
        </is>
      </c>
      <c r="W21"/>
      <c r="X21"/>
      <c r="Y21"/>
      <c r="Z21" t="inlineStr">
        <is>
          <t>0.0.2</t>
        </is>
      </c>
      <c r="AA21" t="inlineStr">
        <is>
          <t>平面美术</t>
        </is>
      </c>
      <c r="AB21" t="inlineStr">
        <is>
          <t>已完成</t>
        </is>
      </c>
      <c r="AC21"/>
      <c r="AD21"/>
      <c r="AE21"/>
    </row>
    <row r="22" ht="25.5" customHeight="1">
      <c r="A22" s="3" t="str">
        <f>=HYPERLINK("https://applink.feishu.cn/client/todo/detail?guid=760d9871-0342-4add-89dc-10398f253f10&amp;suite_entity_num=t100014", "涂鸦和裂痕实现1个")</f>
        <v>涂鸦和裂痕实现1个</v>
      </c>
      <c r="B22"/>
      <c r="C22" t="inlineStr">
        <is>
          <t>默认分组</t>
        </is>
      </c>
      <c r="D22"/>
      <c r="E22"/>
      <c r="F22" t="inlineStr">
        <is>
          <t>Joyce Jiao</t>
        </is>
      </c>
      <c r="G22" t="inlineStr">
        <is>
          <t>龚政涛</t>
        </is>
      </c>
      <c r="H22" s="4">
        <v>45536.976018518515</v>
      </c>
      <c r="I22" s="4">
        <v>45651.62359953704</v>
      </c>
      <c r="J22" s="4"/>
      <c r="K22" s="4">
        <v>45651.62358796296</v>
      </c>
      <c r="L22">
        <v>0</v>
      </c>
      <c r="M22">
        <v>0</v>
      </c>
      <c r="N22" t="inlineStr">
        <is>
          <t>NzQxMzM4ODg5NzkxNDY2NzAwOTo3NjBkOTg3MS0wMzQyLTRhZGQtODlkYy0xMDM5OGYyNTNmMTA6M2NlMTE3ZmM4ZThlYmM1NWUzYTY2OGE4ZjMwNzYwZDU6MQ==</t>
        </is>
      </c>
      <c r="O22" t="inlineStr">
        <is>
          <t>1</t>
        </is>
      </c>
      <c r="P22" t="inlineStr">
        <is>
          <t>或签任务</t>
        </is>
      </c>
      <c r="Q22" t="inlineStr">
        <is>
          <t>0</t>
        </is>
      </c>
      <c r="R22" t="inlineStr">
        <is>
          <t>龚政涛,Joyce Jiao</t>
        </is>
      </c>
      <c r="S22" s="4"/>
      <c r="T22" s="3" t="str">
        <f>=HYPERLINK("https://applink.feishu.cn/client/todo/task_list?guid=4d92b9af-66d1-4cd7-95d1-4b753a64ca6b", "跃入迷城")</f>
        <v>跃入迷城</v>
      </c>
      <c r="U22" t="inlineStr">
        <is>
          <t>4d92b9af-66d1-4cd7-95d1-4b753a64ca6b</t>
        </is>
      </c>
      <c r="V22" t="inlineStr">
        <is>
          <t>760d9871-0342-4add-89dc-10398f253f10</t>
        </is>
      </c>
      <c r="W22"/>
      <c r="X22"/>
      <c r="Y22"/>
      <c r="Z22" t="inlineStr">
        <is>
          <t>0.0.2</t>
        </is>
      </c>
      <c r="AA22" t="inlineStr">
        <is>
          <t>平面美术</t>
        </is>
      </c>
      <c r="AB22" t="inlineStr">
        <is>
          <t>已废弃</t>
        </is>
      </c>
      <c r="AC22"/>
      <c r="AD22"/>
      <c r="AE22"/>
    </row>
    <row r="23" ht="25.5" customHeight="1">
      <c r="A23" s="3" t="str">
        <f>=HYPERLINK("https://applink.feishu.cn/client/todo/detail?guid=883ef65c-8d61-4b3d-a33a-761a7a28be03&amp;suite_entity_num=t100025", "需要一个菜单，可以让玩家看已购买的义体")</f>
        <v>需要一个菜单，可以让玩家看已购买的义体</v>
      </c>
      <c r="B23"/>
      <c r="C23" t="inlineStr">
        <is>
          <t>默认分组</t>
        </is>
      </c>
      <c r="D23"/>
      <c r="E23"/>
      <c r="F23" t="inlineStr">
        <is>
          <t>Decay</t>
        </is>
      </c>
      <c r="G23" t="inlineStr">
        <is>
          <t>龚政涛</t>
        </is>
      </c>
      <c r="H23" s="4">
        <v>45536.98763888889</v>
      </c>
      <c r="I23" s="4">
        <v>45595.62950231481</v>
      </c>
      <c r="J23" s="4">
        <v>45574.333333333336</v>
      </c>
      <c r="K23" s="4">
        <v>45727.47697916667</v>
      </c>
      <c r="L23">
        <v>0</v>
      </c>
      <c r="M23">
        <v>3</v>
      </c>
      <c r="N23" t="inlineStr">
        <is>
          <t>NzQxMzM4ODg5NzkxNDY2NzAwOTo4ODNlZjY1Yy04ZDYxLTRiM2QtYTMzYS03NjFhN2EyOGJlMDM6ZTc5MjVkMzQ2MjQyNjU1ODJmNDQxZWM1MWU5OTYzMTI6MQ==</t>
        </is>
      </c>
      <c r="O23" t="inlineStr">
        <is>
          <t>1</t>
        </is>
      </c>
      <c r="P23" t="inlineStr">
        <is>
          <t>或签任务</t>
        </is>
      </c>
      <c r="Q23" t="inlineStr">
        <is>
          <t>0</t>
        </is>
      </c>
      <c r="R23" t="inlineStr">
        <is>
          <t>龚政涛,Decay</t>
        </is>
      </c>
      <c r="S23" s="4">
        <v>45574.333333333336</v>
      </c>
      <c r="T23" s="3" t="str">
        <f>=HYPERLINK("https://applink.feishu.cn/client/todo/task_list?guid=4d92b9af-66d1-4cd7-95d1-4b753a64ca6b", "跃入迷城")</f>
        <v>跃入迷城</v>
      </c>
      <c r="U23" t="inlineStr">
        <is>
          <t>4d92b9af-66d1-4cd7-95d1-4b753a64ca6b</t>
        </is>
      </c>
      <c r="V23" t="inlineStr">
        <is>
          <t>883ef65c-8d61-4b3d-a33a-761a7a28be03</t>
        </is>
      </c>
      <c r="W23" t="inlineStr">
        <is>
          <t>a868512d-797a-493b-8c90-235dbe6d592c</t>
        </is>
      </c>
      <c r="X23"/>
      <c r="Y23"/>
      <c r="Z23" t="inlineStr">
        <is>
          <t>0.0.2</t>
        </is>
      </c>
      <c r="AA23" t="inlineStr">
        <is>
          <t>装备</t>
        </is>
      </c>
      <c r="AB23" t="inlineStr">
        <is>
          <t>已完成</t>
        </is>
      </c>
      <c r="AC23" t="inlineStr">
        <is>
          <t>P1 - Bigger the Better</t>
        </is>
      </c>
      <c r="AD23"/>
      <c r="AE23"/>
    </row>
    <row r="24" ht="25.5" customHeight="1">
      <c r="A24" s="3" t="str">
        <f>=HYPERLINK("https://applink.feishu.cn/client/todo/detail?guid=3fef2fb9-077e-4bfd-b143-9050cc53a1cd&amp;suite_entity_num=t100048", "v0.0.2 - 启动规划")</f>
        <v>v0.0.2 - 启动规划</v>
      </c>
      <c r="B24"/>
      <c r="C24" t="inlineStr">
        <is>
          <t>默认分组</t>
        </is>
      </c>
      <c r="D24"/>
      <c r="E24"/>
      <c r="F24"/>
      <c r="G24" t="inlineStr">
        <is>
          <t>龚政涛</t>
        </is>
      </c>
      <c r="H24" s="4">
        <v>45547.75944444445</v>
      </c>
      <c r="I24" s="4">
        <v>45547.759722222225</v>
      </c>
      <c r="J24" s="4">
        <v>45528.333333333336</v>
      </c>
      <c r="K24" s="4">
        <v>45548.501851851855</v>
      </c>
      <c r="L24">
        <v>0</v>
      </c>
      <c r="M24">
        <v>0</v>
      </c>
      <c r="N24" t="inlineStr">
        <is>
          <t>NzQxMzM4ODg5NzkxNDY2NzAwOTozZmVmMmZiOS0wNzdlLTRiZmQtYjE0My05MDUwY2M1M2ExY2Q6MjEzNWE1ZjlmMDlkMTNhNzk5YTU1YjQxMzRkZGNlOWE6MQ==</t>
        </is>
      </c>
      <c r="O24" t="inlineStr">
        <is>
          <t>1</t>
        </is>
      </c>
      <c r="P24" t="inlineStr">
        <is>
          <t>或签任务</t>
        </is>
      </c>
      <c r="Q24" t="inlineStr">
        <is>
          <t>1</t>
        </is>
      </c>
      <c r="R24" t="inlineStr">
        <is>
          <t>龚政涛</t>
        </is>
      </c>
      <c r="S24" s="4">
        <v>45528.333333333336</v>
      </c>
      <c r="T24" s="3" t="str">
        <f>=HYPERLINK("https://applink.feishu.cn/client/todo/task_list?guid=4d92b9af-66d1-4cd7-95d1-4b753a64ca6b", "跃入迷城")</f>
        <v>跃入迷城</v>
      </c>
      <c r="U24" t="inlineStr">
        <is>
          <t>4d92b9af-66d1-4cd7-95d1-4b753a64ca6b</t>
        </is>
      </c>
      <c r="V24" t="inlineStr">
        <is>
          <t>3fef2fb9-077e-4bfd-b143-9050cc53a1cd</t>
        </is>
      </c>
      <c r="W24"/>
      <c r="X24"/>
      <c r="Y24"/>
      <c r="Z24" t="inlineStr">
        <is>
          <t>0.0.2</t>
        </is>
      </c>
      <c r="AA24" t="inlineStr">
        <is>
          <t>项目管理</t>
        </is>
      </c>
      <c r="AB24" t="inlineStr">
        <is>
          <t>已完成</t>
        </is>
      </c>
      <c r="AC24"/>
      <c r="AD24"/>
      <c r="AE24"/>
    </row>
    <row r="25" ht="25.5" customHeight="1">
      <c r="A25" s="3" t="str">
        <f>=HYPERLINK("https://applink.feishu.cn/client/todo/detail?guid=f1466670-d386-4f8d-ab1b-0c6fccd50f22&amp;suite_entity_num=t100027", "购买的义体应该能真的作用到玩家属性&amp;技能")</f>
        <v>购买的义体应该能真的作用到玩家属性&amp;技能</v>
      </c>
      <c r="B25"/>
      <c r="C25" t="inlineStr">
        <is>
          <t>默认分组</t>
        </is>
      </c>
      <c r="D25"/>
      <c r="E25"/>
      <c r="F25" t="inlineStr">
        <is>
          <t>Decay</t>
        </is>
      </c>
      <c r="G25" t="inlineStr">
        <is>
          <t>龚政涛</t>
        </is>
      </c>
      <c r="H25" s="4">
        <v>45536.99041666667</v>
      </c>
      <c r="I25" s="4">
        <v>45571.97516203704</v>
      </c>
      <c r="J25" s="4">
        <v>45553.333333333336</v>
      </c>
      <c r="K25" s="4">
        <v>45571.9903587963</v>
      </c>
      <c r="L25">
        <v>0</v>
      </c>
      <c r="M25">
        <v>0</v>
      </c>
      <c r="N25" t="inlineStr">
        <is>
          <t>NzQxMzM4ODg5NzkxNDY2NzAwOTpmMTQ2NjY3MC1kMzg2LTRmOGQtYWIxYi0wYzZmY2NkNTBmMjI6M2M0Y2NkOGQxMjczYjJiNTM1MGIxZGJhZGM4NDgzNTg6MQ==</t>
        </is>
      </c>
      <c r="O25" t="inlineStr">
        <is>
          <t>1</t>
        </is>
      </c>
      <c r="P25" t="inlineStr">
        <is>
          <t>或签任务</t>
        </is>
      </c>
      <c r="Q25" t="inlineStr">
        <is>
          <t>0</t>
        </is>
      </c>
      <c r="R25" t="inlineStr">
        <is>
          <t>龚政涛,Decay</t>
        </is>
      </c>
      <c r="S25" s="4">
        <v>45553.333333333336</v>
      </c>
      <c r="T25" s="3" t="str">
        <f>=HYPERLINK("https://applink.feishu.cn/client/todo/task_list?guid=4d92b9af-66d1-4cd7-95d1-4b753a64ca6b", "跃入迷城")</f>
        <v>跃入迷城</v>
      </c>
      <c r="U25" t="inlineStr">
        <is>
          <t>4d92b9af-66d1-4cd7-95d1-4b753a64ca6b</t>
        </is>
      </c>
      <c r="V25" t="inlineStr">
        <is>
          <t>f1466670-d386-4f8d-ab1b-0c6fccd50f22</t>
        </is>
      </c>
      <c r="W25" t="inlineStr">
        <is>
          <t>e437dc2e-928c-481f-96d8-37f8c8390b28</t>
        </is>
      </c>
      <c r="X25"/>
      <c r="Y25"/>
      <c r="Z25" t="inlineStr">
        <is>
          <t>0.0.2</t>
        </is>
      </c>
      <c r="AA25" t="inlineStr">
        <is>
          <t>操作</t>
        </is>
      </c>
      <c r="AB25" t="inlineStr">
        <is>
          <t>已完成</t>
        </is>
      </c>
      <c r="AC25"/>
      <c r="AD25"/>
      <c r="AE25"/>
    </row>
    <row r="26" ht="25.5" customHeight="1">
      <c r="A26" s="3" t="str">
        <f>=HYPERLINK("https://applink.feishu.cn/client/todo/detail?guid=2aacf0ef-d6b8-40a1-a5d2-effbafaec49e&amp;suite_entity_num=t100043", "角色数值UI显示")</f>
        <v>角色数值UI显示</v>
      </c>
      <c r="B26"/>
      <c r="C26" t="inlineStr">
        <is>
          <t>默认分组</t>
        </is>
      </c>
      <c r="D26"/>
      <c r="E26"/>
      <c r="F26" t="inlineStr">
        <is>
          <t>Zoey,龚政涛</t>
        </is>
      </c>
      <c r="G26" t="inlineStr">
        <is>
          <t>龚政涛</t>
        </is>
      </c>
      <c r="H26" s="4">
        <v>45547.72515046296</v>
      </c>
      <c r="I26" s="4">
        <v>45865.93666666667</v>
      </c>
      <c r="J26" s="4"/>
      <c r="K26" s="4">
        <v>45866.6896412037</v>
      </c>
      <c r="L26">
        <v>0</v>
      </c>
      <c r="M26">
        <v>15</v>
      </c>
      <c r="N26" t="inlineStr">
        <is>
          <t>NzQxMzM4ODg5NzkxNDY2NzAwOToyYWFjZjBlZi1kNmI4LTQwYTEtYTVkMi1lZmZiYWZhZWM0OWU6ZGU1YzkyNWEyYWQ1NmFiZmEzNmQ4Njc2ZTY0MDRiNDA6MQ==</t>
        </is>
      </c>
      <c r="O26" t="inlineStr">
        <is>
          <t>1</t>
        </is>
      </c>
      <c r="P26" t="inlineStr">
        <is>
          <t>或签任务</t>
        </is>
      </c>
      <c r="Q26" t="inlineStr">
        <is>
          <t>0</t>
        </is>
      </c>
      <c r="R26" t="inlineStr">
        <is>
          <t>龚政涛,Decay,Zoey</t>
        </is>
      </c>
      <c r="S26" s="4"/>
      <c r="T26" s="3" t="str">
        <f>=HYPERLINK("https://applink.feishu.cn/client/todo/task_list?guid=4d92b9af-66d1-4cd7-95d1-4b753a64ca6b", "跃入迷城")</f>
        <v>跃入迷城</v>
      </c>
      <c r="U26" t="inlineStr">
        <is>
          <t>4d92b9af-66d1-4cd7-95d1-4b753a64ca6b</t>
        </is>
      </c>
      <c r="V26" t="inlineStr">
        <is>
          <t>2aacf0ef-d6b8-40a1-a5d2-effbafaec49e</t>
        </is>
      </c>
      <c r="W26"/>
      <c r="X26"/>
      <c r="Y26"/>
      <c r="Z26" t="inlineStr">
        <is>
          <t>0.0.5</t>
        </is>
      </c>
      <c r="AA26" t="inlineStr">
        <is>
          <t>UIUX</t>
        </is>
      </c>
      <c r="AB26" t="inlineStr">
        <is>
          <t>已废弃</t>
        </is>
      </c>
      <c r="AC26" t="inlineStr">
        <is>
          <t>P1 - Bigger the Better</t>
        </is>
      </c>
      <c r="AD26"/>
      <c r="AE26"/>
    </row>
    <row r="27" ht="25.5" customHeight="1">
      <c r="A27" s="3" t="str">
        <f>=HYPERLINK("https://applink.feishu.cn/client/todo/detail?guid=52018d71-6c14-4de3-b35b-5858eb8556b4&amp;suite_entity_num=t100049", "v0.0.2 - 开发开始")</f>
        <v>v0.0.2 - 开发开始</v>
      </c>
      <c r="B27"/>
      <c r="C27" t="inlineStr">
        <is>
          <t>默认分组</t>
        </is>
      </c>
      <c r="D27"/>
      <c r="E27"/>
      <c r="F27"/>
      <c r="G27" t="inlineStr">
        <is>
          <t>龚政涛</t>
        </is>
      </c>
      <c r="H27" s="4">
        <v>45547.75986111111</v>
      </c>
      <c r="I27" s="4">
        <v>45547.76153935185</v>
      </c>
      <c r="J27" s="4">
        <v>45535.333333333336</v>
      </c>
      <c r="K27" s="4">
        <v>45548.501875</v>
      </c>
      <c r="L27">
        <v>0</v>
      </c>
      <c r="M27">
        <v>0</v>
      </c>
      <c r="N27" t="inlineStr">
        <is>
          <t>NzQxMzM4ODg5NzkxNDY2NzAwOTo1MjAxOGQ3MS02YzE0LTRkZTMtYjM1Yi01ODU4ZWI4NTU2YjQ6NDRmMWI5NzNkMTQxOTRmOTA2ZmY1NWJjMGZkYjIxNjM6MQ==</t>
        </is>
      </c>
      <c r="O27" t="inlineStr">
        <is>
          <t>1</t>
        </is>
      </c>
      <c r="P27" t="inlineStr">
        <is>
          <t>或签任务</t>
        </is>
      </c>
      <c r="Q27" t="inlineStr">
        <is>
          <t>1</t>
        </is>
      </c>
      <c r="R27" t="inlineStr">
        <is>
          <t>龚政涛</t>
        </is>
      </c>
      <c r="S27" s="4">
        <v>45535.333333333336</v>
      </c>
      <c r="T27" s="3" t="str">
        <f>=HYPERLINK("https://applink.feishu.cn/client/todo/task_list?guid=4d92b9af-66d1-4cd7-95d1-4b753a64ca6b", "跃入迷城")</f>
        <v>跃入迷城</v>
      </c>
      <c r="U27" t="inlineStr">
        <is>
          <t>4d92b9af-66d1-4cd7-95d1-4b753a64ca6b</t>
        </is>
      </c>
      <c r="V27" t="inlineStr">
        <is>
          <t>52018d71-6c14-4de3-b35b-5858eb8556b4</t>
        </is>
      </c>
      <c r="W27"/>
      <c r="X27"/>
      <c r="Y27"/>
      <c r="Z27" t="inlineStr">
        <is>
          <t>0.0.2</t>
        </is>
      </c>
      <c r="AA27" t="inlineStr">
        <is>
          <t>项目管理</t>
        </is>
      </c>
      <c r="AB27" t="inlineStr">
        <is>
          <t>已完成</t>
        </is>
      </c>
      <c r="AC27"/>
      <c r="AD27"/>
      <c r="AE27"/>
    </row>
    <row r="28" ht="25.5" customHeight="1">
      <c r="A28" s="3" t="str">
        <f>=HYPERLINK("https://applink.feishu.cn/client/todo/detail?guid=e437dc2e-928c-481f-96d8-37f8c8390b28&amp;suite_entity_num=t100024", "需要一个打印机，可以让玩家购买义体")</f>
        <v>需要一个打印机，可以让玩家购买义体</v>
      </c>
      <c r="B28"/>
      <c r="C28" t="inlineStr">
        <is>
          <t>默认分组</t>
        </is>
      </c>
      <c r="D28"/>
      <c r="E28"/>
      <c r="F28" t="inlineStr">
        <is>
          <t>Decay</t>
        </is>
      </c>
      <c r="G28" t="inlineStr">
        <is>
          <t>龚政涛</t>
        </is>
      </c>
      <c r="H28" s="4">
        <v>45536.98761574074</v>
      </c>
      <c r="I28" s="4">
        <v>45571.975127314814</v>
      </c>
      <c r="J28" s="4">
        <v>45552.333333333336</v>
      </c>
      <c r="K28" s="4">
        <v>45571.975127314814</v>
      </c>
      <c r="L28">
        <v>0</v>
      </c>
      <c r="M28">
        <v>1</v>
      </c>
      <c r="N28" t="inlineStr">
        <is>
          <t>NzQxMzM4ODg5NzkxNDY2NzAwOTplNDM3ZGMyZS05MjhjLTQ4MWYtOTZkOC0zN2Y4YzgzOTBiMjg6ZWUwOTBkMDhjZDMyNTFiMDkyNjUzODMxNjFhMTE5MjM6MQ==</t>
        </is>
      </c>
      <c r="O28" t="inlineStr">
        <is>
          <t>1</t>
        </is>
      </c>
      <c r="P28" t="inlineStr">
        <is>
          <t>或签任务</t>
        </is>
      </c>
      <c r="Q28" t="inlineStr">
        <is>
          <t>0</t>
        </is>
      </c>
      <c r="R28" t="inlineStr">
        <is>
          <t>龚政涛,Decay</t>
        </is>
      </c>
      <c r="S28" s="4">
        <v>45552.333333333336</v>
      </c>
      <c r="T28" s="3" t="str">
        <f>=HYPERLINK("https://applink.feishu.cn/client/todo/task_list?guid=4d92b9af-66d1-4cd7-95d1-4b753a64ca6b", "跃入迷城")</f>
        <v>跃入迷城</v>
      </c>
      <c r="U28" t="inlineStr">
        <is>
          <t>4d92b9af-66d1-4cd7-95d1-4b753a64ca6b</t>
        </is>
      </c>
      <c r="V28" t="inlineStr">
        <is>
          <t>e437dc2e-928c-481f-96d8-37f8c8390b28</t>
        </is>
      </c>
      <c r="W28"/>
      <c r="X28" t="inlineStr">
        <is>
          <t>f1466670-d386-4f8d-ab1b-0c6fccd50f22</t>
        </is>
      </c>
      <c r="Y28"/>
      <c r="Z28" t="inlineStr">
        <is>
          <t>0.0.2</t>
        </is>
      </c>
      <c r="AA28" t="inlineStr">
        <is>
          <t>操作</t>
        </is>
      </c>
      <c r="AB28" t="inlineStr">
        <is>
          <t>已完成</t>
        </is>
      </c>
      <c r="AC28"/>
      <c r="AD28"/>
      <c r="AE28"/>
    </row>
    <row r="29" ht="25.5" customHeight="1">
      <c r="A29" s="3" t="str">
        <f>=HYPERLINK("https://applink.feishu.cn/client/todo/detail?guid=54bf9377-2530-4c03-a955-f1022cf74cf5&amp;suite_entity_num=t100044", "立体菜单UI方案")</f>
        <v>立体菜单UI方案</v>
      </c>
      <c r="B29"/>
      <c r="C29" t="inlineStr">
        <is>
          <t>默认分组</t>
        </is>
      </c>
      <c r="D29"/>
      <c r="E29"/>
      <c r="F29" t="inlineStr">
        <is>
          <t>Zoey,龚政涛</t>
        </is>
      </c>
      <c r="G29" t="inlineStr">
        <is>
          <t>龚政涛</t>
        </is>
      </c>
      <c r="H29" s="4">
        <v>45547.725324074076</v>
      </c>
      <c r="I29" s="4">
        <v>45865.93648148148</v>
      </c>
      <c r="J29" s="4"/>
      <c r="K29" s="4">
        <v>45866.68959490741</v>
      </c>
      <c r="L29">
        <v>0</v>
      </c>
      <c r="M29">
        <v>0</v>
      </c>
      <c r="N29" t="inlineStr">
        <is>
          <t>NzQxMzM4ODg5NzkxNDY2NzAwOTo1NGJmOTM3Ny0yNTMwLTRjMDMtYTk1NS1mMTAyMmNmNzRjZjU6NmFmZjdkMDg3MGIxODE1OTRhZTcyZTRiYTUxNTUwYzQ6MQ==</t>
        </is>
      </c>
      <c r="O29" t="inlineStr">
        <is>
          <t>1</t>
        </is>
      </c>
      <c r="P29" t="inlineStr">
        <is>
          <t>或签任务</t>
        </is>
      </c>
      <c r="Q29" t="inlineStr">
        <is>
          <t>0</t>
        </is>
      </c>
      <c r="R29" t="inlineStr">
        <is>
          <t>Decay,Zoey,龚政涛</t>
        </is>
      </c>
      <c r="S29" s="4"/>
      <c r="T29" s="3" t="str">
        <f>=HYPERLINK("https://applink.feishu.cn/client/todo/task_list?guid=4d92b9af-66d1-4cd7-95d1-4b753a64ca6b", "跃入迷城")</f>
        <v>跃入迷城</v>
      </c>
      <c r="U29" t="inlineStr">
        <is>
          <t>4d92b9af-66d1-4cd7-95d1-4b753a64ca6b</t>
        </is>
      </c>
      <c r="V29" t="inlineStr">
        <is>
          <t>54bf9377-2530-4c03-a955-f1022cf74cf5</t>
        </is>
      </c>
      <c r="W29"/>
      <c r="X29"/>
      <c r="Y29"/>
      <c r="Z29" t="inlineStr">
        <is>
          <t>0.0.5</t>
        </is>
      </c>
      <c r="AA29" t="inlineStr">
        <is>
          <t>UIUX</t>
        </is>
      </c>
      <c r="AB29" t="inlineStr">
        <is>
          <t>已废弃</t>
        </is>
      </c>
      <c r="AC29" t="inlineStr">
        <is>
          <t>P1 - Bigger the Better</t>
        </is>
      </c>
      <c r="AD29"/>
      <c r="AE29"/>
    </row>
    <row r="30" ht="25.5" customHeight="1">
      <c r="A30" s="3" t="str">
        <f>=HYPERLINK("https://applink.feishu.cn/client/todo/detail?guid=3d2cbd3a-9d50-44a2-a249-1da2b7921bfd&amp;suite_entity_num=t100051", "v0.0.2 - 版本复盘")</f>
        <v>v0.0.2 - 版本复盘</v>
      </c>
      <c r="B30"/>
      <c r="C30" t="inlineStr">
        <is>
          <t>默认分组</t>
        </is>
      </c>
      <c r="D30"/>
      <c r="E30"/>
      <c r="F30"/>
      <c r="G30" t="inlineStr">
        <is>
          <t>龚政涛</t>
        </is>
      </c>
      <c r="H30" s="4">
        <v>45547.761412037034</v>
      </c>
      <c r="I30" s="4">
        <v>45595.62613425926</v>
      </c>
      <c r="J30" s="4">
        <v>45584.333333333336</v>
      </c>
      <c r="K30" s="4">
        <v>45595.62615740741</v>
      </c>
      <c r="L30">
        <v>0</v>
      </c>
      <c r="M30">
        <v>0</v>
      </c>
      <c r="N30" t="inlineStr">
        <is>
          <t>NzQxMzM4ODg5NzkxNDY2NzAwOTozZDJjYmQzYS05ZDUwLTQ0YTItYTI0OS0xZGEyYjc5MjFiZmQ6M2MwNjNmZTliMWJlOGVlYWVhMjczOTM3ODM5NzdmYWM6MQ==</t>
        </is>
      </c>
      <c r="O30" t="inlineStr">
        <is>
          <t>1</t>
        </is>
      </c>
      <c r="P30" t="inlineStr">
        <is>
          <t>或签任务</t>
        </is>
      </c>
      <c r="Q30" t="inlineStr">
        <is>
          <t>1</t>
        </is>
      </c>
      <c r="R30" t="inlineStr">
        <is>
          <t>龚政涛</t>
        </is>
      </c>
      <c r="S30" s="4">
        <v>45584.333333333336</v>
      </c>
      <c r="T30" s="3" t="str">
        <f>=HYPERLINK("https://applink.feishu.cn/client/todo/task_list?guid=4d92b9af-66d1-4cd7-95d1-4b753a64ca6b", "跃入迷城")</f>
        <v>跃入迷城</v>
      </c>
      <c r="U30" t="inlineStr">
        <is>
          <t>4d92b9af-66d1-4cd7-95d1-4b753a64ca6b</t>
        </is>
      </c>
      <c r="V30" t="inlineStr">
        <is>
          <t>3d2cbd3a-9d50-44a2-a249-1da2b7921bfd</t>
        </is>
      </c>
      <c r="W30"/>
      <c r="X30"/>
      <c r="Y30"/>
      <c r="Z30" t="inlineStr">
        <is>
          <t>0.0.2</t>
        </is>
      </c>
      <c r="AA30" t="inlineStr">
        <is>
          <t>项目管理</t>
        </is>
      </c>
      <c r="AB30" t="inlineStr">
        <is>
          <t>已完成</t>
        </is>
      </c>
      <c r="AC30"/>
      <c r="AD30"/>
      <c r="AE30"/>
    </row>
    <row r="31" ht="25.5" customHeight="1">
      <c r="A31" s="3" t="str">
        <f>=HYPERLINK("https://applink.feishu.cn/client/todo/detail?guid=27142034-3781-4725-865b-1c4a41789f9f&amp;suite_entity_num=t100005", "大部份材质会共用一个master材质")</f>
        <v>大部份材质会共用一个master材质</v>
      </c>
      <c r="B31"/>
      <c r="C31" t="inlineStr">
        <is>
          <t>默认分组</t>
        </is>
      </c>
      <c r="D31"/>
      <c r="E31"/>
      <c r="F31" t="inlineStr">
        <is>
          <t>Decay</t>
        </is>
      </c>
      <c r="G31" t="inlineStr">
        <is>
          <t>龚政涛</t>
        </is>
      </c>
      <c r="H31" s="4">
        <v>45536.492476851854</v>
      </c>
      <c r="I31" s="4">
        <v>45547.75636574074</v>
      </c>
      <c r="J31" s="4">
        <v>45545.333333333336</v>
      </c>
      <c r="K31" s="4">
        <v>45548.41856481481</v>
      </c>
      <c r="L31">
        <v>0</v>
      </c>
      <c r="M31">
        <v>0</v>
      </c>
      <c r="N31" t="inlineStr">
        <is>
          <t>NzQxMzM4ODg5NzkxNDY2NzAwOToyNzE0MjAzNC0zNzgxLTQ3MjUtODY1Yi0xYzRhNDE3ODlmOWY6NDBkMGM2YmUwMWZiMTI3YjRhODRhMjVjYjcxNzk2MTg6MQ==</t>
        </is>
      </c>
      <c r="O31" t="inlineStr">
        <is>
          <t>1</t>
        </is>
      </c>
      <c r="P31" t="inlineStr">
        <is>
          <t>或签任务</t>
        </is>
      </c>
      <c r="Q31" t="inlineStr">
        <is>
          <t>0</t>
        </is>
      </c>
      <c r="R31" t="inlineStr">
        <is>
          <t>Decay,龚政涛</t>
        </is>
      </c>
      <c r="S31" s="4"/>
      <c r="T31" s="3" t="str">
        <f>=HYPERLINK("https://applink.feishu.cn/client/todo/task_list?guid=4d92b9af-66d1-4cd7-95d1-4b753a64ca6b", "跃入迷城")</f>
        <v>跃入迷城</v>
      </c>
      <c r="U31" t="inlineStr">
        <is>
          <t>4d92b9af-66d1-4cd7-95d1-4b753a64ca6b</t>
        </is>
      </c>
      <c r="V31" t="inlineStr">
        <is>
          <t>27142034-3781-4725-865b-1c4a41789f9f</t>
        </is>
      </c>
      <c r="W31"/>
      <c r="X31" t="inlineStr">
        <is>
          <t>bd74f899-e0ad-4862-b16d-51a00353a186</t>
        </is>
      </c>
      <c r="Y31"/>
      <c r="Z31" t="inlineStr">
        <is>
          <t>0.0.2</t>
        </is>
      </c>
      <c r="AA31" t="inlineStr">
        <is>
          <t>平面美术</t>
        </is>
      </c>
      <c r="AB31" t="inlineStr">
        <is>
          <t>已完成</t>
        </is>
      </c>
      <c r="AC31"/>
      <c r="AD31"/>
      <c r="AE31"/>
    </row>
    <row r="32" ht="25.5" customHeight="1">
      <c r="A32" s="3" t="str">
        <f>=HYPERLINK("https://applink.feishu.cn/client/todo/detail?guid=6194a64d-17dc-43ec-ba43-61980f92dc8f&amp;suite_entity_num=t100015", "调整shader细节")</f>
        <v>调整shader细节</v>
      </c>
      <c r="B32"/>
      <c r="C32" t="inlineStr">
        <is>
          <t>默认分组</t>
        </is>
      </c>
      <c r="D32"/>
      <c r="E32"/>
      <c r="F32" t="inlineStr">
        <is>
          <t>龚政涛,Decay</t>
        </is>
      </c>
      <c r="G32" t="inlineStr">
        <is>
          <t>龚政涛</t>
        </is>
      </c>
      <c r="H32" s="4">
        <v>45536.9778125</v>
      </c>
      <c r="I32" s="4">
        <v>45651.62347222222</v>
      </c>
      <c r="J32" s="4"/>
      <c r="K32" s="4">
        <v>45651.623449074075</v>
      </c>
      <c r="L32">
        <v>0</v>
      </c>
      <c r="M32">
        <v>0</v>
      </c>
      <c r="N32" t="inlineStr">
        <is>
          <t>NzQxMzM4ODg5NzkxNDY2NzAwOTo2MTk0YTY0ZC0xN2RjLTQzZWMtYmE0My02MTk4MGY5MmRjOGY6NTg4YjQxZWYwMmQxMzE5ZTUyYWQ2Y2VhNDZiNGVlNTc6MQ==</t>
        </is>
      </c>
      <c r="O32" t="inlineStr">
        <is>
          <t>1</t>
        </is>
      </c>
      <c r="P32" t="inlineStr">
        <is>
          <t>或签任务</t>
        </is>
      </c>
      <c r="Q32" t="inlineStr">
        <is>
          <t>0</t>
        </is>
      </c>
      <c r="R32" t="inlineStr">
        <is>
          <t>龚政涛,Joyce Jiao,Decay</t>
        </is>
      </c>
      <c r="S32" s="4"/>
      <c r="T32" s="3" t="str">
        <f>=HYPERLINK("https://applink.feishu.cn/client/todo/task_list?guid=4d92b9af-66d1-4cd7-95d1-4b753a64ca6b", "跃入迷城")</f>
        <v>跃入迷城</v>
      </c>
      <c r="U32" t="inlineStr">
        <is>
          <t>4d92b9af-66d1-4cd7-95d1-4b753a64ca6b</t>
        </is>
      </c>
      <c r="V32" t="inlineStr">
        <is>
          <t>6194a64d-17dc-43ec-ba43-61980f92dc8f</t>
        </is>
      </c>
      <c r="W32"/>
      <c r="X32"/>
      <c r="Y32"/>
      <c r="Z32" t="inlineStr">
        <is>
          <t>0.0.3</t>
        </is>
      </c>
      <c r="AA32" t="inlineStr">
        <is>
          <t>平面美术</t>
        </is>
      </c>
      <c r="AB32" t="inlineStr">
        <is>
          <t>已废弃</t>
        </is>
      </c>
      <c r="AC32" t="inlineStr">
        <is>
          <t>P2 - Nice to Have</t>
        </is>
      </c>
      <c r="AD32"/>
      <c r="AE32"/>
    </row>
    <row r="33" ht="25.5" customHeight="1">
      <c r="A33" s="3" t="str">
        <f>=HYPERLINK("https://applink.feishu.cn/client/todo/detail?guid=a23df65f-9e38-47b7-8991-536a2f02145f&amp;suite_entity_num=t100037", "使用Twine进行测试")</f>
        <v>使用Twine进行测试</v>
      </c>
      <c r="B33"/>
      <c r="C33" t="inlineStr">
        <is>
          <t>默认分组</t>
        </is>
      </c>
      <c r="D33"/>
      <c r="E33"/>
      <c r="F33" t="inlineStr">
        <is>
          <t>Jade,龚政涛,Serein</t>
        </is>
      </c>
      <c r="G33" t="inlineStr">
        <is>
          <t>龚政涛</t>
        </is>
      </c>
      <c r="H33" s="4">
        <v>45538.94174768519</v>
      </c>
      <c r="I33" s="4">
        <v>45551.834710648145</v>
      </c>
      <c r="J33" s="4">
        <v>45540.333333333336</v>
      </c>
      <c r="K33" s="4">
        <v>45727.476643518516</v>
      </c>
      <c r="L33">
        <v>0</v>
      </c>
      <c r="M33">
        <v>1</v>
      </c>
      <c r="N33" t="inlineStr">
        <is>
          <t>NzQxMzM4ODg5NzkxNDY2NzAwOTphMjNkZjY1Zi05ZTM4LTQ3YjctODk5MS01MzZhMmYwMjE0NWY6MzcyNjAxNmJhNDI3MGFmYmNkOWRlZmFkNzJhMWJjODk6MQ==</t>
        </is>
      </c>
      <c r="O33" t="inlineStr">
        <is>
          <t>1</t>
        </is>
      </c>
      <c r="P33" t="inlineStr">
        <is>
          <t>或签任务</t>
        </is>
      </c>
      <c r="Q33" t="inlineStr">
        <is>
          <t>0</t>
        </is>
      </c>
      <c r="R33" t="inlineStr">
        <is>
          <t>龚政涛,Jade,Joyce Jiao,Serein</t>
        </is>
      </c>
      <c r="S33" s="4"/>
      <c r="T33" s="3" t="str">
        <f>=HYPERLINK("https://applink.feishu.cn/client/todo/task_list?guid=4d92b9af-66d1-4cd7-95d1-4b753a64ca6b", "跃入迷城")</f>
        <v>跃入迷城</v>
      </c>
      <c r="U33" t="inlineStr">
        <is>
          <t>4d92b9af-66d1-4cd7-95d1-4b753a64ca6b</t>
        </is>
      </c>
      <c r="V33" t="inlineStr">
        <is>
          <t>a23df65f-9e38-47b7-8991-536a2f02145f</t>
        </is>
      </c>
      <c r="W33"/>
      <c r="X33"/>
      <c r="Y33"/>
      <c r="Z33" t="inlineStr">
        <is>
          <t>0.0.2</t>
        </is>
      </c>
      <c r="AA33" t="inlineStr">
        <is>
          <t>剧本</t>
        </is>
      </c>
      <c r="AB33" t="inlineStr">
        <is>
          <t>已完成</t>
        </is>
      </c>
      <c r="AC33" t="inlineStr">
        <is>
          <t>P2 - Nice to Have</t>
        </is>
      </c>
      <c r="AD33"/>
      <c r="AE33"/>
    </row>
    <row r="34" ht="25.5" customHeight="1">
      <c r="A34" s="3" t="str">
        <f>=HYPERLINK("https://applink.feishu.cn/client/todo/detail?guid=bd74f899-e0ad-4862-b16d-51a00353a186&amp;suite_entity_num=t100013", "出一个程序员审美版本的shader功能")</f>
        <v>出一个程序员审美版本的shader功能</v>
      </c>
      <c r="B34"/>
      <c r="C34" t="inlineStr">
        <is>
          <t>默认分组</t>
        </is>
      </c>
      <c r="D34"/>
      <c r="E34"/>
      <c r="F34" t="inlineStr">
        <is>
          <t>Decay</t>
        </is>
      </c>
      <c r="G34" t="inlineStr">
        <is>
          <t>龚政涛</t>
        </is>
      </c>
      <c r="H34" s="4">
        <v>45536.97599537037</v>
      </c>
      <c r="I34" s="4">
        <v>45547.75475694444</v>
      </c>
      <c r="J34" s="4">
        <v>45546.333333333336</v>
      </c>
      <c r="K34" s="4">
        <v>45548.418587962966</v>
      </c>
      <c r="L34">
        <v>0</v>
      </c>
      <c r="M34">
        <v>0</v>
      </c>
      <c r="N34" t="inlineStr">
        <is>
          <t>NzQxMzM4ODg5NzkxNDY2NzAwOTpiZDc0Zjg5OS1lMGFkLTQ4NjItYjE2ZC01MWEwMDM1M2ExODY6MGMxN2NlZjdhODczNTNiMjZhOTRiMzAzZjAxY2QwMjM6MQ==</t>
        </is>
      </c>
      <c r="O34" t="inlineStr">
        <is>
          <t>1</t>
        </is>
      </c>
      <c r="P34" t="inlineStr">
        <is>
          <t>或签任务</t>
        </is>
      </c>
      <c r="Q34" t="inlineStr">
        <is>
          <t>0</t>
        </is>
      </c>
      <c r="R34" t="inlineStr">
        <is>
          <t>龚政涛,Decay</t>
        </is>
      </c>
      <c r="S34" s="4"/>
      <c r="T34" s="3" t="str">
        <f>=HYPERLINK("https://applink.feishu.cn/client/todo/task_list?guid=4d92b9af-66d1-4cd7-95d1-4b753a64ca6b", "跃入迷城")</f>
        <v>跃入迷城</v>
      </c>
      <c r="U34" t="inlineStr">
        <is>
          <t>4d92b9af-66d1-4cd7-95d1-4b753a64ca6b</t>
        </is>
      </c>
      <c r="V34" t="inlineStr">
        <is>
          <t>bd74f899-e0ad-4862-b16d-51a00353a186</t>
        </is>
      </c>
      <c r="W34" t="inlineStr">
        <is>
          <t>27142034-3781-4725-865b-1c4a41789f9f</t>
        </is>
      </c>
      <c r="X34"/>
      <c r="Y34"/>
      <c r="Z34" t="inlineStr">
        <is>
          <t>0.0.2</t>
        </is>
      </c>
      <c r="AA34" t="inlineStr">
        <is>
          <t>平面美术</t>
        </is>
      </c>
      <c r="AB34" t="inlineStr">
        <is>
          <t>已完成</t>
        </is>
      </c>
      <c r="AC34"/>
      <c r="AD34"/>
      <c r="AE34"/>
    </row>
    <row r="35" ht="25.5" customHeight="1">
      <c r="A35" s="3" t="str">
        <f>=HYPERLINK("https://applink.feishu.cn/client/todo/detail?guid=c5e43c49-af72-4158-be59-5ef5ff067295&amp;suite_entity_num=t100028", "购买只能操作{1}次，并且在关卡锁定后无法再次操作")</f>
        <v>购买只能操作{1}次，并且在关卡锁定后无法再次操作</v>
      </c>
      <c r="B35"/>
      <c r="C35" t="inlineStr">
        <is>
          <t>默认分组</t>
        </is>
      </c>
      <c r="D35"/>
      <c r="E35"/>
      <c r="F35" t="inlineStr">
        <is>
          <t>Decay</t>
        </is>
      </c>
      <c r="G35" t="inlineStr">
        <is>
          <t>龚政涛</t>
        </is>
      </c>
      <c r="H35" s="4">
        <v>45536.990636574075</v>
      </c>
      <c r="I35" s="4">
        <v>45709.4533912037</v>
      </c>
      <c r="J35" s="4">
        <v>45572.333333333336</v>
      </c>
      <c r="K35" s="4">
        <v>45709.45333333333</v>
      </c>
      <c r="L35">
        <v>0</v>
      </c>
      <c r="M35">
        <v>2</v>
      </c>
      <c r="N35" t="inlineStr">
        <is>
          <t>NzQxMzM4ODg5NzkxNDY2NzAwOTpjNWU0M2M0OS1hZjcyLTQxNTgtYmU1OS01ZWY1ZmYwNjcyOTU6MzgwMWY1YWJiMDg1YWIyZGVlM2QzNGEyOTgyYjAyNzI6MQ==</t>
        </is>
      </c>
      <c r="O35" t="inlineStr">
        <is>
          <t>1</t>
        </is>
      </c>
      <c r="P35" t="inlineStr">
        <is>
          <t>或签任务</t>
        </is>
      </c>
      <c r="Q35" t="inlineStr">
        <is>
          <t>0</t>
        </is>
      </c>
      <c r="R35" t="inlineStr">
        <is>
          <t>Decay,龚政涛</t>
        </is>
      </c>
      <c r="S35" s="4">
        <v>45572.333333333336</v>
      </c>
      <c r="T35" s="3" t="str">
        <f>=HYPERLINK("https://applink.feishu.cn/client/todo/task_list?guid=4d92b9af-66d1-4cd7-95d1-4b753a64ca6b", "跃入迷城")</f>
        <v>跃入迷城</v>
      </c>
      <c r="U35" t="inlineStr">
        <is>
          <t>4d92b9af-66d1-4cd7-95d1-4b753a64ca6b</t>
        </is>
      </c>
      <c r="V35" t="inlineStr">
        <is>
          <t>c5e43c49-af72-4158-be59-5ef5ff067295</t>
        </is>
      </c>
      <c r="W35"/>
      <c r="X35" t="inlineStr">
        <is>
          <t>a868512d-797a-493b-8c90-235dbe6d592c</t>
        </is>
      </c>
      <c r="Y35"/>
      <c r="Z35" t="inlineStr">
        <is>
          <t>0.0.2</t>
        </is>
      </c>
      <c r="AA35" t="inlineStr">
        <is>
          <t>操作</t>
        </is>
      </c>
      <c r="AB35" t="inlineStr">
        <is>
          <t>已废弃</t>
        </is>
      </c>
      <c r="AC35" t="inlineStr">
        <is>
          <t>P2 - Nice to Have</t>
        </is>
      </c>
      <c r="AD35"/>
      <c r="AE35"/>
    </row>
    <row r="36" ht="25.5" customHeight="1">
      <c r="A36" s="3" t="str">
        <f>=HYPERLINK("https://applink.feishu.cn/client/todo/detail?guid=12761e91-c66d-4ef1-8647-4e9d5b4ca936&amp;suite_entity_num=t100050", "v0.0.2 - 开发结束")</f>
        <v>v0.0.2 - 开发结束</v>
      </c>
      <c r="B36"/>
      <c r="C36" t="inlineStr">
        <is>
          <t>默认分组</t>
        </is>
      </c>
      <c r="D36"/>
      <c r="E36"/>
      <c r="F36"/>
      <c r="G36" t="inlineStr">
        <is>
          <t>龚政涛</t>
        </is>
      </c>
      <c r="H36" s="4">
        <v>45547.75991898148</v>
      </c>
      <c r="I36" s="4">
        <v>45595.623877314814</v>
      </c>
      <c r="J36" s="4">
        <v>45577.333333333336</v>
      </c>
      <c r="K36" s="4">
        <v>45727.47657407408</v>
      </c>
      <c r="L36">
        <v>0</v>
      </c>
      <c r="M36">
        <v>0</v>
      </c>
      <c r="N36" t="inlineStr">
        <is>
          <t>NzQxMzM4ODg5NzkxNDY2NzAwOToxMjc2MWU5MS1jNjZkLTRlZjEtODY0Ny00ZTlkNWI0Y2E5MzY6YjY4ZGI2YWQ3N2Y5M2M4ZWQ0Y2I3NzcwMWRlYmYyYWM6MQ==</t>
        </is>
      </c>
      <c r="O36" t="inlineStr">
        <is>
          <t>1</t>
        </is>
      </c>
      <c r="P36" t="inlineStr">
        <is>
          <t>或签任务</t>
        </is>
      </c>
      <c r="Q36" t="inlineStr">
        <is>
          <t>1</t>
        </is>
      </c>
      <c r="R36" t="inlineStr">
        <is>
          <t>龚政涛</t>
        </is>
      </c>
      <c r="S36" s="4">
        <v>45577.333333333336</v>
      </c>
      <c r="T36" s="3" t="str">
        <f>=HYPERLINK("https://applink.feishu.cn/client/todo/task_list?guid=4d92b9af-66d1-4cd7-95d1-4b753a64ca6b", "跃入迷城")</f>
        <v>跃入迷城</v>
      </c>
      <c r="U36" t="inlineStr">
        <is>
          <t>4d92b9af-66d1-4cd7-95d1-4b753a64ca6b</t>
        </is>
      </c>
      <c r="V36" t="inlineStr">
        <is>
          <t>12761e91-c66d-4ef1-8647-4e9d5b4ca936</t>
        </is>
      </c>
      <c r="W36"/>
      <c r="X36"/>
      <c r="Y36"/>
      <c r="Z36" t="inlineStr">
        <is>
          <t>0.0.2</t>
        </is>
      </c>
      <c r="AA36" t="inlineStr">
        <is>
          <t>项目管理</t>
        </is>
      </c>
      <c r="AB36" t="inlineStr">
        <is>
          <t>已完成</t>
        </is>
      </c>
      <c r="AC36" t="inlineStr">
        <is>
          <t>P0 - Must (not) Have</t>
        </is>
      </c>
      <c r="AD36"/>
      <c r="AE36"/>
    </row>
    <row r="37" ht="25.5" customHeight="1">
      <c r="A37" s="3" t="str">
        <f>=HYPERLINK("https://applink.feishu.cn/client/todo/detail?guid=65c52b9d-8289-4aff-a882-007f44253d5b&amp;suite_entity_num=t100046", "字体：需要统一明确")</f>
        <v>字体：需要统一明确</v>
      </c>
      <c r="B37"/>
      <c r="C37" t="inlineStr">
        <is>
          <t>默认分组</t>
        </is>
      </c>
      <c r="D37"/>
      <c r="E37"/>
      <c r="F37" t="inlineStr">
        <is>
          <t>Zoey,龚政涛</t>
        </is>
      </c>
      <c r="G37" t="inlineStr">
        <is>
          <t>龚政涛</t>
        </is>
      </c>
      <c r="H37" s="4">
        <v>45547.72591435185</v>
      </c>
      <c r="I37" s="4">
        <v>45719.58064814815</v>
      </c>
      <c r="J37" s="4"/>
      <c r="K37" s="4">
        <v>45719.58064814815</v>
      </c>
      <c r="L37">
        <v>0</v>
      </c>
      <c r="M37">
        <v>0</v>
      </c>
      <c r="N37" t="inlineStr">
        <is>
          <t>NzQxMzM4ODg5NzkxNDY2NzAwOTo2NWM1MmI5ZC04Mjg5LTRhZmYtYTg4Mi0wMDdmNDQyNTNkNWI6YTAyMjkyMDlhZjA2ZmZhZDYyYTdiMGU5MTgwMmZlZmE6MQ==</t>
        </is>
      </c>
      <c r="O37" t="inlineStr">
        <is>
          <t>1</t>
        </is>
      </c>
      <c r="P37" t="inlineStr">
        <is>
          <t>或签任务</t>
        </is>
      </c>
      <c r="Q37" t="inlineStr">
        <is>
          <t>0</t>
        </is>
      </c>
      <c r="R37" t="inlineStr">
        <is>
          <t>龚政涛,Zoey</t>
        </is>
      </c>
      <c r="S37" s="4"/>
      <c r="T37" s="3" t="str">
        <f>=HYPERLINK("https://applink.feishu.cn/client/todo/task_list?guid=4d92b9af-66d1-4cd7-95d1-4b753a64ca6b", "跃入迷城")</f>
        <v>跃入迷城</v>
      </c>
      <c r="U37" t="inlineStr">
        <is>
          <t>4d92b9af-66d1-4cd7-95d1-4b753a64ca6b</t>
        </is>
      </c>
      <c r="V37" t="inlineStr">
        <is>
          <t>65c52b9d-8289-4aff-a882-007f44253d5b</t>
        </is>
      </c>
      <c r="W37"/>
      <c r="X37"/>
      <c r="Y37"/>
      <c r="Z37" t="inlineStr">
        <is>
          <t>0.1.0</t>
        </is>
      </c>
      <c r="AA37" t="inlineStr">
        <is>
          <t>UIUX</t>
        </is>
      </c>
      <c r="AB37" t="inlineStr">
        <is>
          <t>已废弃</t>
        </is>
      </c>
      <c r="AC37"/>
      <c r="AD37"/>
      <c r="AE37"/>
    </row>
    <row r="38" ht="25.5" customHeight="1">
      <c r="A38" s="3" t="str">
        <f>=HYPERLINK("https://applink.feishu.cn/client/todo/detail?guid=9a7ed290-7043-4b49-a00e-836990065863&amp;suite_entity_num=t100036", "撰写全部主线&amp;某些支线剧情大纲")</f>
        <v>撰写全部主线&amp;某些支线剧情大纲</v>
      </c>
      <c r="B38"/>
      <c r="C38" t="inlineStr">
        <is>
          <t>默认分组</t>
        </is>
      </c>
      <c r="D38"/>
      <c r="E38"/>
      <c r="F38" t="inlineStr">
        <is>
          <t>龚政涛,Jade,Serein</t>
        </is>
      </c>
      <c r="G38" t="inlineStr">
        <is>
          <t>龚政涛</t>
        </is>
      </c>
      <c r="H38" s="4">
        <v>45538.94174768519</v>
      </c>
      <c r="I38" s="4">
        <v>45622.64244212963</v>
      </c>
      <c r="J38" s="4">
        <v>45622.333333333336</v>
      </c>
      <c r="K38" s="4">
        <v>45622.64244212963</v>
      </c>
      <c r="L38">
        <v>0</v>
      </c>
      <c r="M38">
        <v>1</v>
      </c>
      <c r="N38" t="inlineStr">
        <is>
          <t>NzQxMzM4ODg5NzkxNDY2NzAwOTo5YTdlZDI5MC03MDQzLTRiNDktYTAwZS04MzY5OTAwNjU4NjM6OTYzMTBjMjc5YWNiOTQ4NGZiYzVjZDQ2NmZmNGUxNjg6MQ==</t>
        </is>
      </c>
      <c r="O38" t="inlineStr">
        <is>
          <t>1</t>
        </is>
      </c>
      <c r="P38" t="inlineStr">
        <is>
          <t>或签任务</t>
        </is>
      </c>
      <c r="Q38" t="inlineStr">
        <is>
          <t>0</t>
        </is>
      </c>
      <c r="R38" t="inlineStr">
        <is>
          <t>龚政涛,Jade,Serein</t>
        </is>
      </c>
      <c r="S38" s="4"/>
      <c r="T38" s="3" t="str">
        <f>=HYPERLINK("https://applink.feishu.cn/client/todo/task_list?guid=4d92b9af-66d1-4cd7-95d1-4b753a64ca6b", "跃入迷城")</f>
        <v>跃入迷城</v>
      </c>
      <c r="U38" t="inlineStr">
        <is>
          <t>4d92b9af-66d1-4cd7-95d1-4b753a64ca6b</t>
        </is>
      </c>
      <c r="V38" t="inlineStr">
        <is>
          <t>9a7ed290-7043-4b49-a00e-836990065863</t>
        </is>
      </c>
      <c r="W38"/>
      <c r="X38"/>
      <c r="Y38"/>
      <c r="Z38" t="inlineStr">
        <is>
          <t>0.0.3</t>
        </is>
      </c>
      <c r="AA38" t="inlineStr">
        <is>
          <t>剧本</t>
        </is>
      </c>
      <c r="AB38" t="inlineStr">
        <is>
          <t>工作中</t>
        </is>
      </c>
      <c r="AC38" t="inlineStr">
        <is>
          <t>P0 - Must (not) Have</t>
        </is>
      </c>
      <c r="AD38"/>
      <c r="AE38"/>
    </row>
    <row r="39" ht="25.5" customHeight="1">
      <c r="A39" s="3" t="str">
        <f>=HYPERLINK("https://applink.feishu.cn/client/todo/detail?guid=4911fb26-2321-4bd0-b0a3-38397db07ae4&amp;suite_entity_num=t100047", "武器只有主动，义体只有被动")</f>
        <v>武器只有主动，义体只有被动</v>
      </c>
      <c r="B39"/>
      <c r="C39" t="inlineStr">
        <is>
          <t>默认分组</t>
        </is>
      </c>
      <c r="D39"/>
      <c r="E39"/>
      <c r="F39" t="inlineStr">
        <is>
          <t>Decay</t>
        </is>
      </c>
      <c r="G39" t="inlineStr">
        <is>
          <t>龚政涛</t>
        </is>
      </c>
      <c r="H39" s="4">
        <v>45547.73820601852</v>
      </c>
      <c r="I39" s="4">
        <v>45549.01201388889</v>
      </c>
      <c r="J39" s="4">
        <v>45557.333333333336</v>
      </c>
      <c r="K39" s="4">
        <v>45571.990439814814</v>
      </c>
      <c r="L39">
        <v>0</v>
      </c>
      <c r="M39">
        <v>4</v>
      </c>
      <c r="N39" t="inlineStr">
        <is>
          <t>NzQxMzM4ODg5NzkxNDY2NzAwOTo0OTExZmIyNi0yMzIxLTRiZDAtYjBhMy0zODM5N2RiMDdhZTQ6ZWI5ZDY4NzEzNWQ4ZGYxY2E1N2NmMGRkM2NlY2RkMjY6MQ==</t>
        </is>
      </c>
      <c r="O39" t="inlineStr">
        <is>
          <t>1</t>
        </is>
      </c>
      <c r="P39" t="inlineStr">
        <is>
          <t>或签任务</t>
        </is>
      </c>
      <c r="Q39" t="inlineStr">
        <is>
          <t>0</t>
        </is>
      </c>
      <c r="R39" t="inlineStr">
        <is>
          <t>龚政涛,Decay</t>
        </is>
      </c>
      <c r="S39" s="4">
        <v>45557.333333333336</v>
      </c>
      <c r="T39" s="3" t="str">
        <f>=HYPERLINK("https://applink.feishu.cn/client/todo/task_list?guid=4d92b9af-66d1-4cd7-95d1-4b753a64ca6b", "跃入迷城")</f>
        <v>跃入迷城</v>
      </c>
      <c r="U39" t="inlineStr">
        <is>
          <t>4d92b9af-66d1-4cd7-95d1-4b753a64ca6b</t>
        </is>
      </c>
      <c r="V39" t="inlineStr">
        <is>
          <t>4911fb26-2321-4bd0-b0a3-38397db07ae4</t>
        </is>
      </c>
      <c r="W39"/>
      <c r="X39"/>
      <c r="Y39"/>
      <c r="Z39" t="inlineStr">
        <is>
          <t>0.0.2</t>
        </is>
      </c>
      <c r="AA39" t="inlineStr">
        <is>
          <t>操作</t>
        </is>
      </c>
      <c r="AB39" t="inlineStr">
        <is>
          <t>已废弃</t>
        </is>
      </c>
      <c r="AC39"/>
      <c r="AD39"/>
      <c r="AE39"/>
    </row>
    <row r="40" ht="25.5" customHeight="1">
      <c r="A40" s="3" t="str">
        <f>=HYPERLINK("https://applink.feishu.cn/client/todo/detail?guid=b7cfccc1-156b-42a0-a1b2-09a78bb5222d&amp;suite_entity_num=t100065", "风格化paint over")</f>
        <v>风格化paint over</v>
      </c>
      <c r="B40"/>
      <c r="C40" t="inlineStr">
        <is>
          <t>默认分组</t>
        </is>
      </c>
      <c r="D40"/>
      <c r="E40"/>
      <c r="F40" t="inlineStr">
        <is>
          <t>Ke Huang</t>
        </is>
      </c>
      <c r="G40" t="inlineStr">
        <is>
          <t>龚政涛</t>
        </is>
      </c>
      <c r="H40" s="4">
        <v>45547.96219907407</v>
      </c>
      <c r="I40" s="4">
        <v>45709.46238425926</v>
      </c>
      <c r="J40" s="4">
        <v>45599.333333333336</v>
      </c>
      <c r="K40" s="4">
        <v>45709.462326388886</v>
      </c>
      <c r="L40">
        <v>0</v>
      </c>
      <c r="M40">
        <v>1</v>
      </c>
      <c r="N40" t="inlineStr">
        <is>
          <t>NzQxMzM4ODg5NzkxNDY2NzAwOTpiN2NmY2NjMS0xNTZiLTQyYTAtYTFiMi0wOWE3OGJiNTIyMmQ6MzIwZDFmMmM5MjI2Yzg0NTJjMzIwM2Q3MGIzN2MxM2M6MQ==</t>
        </is>
      </c>
      <c r="O40" t="inlineStr">
        <is>
          <t>1</t>
        </is>
      </c>
      <c r="P40" t="inlineStr">
        <is>
          <t>或签任务</t>
        </is>
      </c>
      <c r="Q40" t="inlineStr">
        <is>
          <t>0</t>
        </is>
      </c>
      <c r="R40" t="inlineStr">
        <is>
          <t>龚政涛,Ke Huang</t>
        </is>
      </c>
      <c r="S40" s="4">
        <v>45546.333333333336</v>
      </c>
      <c r="T40" s="3" t="str">
        <f>=HYPERLINK("https://applink.feishu.cn/client/todo/task_list?guid=4d92b9af-66d1-4cd7-95d1-4b753a64ca6b", "跃入迷城")</f>
        <v>跃入迷城</v>
      </c>
      <c r="U40" t="inlineStr">
        <is>
          <t>4d92b9af-66d1-4cd7-95d1-4b753a64ca6b</t>
        </is>
      </c>
      <c r="V40" t="inlineStr">
        <is>
          <t>b7cfccc1-156b-42a0-a1b2-09a78bb5222d</t>
        </is>
      </c>
      <c r="W40"/>
      <c r="X40" t="inlineStr">
        <is>
          <t>c3f5ce16-4bd6-4887-95cb-23b5aa8b72b7</t>
        </is>
      </c>
      <c r="Y40"/>
      <c r="Z40" t="inlineStr">
        <is>
          <t>0.0.4</t>
        </is>
      </c>
      <c r="AA40" t="inlineStr">
        <is>
          <t>平面美术</t>
        </is>
      </c>
      <c r="AB40" t="inlineStr">
        <is>
          <t>已完成</t>
        </is>
      </c>
      <c r="AC40" t="inlineStr">
        <is>
          <t>P0 - Must (not) Have</t>
        </is>
      </c>
      <c r="AD40"/>
      <c r="AE40"/>
    </row>
    <row r="41" ht="25.5" customHeight="1">
      <c r="A41" s="3" t="str">
        <f>=HYPERLINK("https://applink.feishu.cn/client/todo/detail?guid=02d674fa-120d-4427-bc7f-95ce553e5b4f&amp;suite_entity_num=t100064", "字体的场景定义")</f>
        <v>字体的场景定义</v>
      </c>
      <c r="B41"/>
      <c r="C41" t="inlineStr">
        <is>
          <t>默认分组</t>
        </is>
      </c>
      <c r="D41"/>
      <c r="E41"/>
      <c r="F41" t="inlineStr">
        <is>
          <t>龚政涛</t>
        </is>
      </c>
      <c r="G41" t="inlineStr">
        <is>
          <t>龚政涛</t>
        </is>
      </c>
      <c r="H41" s="4">
        <v>45547.95482638889</v>
      </c>
      <c r="I41" s="4">
        <v>45867.49704861111</v>
      </c>
      <c r="J41" s="4">
        <v>45866.333333333336</v>
      </c>
      <c r="K41" s="4">
        <v>45867.49704861111</v>
      </c>
      <c r="L41">
        <v>0</v>
      </c>
      <c r="M41">
        <v>0</v>
      </c>
      <c r="N41" t="inlineStr">
        <is>
          <t>NzQxMzM4ODg5NzkxNDY2NzAwOTowMmQ2NzRmYS0xMjBkLTQ0MjctYmM3Zi05NWNlNTUzZTViNGY6MDI2NmUxODQ4NmUzZDU0NjljZjgxM2EwZTgyMzM5ZTA6MQ==</t>
        </is>
      </c>
      <c r="O41" t="inlineStr">
        <is>
          <t>1</t>
        </is>
      </c>
      <c r="P41" t="inlineStr">
        <is>
          <t>或签任务</t>
        </is>
      </c>
      <c r="Q41" t="inlineStr">
        <is>
          <t>0</t>
        </is>
      </c>
      <c r="R41" t="inlineStr">
        <is>
          <t>龚政涛</t>
        </is>
      </c>
      <c r="S41" s="4">
        <v>45866.333333333336</v>
      </c>
      <c r="T41" s="3" t="str">
        <f>=HYPERLINK("https://applink.feishu.cn/client/todo/task_list?guid=4d92b9af-66d1-4cd7-95d1-4b753a64ca6b", "跃入迷城")</f>
        <v>跃入迷城</v>
      </c>
      <c r="U41" t="inlineStr">
        <is>
          <t>4d92b9af-66d1-4cd7-95d1-4b753a64ca6b</t>
        </is>
      </c>
      <c r="V41" t="inlineStr">
        <is>
          <t>02d674fa-120d-4427-bc7f-95ce553e5b4f</t>
        </is>
      </c>
      <c r="W41" t="inlineStr">
        <is>
          <t>c08b809c-ce26-4c9f-a6a5-b500c4266b7e</t>
        </is>
      </c>
      <c r="X41" t="inlineStr">
        <is>
          <t>f356c602-6674-45f1-9900-0a242a2920dd</t>
        </is>
      </c>
      <c r="Y41"/>
      <c r="Z41" t="inlineStr">
        <is>
          <t>0.0.5</t>
        </is>
      </c>
      <c r="AA41" t="inlineStr">
        <is>
          <t>UIUX</t>
        </is>
      </c>
      <c r="AB41" t="inlineStr">
        <is>
          <t>已拆分</t>
        </is>
      </c>
      <c r="AC41" t="inlineStr">
        <is>
          <t>P2 - Nice to Have</t>
        </is>
      </c>
      <c r="AD41" t="inlineStr">
        <is>
          <t>🎨艺术</t>
        </is>
      </c>
      <c r="AE41"/>
    </row>
    <row r="42" ht="25.5" customHeight="1">
      <c r="A42" s="3" t="str">
        <f>=HYPERLINK("https://applink.feishu.cn/client/todo/detail?guid=d170c37a-56a0-4fd0-9f34-fd3b379b5092&amp;suite_entity_num=t100056", "武器没有被动，义体没有主动")</f>
        <v>武器没有被动，义体没有主动</v>
      </c>
      <c r="B42"/>
      <c r="C42" t="inlineStr">
        <is>
          <t>默认分组</t>
        </is>
      </c>
      <c r="D42"/>
      <c r="E42"/>
      <c r="F42" t="inlineStr">
        <is>
          <t>Decay</t>
        </is>
      </c>
      <c r="G42" t="inlineStr">
        <is>
          <t>龚政涛</t>
        </is>
      </c>
      <c r="H42" s="4">
        <v>45547.95038194444</v>
      </c>
      <c r="I42" s="4">
        <v>45595.62846064815</v>
      </c>
      <c r="J42" s="4">
        <v>45588.333333333336</v>
      </c>
      <c r="K42" s="4">
        <v>45595.628483796296</v>
      </c>
      <c r="L42">
        <v>0</v>
      </c>
      <c r="M42">
        <v>1</v>
      </c>
      <c r="N42" t="inlineStr">
        <is>
          <t>NzQxMzM4ODg5NzkxNDY2NzAwOTpkMTcwYzM3YS01NmEwLTRmZDAtOWYzNC1mZDNiMzc5YjUwOTI6YjFjZGFkZjUxNTg3YzM2YzhmMzY5M2I3OGYyNGViOTI6MQ==</t>
        </is>
      </c>
      <c r="O42" t="inlineStr">
        <is>
          <t>1</t>
        </is>
      </c>
      <c r="P42" t="inlineStr">
        <is>
          <t>或签任务</t>
        </is>
      </c>
      <c r="Q42" t="inlineStr">
        <is>
          <t>0</t>
        </is>
      </c>
      <c r="R42" t="inlineStr">
        <is>
          <t>龚政涛,Decay</t>
        </is>
      </c>
      <c r="S42" s="4"/>
      <c r="T42" s="3" t="str">
        <f>=HYPERLINK("https://applink.feishu.cn/client/todo/task_list?guid=4d92b9af-66d1-4cd7-95d1-4b753a64ca6b", "跃入迷城")</f>
        <v>跃入迷城</v>
      </c>
      <c r="U42" t="inlineStr">
        <is>
          <t>4d92b9af-66d1-4cd7-95d1-4b753a64ca6b</t>
        </is>
      </c>
      <c r="V42" t="inlineStr">
        <is>
          <t>d170c37a-56a0-4fd0-9f34-fd3b379b5092</t>
        </is>
      </c>
      <c r="W42"/>
      <c r="X42"/>
      <c r="Y42"/>
      <c r="Z42" t="inlineStr">
        <is>
          <t>0.0.2</t>
        </is>
      </c>
      <c r="AA42" t="inlineStr">
        <is>
          <t>操作</t>
        </is>
      </c>
      <c r="AB42" t="inlineStr">
        <is>
          <t>已完成</t>
        </is>
      </c>
      <c r="AC42" t="inlineStr">
        <is>
          <t>P2 - Nice to Have</t>
        </is>
      </c>
      <c r="AD42"/>
      <c r="AE42"/>
    </row>
    <row r="43" ht="25.5" customHeight="1">
      <c r="A43" s="3" t="str">
        <f>=HYPERLINK("https://applink.feishu.cn/client/todo/detail?guid=dab8b9a6-774f-43ab-ba00-a61f7e44602d&amp;suite_entity_num=t100058", "追加一位UI设计师")</f>
        <v>追加一位UI设计师</v>
      </c>
      <c r="B43"/>
      <c r="C43" t="inlineStr">
        <is>
          <t>默认分组</t>
        </is>
      </c>
      <c r="D43"/>
      <c r="E43"/>
      <c r="F43" t="inlineStr">
        <is>
          <t>Zoey,龚政涛</t>
        </is>
      </c>
      <c r="G43" t="inlineStr">
        <is>
          <t>龚政涛</t>
        </is>
      </c>
      <c r="H43" s="4">
        <v>45547.95226851852</v>
      </c>
      <c r="I43" s="4">
        <v>45547.9528125</v>
      </c>
      <c r="J43" s="4"/>
      <c r="K43" s="4">
        <v>45548.42170138889</v>
      </c>
      <c r="L43">
        <v>0</v>
      </c>
      <c r="M43">
        <v>0</v>
      </c>
      <c r="N43" t="inlineStr">
        <is>
          <t>NzQxMzM4ODg5NzkxNDY2NzAwOTpkYWI4YjlhNi03NzRmLTQzYWItYmEwMC1hNjFmN2U0NDYwMmQ6MTVkNjE0NjVhOWU5YjcyNzY5NDhkMTE4NGVjNTRmODQ6MQ==</t>
        </is>
      </c>
      <c r="O43" t="inlineStr">
        <is>
          <t>1</t>
        </is>
      </c>
      <c r="P43" t="inlineStr">
        <is>
          <t>或签任务</t>
        </is>
      </c>
      <c r="Q43" t="inlineStr">
        <is>
          <t>0</t>
        </is>
      </c>
      <c r="R43" t="inlineStr">
        <is>
          <t>龚政涛,Zoey</t>
        </is>
      </c>
      <c r="S43" s="4"/>
      <c r="T43" s="3" t="str">
        <f>=HYPERLINK("https://applink.feishu.cn/client/todo/task_list?guid=4d92b9af-66d1-4cd7-95d1-4b753a64ca6b", "跃入迷城")</f>
        <v>跃入迷城</v>
      </c>
      <c r="U43" t="inlineStr">
        <is>
          <t>4d92b9af-66d1-4cd7-95d1-4b753a64ca6b</t>
        </is>
      </c>
      <c r="V43" t="inlineStr">
        <is>
          <t>dab8b9a6-774f-43ab-ba00-a61f7e44602d</t>
        </is>
      </c>
      <c r="W43"/>
      <c r="X43"/>
      <c r="Y43"/>
      <c r="Z43" t="inlineStr">
        <is>
          <t>0.0.2</t>
        </is>
      </c>
      <c r="AA43" t="inlineStr">
        <is>
          <t>UIUX</t>
        </is>
      </c>
      <c r="AB43" t="inlineStr">
        <is>
          <t>已完成</t>
        </is>
      </c>
      <c r="AC43"/>
      <c r="AD43"/>
      <c r="AE43"/>
    </row>
    <row r="44" ht="25.5" customHeight="1">
      <c r="A44" s="3" t="str">
        <f>=HYPERLINK("https://applink.feishu.cn/client/todo/detail?guid=8e9ad925-eecf-47c4-8a3e-4888920c4d21&amp;suite_entity_num=t100054", "符合预期的玩家升级系统")</f>
        <v>符合预期的玩家升级系统</v>
      </c>
      <c r="B44"/>
      <c r="C44" t="inlineStr">
        <is>
          <t>默认分组</t>
        </is>
      </c>
      <c r="D44"/>
      <c r="E44"/>
      <c r="F44" t="inlineStr">
        <is>
          <t>Decay</t>
        </is>
      </c>
      <c r="G44" t="inlineStr">
        <is>
          <t>龚政涛</t>
        </is>
      </c>
      <c r="H44" s="4">
        <v>45547.94559027778</v>
      </c>
      <c r="I44" s="4">
        <v>45595.627754629626</v>
      </c>
      <c r="J44" s="4"/>
      <c r="K44" s="4">
        <v>45595.627754629626</v>
      </c>
      <c r="L44">
        <v>0</v>
      </c>
      <c r="M44">
        <v>1</v>
      </c>
      <c r="N44" t="inlineStr">
        <is>
          <t>NzQxMzM4ODg5NzkxNDY2NzAwOTo4ZTlhZDkyNS1lZWNmLTQ3YzQtOGEzZS00ODg4OTIwYzRkMjE6YzRiMjM0OGRmZmQ3YmVkNGZlNDc4YzAyNTRlOGM2Mzk6MQ==</t>
        </is>
      </c>
      <c r="O44" t="inlineStr">
        <is>
          <t>1</t>
        </is>
      </c>
      <c r="P44" t="inlineStr">
        <is>
          <t>或签任务</t>
        </is>
      </c>
      <c r="Q44" t="inlineStr">
        <is>
          <t>0</t>
        </is>
      </c>
      <c r="R44" t="inlineStr">
        <is>
          <t>龚政涛,Decay</t>
        </is>
      </c>
      <c r="S44" s="4"/>
      <c r="T44" s="3" t="str">
        <f>=HYPERLINK("https://applink.feishu.cn/client/todo/task_list?guid=4d92b9af-66d1-4cd7-95d1-4b753a64ca6b", "跃入迷城")</f>
        <v>跃入迷城</v>
      </c>
      <c r="U44" t="inlineStr">
        <is>
          <t>4d92b9af-66d1-4cd7-95d1-4b753a64ca6b</t>
        </is>
      </c>
      <c r="V44" t="inlineStr">
        <is>
          <t>8e9ad925-eecf-47c4-8a3e-4888920c4d21</t>
        </is>
      </c>
      <c r="W44"/>
      <c r="X44"/>
      <c r="Y44"/>
      <c r="Z44" t="inlineStr">
        <is>
          <t>0.0.2</t>
        </is>
      </c>
      <c r="AA44" t="inlineStr">
        <is>
          <t>操作</t>
        </is>
      </c>
      <c r="AB44" t="inlineStr">
        <is>
          <t>已完成</t>
        </is>
      </c>
      <c r="AC44" t="inlineStr">
        <is>
          <t>P0 - Must (not) Have</t>
        </is>
      </c>
      <c r="AD44"/>
      <c r="AE44"/>
    </row>
    <row r="45" ht="25.5" customHeight="1">
      <c r="A45" s="3" t="str">
        <f>=HYPERLINK("https://applink.feishu.cn/client/todo/detail?guid=aacda95c-7266-4901-8900-72e8030d8891&amp;suite_entity_num=t100061", "整体配色：先统一，然后再整体调整")</f>
        <v>整体配色：先统一，然后再整体调整</v>
      </c>
      <c r="B45"/>
      <c r="C45" t="inlineStr">
        <is>
          <t>默认分组</t>
        </is>
      </c>
      <c r="D45"/>
      <c r="E45"/>
      <c r="F45" t="inlineStr">
        <is>
          <t>Zoey,龚政涛</t>
        </is>
      </c>
      <c r="G45" t="inlineStr">
        <is>
          <t>龚政涛</t>
        </is>
      </c>
      <c r="H45" s="4">
        <v>45547.953784722224</v>
      </c>
      <c r="I45" s="4">
        <v>45865.93646990741</v>
      </c>
      <c r="J45" s="4"/>
      <c r="K45" s="4">
        <v>45866.68952546296</v>
      </c>
      <c r="L45">
        <v>0</v>
      </c>
      <c r="M45">
        <v>0</v>
      </c>
      <c r="N45" t="inlineStr">
        <is>
          <t>NzQxMzM4ODg5NzkxNDY2NzAwOTphYWNkYTk1Yy03MjY2LTQ5MDEtODkwMC03MmU4MDMwZDg4OTE6OTlmYzI1YWFlZmMwZWMzYWU1OWU1ZjA0ZWY4NjI5OWY6MQ==</t>
        </is>
      </c>
      <c r="O45" t="inlineStr">
        <is>
          <t>1</t>
        </is>
      </c>
      <c r="P45" t="inlineStr">
        <is>
          <t>或签任务</t>
        </is>
      </c>
      <c r="Q45" t="inlineStr">
        <is>
          <t>0</t>
        </is>
      </c>
      <c r="R45" t="inlineStr">
        <is>
          <t>龚政涛,Zoey,薛远临</t>
        </is>
      </c>
      <c r="S45" s="4"/>
      <c r="T45" s="3" t="str">
        <f>=HYPERLINK("https://applink.feishu.cn/client/todo/task_list?guid=4d92b9af-66d1-4cd7-95d1-4b753a64ca6b", "跃入迷城")</f>
        <v>跃入迷城</v>
      </c>
      <c r="U45" t="inlineStr">
        <is>
          <t>4d92b9af-66d1-4cd7-95d1-4b753a64ca6b</t>
        </is>
      </c>
      <c r="V45" t="inlineStr">
        <is>
          <t>aacda95c-7266-4901-8900-72e8030d8891</t>
        </is>
      </c>
      <c r="W45"/>
      <c r="X45"/>
      <c r="Y45"/>
      <c r="Z45" t="inlineStr">
        <is>
          <t>0.0.5</t>
        </is>
      </c>
      <c r="AA45" t="inlineStr">
        <is>
          <t>UIUX</t>
        </is>
      </c>
      <c r="AB45" t="inlineStr">
        <is>
          <t>已废弃</t>
        </is>
      </c>
      <c r="AC45" t="inlineStr">
        <is>
          <t>P1 - Bigger the Better</t>
        </is>
      </c>
      <c r="AD45"/>
      <c r="AE45"/>
    </row>
    <row r="46" ht="25.5" customHeight="1">
      <c r="A46" s="3" t="str">
        <f>=HYPERLINK("https://applink.feishu.cn/client/todo/detail?guid=12c7802b-ad03-44c2-9901-ba82cef6acf1&amp;suite_entity_num=t100057", "Logo？")</f>
        <v>Logo？</v>
      </c>
      <c r="B46"/>
      <c r="C46" t="inlineStr">
        <is>
          <t>默认分组</t>
        </is>
      </c>
      <c r="D46"/>
      <c r="E46"/>
      <c r="F46" t="inlineStr">
        <is>
          <t>龚政涛</t>
        </is>
      </c>
      <c r="G46" t="inlineStr">
        <is>
          <t>龚政涛</t>
        </is>
      </c>
      <c r="H46" s="4">
        <v>45547.951828703706</v>
      </c>
      <c r="I46" s="4">
        <v>45709.46325231482</v>
      </c>
      <c r="J46" s="4"/>
      <c r="K46" s="4">
        <v>45709.46319444444</v>
      </c>
      <c r="L46">
        <v>0</v>
      </c>
      <c r="M46">
        <v>1</v>
      </c>
      <c r="N46" t="inlineStr">
        <is>
          <t>NzQxMzM4ODg5NzkxNDY2NzAwOToxMmM3ODAyYi1hZDAzLTQ0YzItOTkwMS1iYTgyY2VmNmFjZjE6YjA3MWViNTAwODI5YTIxYTk4NmVlNmNmNWJiNzUyNzY6MQ==</t>
        </is>
      </c>
      <c r="O46" t="inlineStr">
        <is>
          <t>1</t>
        </is>
      </c>
      <c r="P46" t="inlineStr">
        <is>
          <t>或签任务</t>
        </is>
      </c>
      <c r="Q46" t="inlineStr">
        <is>
          <t>0</t>
        </is>
      </c>
      <c r="R46" t="inlineStr">
        <is>
          <t>龚政涛</t>
        </is>
      </c>
      <c r="S46" s="4"/>
      <c r="T46" s="3" t="str">
        <f>=HYPERLINK("https://applink.feishu.cn/client/todo/task_list?guid=4d92b9af-66d1-4cd7-95d1-4b753a64ca6b", "跃入迷城")</f>
        <v>跃入迷城</v>
      </c>
      <c r="U46" t="inlineStr">
        <is>
          <t>4d92b9af-66d1-4cd7-95d1-4b753a64ca6b</t>
        </is>
      </c>
      <c r="V46" t="inlineStr">
        <is>
          <t>12c7802b-ad03-44c2-9901-ba82cef6acf1</t>
        </is>
      </c>
      <c r="W46"/>
      <c r="X46"/>
      <c r="Y46"/>
      <c r="Z46" t="inlineStr">
        <is>
          <t>0.1.0</t>
        </is>
      </c>
      <c r="AA46" t="inlineStr">
        <is>
          <t>平面美术</t>
        </is>
      </c>
      <c r="AB46" t="inlineStr">
        <is>
          <t>已废弃</t>
        </is>
      </c>
      <c r="AC46"/>
      <c r="AD46"/>
      <c r="AE46"/>
    </row>
    <row r="47" ht="25.5" customHeight="1">
      <c r="A47" s="3" t="str">
        <f>=HYPERLINK("https://applink.feishu.cn/client/todo/detail?guid=56398eca-341b-48ce-841e-814bde1b3f8f&amp;suite_entity_num=t100060", "对话菜单：简化")</f>
        <v>对话菜单：简化</v>
      </c>
      <c r="B47"/>
      <c r="C47" t="inlineStr">
        <is>
          <t>默认分组</t>
        </is>
      </c>
      <c r="D47"/>
      <c r="E47"/>
      <c r="F47" t="inlineStr">
        <is>
          <t>龚政涛,Zoey</t>
        </is>
      </c>
      <c r="G47" t="inlineStr">
        <is>
          <t>龚政涛</t>
        </is>
      </c>
      <c r="H47" s="4">
        <v>45547.9537037037</v>
      </c>
      <c r="I47" s="4">
        <v>45865.93670138889</v>
      </c>
      <c r="J47" s="4"/>
      <c r="K47" s="4">
        <v>45866.68956018519</v>
      </c>
      <c r="L47">
        <v>0</v>
      </c>
      <c r="M47">
        <v>0</v>
      </c>
      <c r="N47" t="inlineStr">
        <is>
          <t>NzQxMzM4ODg5NzkxNDY2NzAwOTo1NjM5OGVjYS0zNDFiLTQ4Y2UtODQxZS04MTRiZGUxYjNmOGY6Zjc2ZWRhYTc3ODY4ODk1YTMxMzBiOTk5Y2U0MGY1NDA6MQ==</t>
        </is>
      </c>
      <c r="O47" t="inlineStr">
        <is>
          <t>1</t>
        </is>
      </c>
      <c r="P47" t="inlineStr">
        <is>
          <t>或签任务</t>
        </is>
      </c>
      <c r="Q47" t="inlineStr">
        <is>
          <t>0</t>
        </is>
      </c>
      <c r="R47" t="inlineStr">
        <is>
          <t>龚政涛,Zoey,薛远临</t>
        </is>
      </c>
      <c r="S47" s="4"/>
      <c r="T47" s="3" t="str">
        <f>=HYPERLINK("https://applink.feishu.cn/client/todo/task_list?guid=4d92b9af-66d1-4cd7-95d1-4b753a64ca6b", "跃入迷城")</f>
        <v>跃入迷城</v>
      </c>
      <c r="U47" t="inlineStr">
        <is>
          <t>4d92b9af-66d1-4cd7-95d1-4b753a64ca6b</t>
        </is>
      </c>
      <c r="V47" t="inlineStr">
        <is>
          <t>56398eca-341b-48ce-841e-814bde1b3f8f</t>
        </is>
      </c>
      <c r="W47"/>
      <c r="X47"/>
      <c r="Y47"/>
      <c r="Z47" t="inlineStr">
        <is>
          <t>0.0.5</t>
        </is>
      </c>
      <c r="AA47" t="inlineStr">
        <is>
          <t>UIUX</t>
        </is>
      </c>
      <c r="AB47" t="inlineStr">
        <is>
          <t>已废弃</t>
        </is>
      </c>
      <c r="AC47" t="inlineStr">
        <is>
          <t>P1 - Bigger the Better</t>
        </is>
      </c>
      <c r="AD47"/>
      <c r="AE47"/>
    </row>
    <row r="48" ht="25.5" customHeight="1">
      <c r="A48" s="3" t="str">
        <f>=HYPERLINK("https://applink.feishu.cn/client/todo/detail?guid=d14a7b89-956e-4d03-8eac-868b20f3cbf7&amp;suite_entity_num=t100059", "可交互对象的高亮小点应该always存在，在玩家移动到交互box内转变为{F}键的提示")</f>
        <v>可交互对象的高亮小点应该always存在，在玩家移动到交互box内转变为{F}键的提示</v>
      </c>
      <c r="B48"/>
      <c r="C48" t="inlineStr">
        <is>
          <t>默认分组</t>
        </is>
      </c>
      <c r="D48"/>
      <c r="E48"/>
      <c r="F48" t="inlineStr">
        <is>
          <t>Decay</t>
        </is>
      </c>
      <c r="G48" t="inlineStr">
        <is>
          <t>龚政涛</t>
        </is>
      </c>
      <c r="H48" s="4">
        <v>45547.95347222222</v>
      </c>
      <c r="I48" s="4">
        <v>45730.6878125</v>
      </c>
      <c r="J48" s="4"/>
      <c r="K48" s="4">
        <v>45730.6878125</v>
      </c>
      <c r="L48">
        <v>0</v>
      </c>
      <c r="M48">
        <v>4</v>
      </c>
      <c r="N48" t="inlineStr">
        <is>
          <t>NzQxMzM4ODg5NzkxNDY2NzAwOTpkMTRhN2I4OS05NTZlLTRkMDMtOGVhYy04NjhiMjBmM2NiZjc6ZTZiMWZiYWExZGViZWJlMGJiZjc5MDk2MjFmN2MyMmY6MQ==</t>
        </is>
      </c>
      <c r="O48" t="inlineStr">
        <is>
          <t>1</t>
        </is>
      </c>
      <c r="P48" t="inlineStr">
        <is>
          <t>或签任务</t>
        </is>
      </c>
      <c r="Q48" t="inlineStr">
        <is>
          <t>0</t>
        </is>
      </c>
      <c r="R48" t="inlineStr">
        <is>
          <t>Decay,龚政涛</t>
        </is>
      </c>
      <c r="S48" s="4"/>
      <c r="T48" s="3" t="str">
        <f>=HYPERLINK("https://applink.feishu.cn/client/todo/task_list?guid=4d92b9af-66d1-4cd7-95d1-4b753a64ca6b", "跃入迷城")</f>
        <v>跃入迷城</v>
      </c>
      <c r="U48" t="inlineStr">
        <is>
          <t>4d92b9af-66d1-4cd7-95d1-4b753a64ca6b</t>
        </is>
      </c>
      <c r="V48" t="inlineStr">
        <is>
          <t>d14a7b89-956e-4d03-8eac-868b20f3cbf7</t>
        </is>
      </c>
      <c r="W48"/>
      <c r="X48"/>
      <c r="Y48"/>
      <c r="Z48" t="inlineStr">
        <is>
          <t>0.0.4</t>
        </is>
      </c>
      <c r="AA48" t="inlineStr">
        <is>
          <t>UIUX</t>
        </is>
      </c>
      <c r="AB48" t="inlineStr">
        <is>
          <t>已完成</t>
        </is>
      </c>
      <c r="AC48" t="inlineStr">
        <is>
          <t>P0 - Must (not) Have</t>
        </is>
      </c>
      <c r="AD48"/>
      <c r="AE48"/>
    </row>
    <row r="49" ht="25.5" customHeight="1">
      <c r="A49" s="3" t="str">
        <f>=HYPERLINK("https://applink.feishu.cn/client/todo/detail?guid=8306777b-d940-4ed0-99e2-222ceb33b3d1&amp;suite_entity_num=t100063", "集成广播UI")</f>
        <v>集成广播UI</v>
      </c>
      <c r="B49"/>
      <c r="C49" t="inlineStr">
        <is>
          <t>默认分组</t>
        </is>
      </c>
      <c r="D49"/>
      <c r="E49"/>
      <c r="F49" t="inlineStr">
        <is>
          <t>Decay</t>
        </is>
      </c>
      <c r="G49" t="inlineStr">
        <is>
          <t>龚政涛</t>
        </is>
      </c>
      <c r="H49" s="4">
        <v>45547.95454861111</v>
      </c>
      <c r="I49" s="4">
        <v>45719.57994212963</v>
      </c>
      <c r="J49" s="4"/>
      <c r="K49" s="4">
        <v>45719.5799537037</v>
      </c>
      <c r="L49">
        <v>0</v>
      </c>
      <c r="M49">
        <v>0</v>
      </c>
      <c r="N49" t="inlineStr">
        <is>
          <t>NzQxMzM4ODg5NzkxNDY2NzAwOTo4MzA2Nzc3Yi1kOTQwLTRlZDAtOTllMi0yMjJjZWIzM2IzZDE6NmFjNzM0MmQxNjc3MmI1ZmMxNjFhMmE2YmI4MjRhMTk6MQ==</t>
        </is>
      </c>
      <c r="O49" t="inlineStr">
        <is>
          <t>1</t>
        </is>
      </c>
      <c r="P49" t="inlineStr">
        <is>
          <t>或签任务</t>
        </is>
      </c>
      <c r="Q49" t="inlineStr">
        <is>
          <t>0</t>
        </is>
      </c>
      <c r="R49" t="inlineStr">
        <is>
          <t>龚政涛,Decay</t>
        </is>
      </c>
      <c r="S49" s="4"/>
      <c r="T49" s="3" t="str">
        <f>=HYPERLINK("https://applink.feishu.cn/client/todo/task_list?guid=4d92b9af-66d1-4cd7-95d1-4b753a64ca6b", "跃入迷城")</f>
        <v>跃入迷城</v>
      </c>
      <c r="U49" t="inlineStr">
        <is>
          <t>4d92b9af-66d1-4cd7-95d1-4b753a64ca6b</t>
        </is>
      </c>
      <c r="V49" t="inlineStr">
        <is>
          <t>8306777b-d940-4ed0-99e2-222ceb33b3d1</t>
        </is>
      </c>
      <c r="W49"/>
      <c r="X49"/>
      <c r="Y49"/>
      <c r="Z49" t="inlineStr">
        <is>
          <t>0.0.2</t>
        </is>
      </c>
      <c r="AA49" t="inlineStr">
        <is>
          <t>UIUX</t>
        </is>
      </c>
      <c r="AB49" t="inlineStr">
        <is>
          <t>已废弃</t>
        </is>
      </c>
      <c r="AC49"/>
      <c r="AD49"/>
      <c r="AE49"/>
    </row>
    <row r="50" ht="25.5" customHeight="1">
      <c r="A50" s="3" t="str">
        <f>=HYPERLINK("https://applink.feishu.cn/client/todo/detail?guid=c3f5ce16-4bd6-4887-95cb-23b5aa8b72b7&amp;suite_entity_num=t100066", "主控 -&gt; 平静")</f>
        <v>主控 -&gt; 平静</v>
      </c>
      <c r="B50"/>
      <c r="C50" t="inlineStr">
        <is>
          <t>默认分组</t>
        </is>
      </c>
      <c r="D50"/>
      <c r="E50"/>
      <c r="F50" t="inlineStr">
        <is>
          <t>Ke Huang</t>
        </is>
      </c>
      <c r="G50" t="inlineStr">
        <is>
          <t>龚政涛</t>
        </is>
      </c>
      <c r="H50" s="4">
        <v>45547.96226851852</v>
      </c>
      <c r="I50" s="4">
        <v>45709.46045138889</v>
      </c>
      <c r="J50" s="4">
        <v>45613.333333333336</v>
      </c>
      <c r="K50" s="4">
        <v>45709.460393518515</v>
      </c>
      <c r="L50">
        <v>0</v>
      </c>
      <c r="M50">
        <v>0</v>
      </c>
      <c r="N50" t="inlineStr">
        <is>
          <t>NzQxMzM4ODg5NzkxNDY2NzAwOTpjM2Y1Y2UxNi00YmQ2LTQ4ODctOTVjYi0yM2I1YWE4YjcyYjc6ZjMwNzFiZWRjZjQwNzZkMDAxODAwNTMyZmU2N2RhZDU6MQ==</t>
        </is>
      </c>
      <c r="O50" t="inlineStr">
        <is>
          <t>1</t>
        </is>
      </c>
      <c r="P50" t="inlineStr">
        <is>
          <t>或签任务</t>
        </is>
      </c>
      <c r="Q50" t="inlineStr">
        <is>
          <t>0</t>
        </is>
      </c>
      <c r="R50" t="inlineStr">
        <is>
          <t>龚政涛,Ke Huang</t>
        </is>
      </c>
      <c r="S50" s="4">
        <v>45600.333333333336</v>
      </c>
      <c r="T50" s="3" t="str">
        <f>=HYPERLINK("https://applink.feishu.cn/client/todo/task_list?guid=4d92b9af-66d1-4cd7-95d1-4b753a64ca6b", "跃入迷城")</f>
        <v>跃入迷城</v>
      </c>
      <c r="U50" t="inlineStr">
        <is>
          <t>4d92b9af-66d1-4cd7-95d1-4b753a64ca6b</t>
        </is>
      </c>
      <c r="V50" t="inlineStr">
        <is>
          <t>c3f5ce16-4bd6-4887-95cb-23b5aa8b72b7</t>
        </is>
      </c>
      <c r="W50" t="inlineStr">
        <is>
          <t>b7cfccc1-156b-42a0-a1b2-09a78bb5222d</t>
        </is>
      </c>
      <c r="X50"/>
      <c r="Y50"/>
      <c r="Z50" t="inlineStr">
        <is>
          <t>0.0.2</t>
        </is>
      </c>
      <c r="AA50" t="inlineStr">
        <is>
          <t>平面美术</t>
        </is>
      </c>
      <c r="AB50" t="inlineStr">
        <is>
          <t>已废弃</t>
        </is>
      </c>
      <c r="AC50"/>
      <c r="AD50"/>
      <c r="AE50"/>
    </row>
    <row r="51" ht="25.5" customHeight="1">
      <c r="A51" s="3" t="str">
        <f>=HYPERLINK("https://applink.feishu.cn/client/todo/detail?guid=f2738866-47d1-4bb2-8b83-047137d94792&amp;suite_entity_num=t100062", "集成场景内交互菜单UI（涂鸦等）")</f>
        <v>集成场景内交互菜单UI（涂鸦等）</v>
      </c>
      <c r="B51"/>
      <c r="C51" t="inlineStr">
        <is>
          <t>默认分组</t>
        </is>
      </c>
      <c r="D51"/>
      <c r="E51"/>
      <c r="F51" t="inlineStr">
        <is>
          <t>Decay</t>
        </is>
      </c>
      <c r="G51" t="inlineStr">
        <is>
          <t>龚政涛</t>
        </is>
      </c>
      <c r="H51" s="4">
        <v>45547.954421296294</v>
      </c>
      <c r="I51" s="4">
        <v>45719.579872685186</v>
      </c>
      <c r="J51" s="4"/>
      <c r="K51" s="4">
        <v>45719.57989583333</v>
      </c>
      <c r="L51">
        <v>0</v>
      </c>
      <c r="M51">
        <v>0</v>
      </c>
      <c r="N51" t="inlineStr">
        <is>
          <t>NzQxMzM4ODg5NzkxNDY2NzAwOTpmMjczODg2Ni00N2QxLTRiYjItOGI4My0wNDcxMzdkOTQ3OTI6ZTZiMDUzOWQ1NDE3NWM3MzljNGY2NzA3Y2Y5YmYwYmE6MQ==</t>
        </is>
      </c>
      <c r="O51" t="inlineStr">
        <is>
          <t>1</t>
        </is>
      </c>
      <c r="P51" t="inlineStr">
        <is>
          <t>或签任务</t>
        </is>
      </c>
      <c r="Q51" t="inlineStr">
        <is>
          <t>0</t>
        </is>
      </c>
      <c r="R51" t="inlineStr">
        <is>
          <t>龚政涛,Decay</t>
        </is>
      </c>
      <c r="S51" s="4"/>
      <c r="T51" s="3" t="str">
        <f>=HYPERLINK("https://applink.feishu.cn/client/todo/task_list?guid=4d92b9af-66d1-4cd7-95d1-4b753a64ca6b", "跃入迷城")</f>
        <v>跃入迷城</v>
      </c>
      <c r="U51" t="inlineStr">
        <is>
          <t>4d92b9af-66d1-4cd7-95d1-4b753a64ca6b</t>
        </is>
      </c>
      <c r="V51" t="inlineStr">
        <is>
          <t>f2738866-47d1-4bb2-8b83-047137d94792</t>
        </is>
      </c>
      <c r="W51"/>
      <c r="X51"/>
      <c r="Y51"/>
      <c r="Z51" t="inlineStr">
        <is>
          <t>0.0.2</t>
        </is>
      </c>
      <c r="AA51" t="inlineStr">
        <is>
          <t>UIUX</t>
        </is>
      </c>
      <c r="AB51" t="inlineStr">
        <is>
          <t>已废弃</t>
        </is>
      </c>
      <c r="AC51"/>
      <c r="AD51"/>
      <c r="AE51"/>
    </row>
    <row r="52" ht="25.5" customHeight="1">
      <c r="A52" s="3" t="str">
        <f>=HYPERLINK("https://applink.feishu.cn/client/todo/detail?guid=80575ebf-cd9b-4493-bfa4-9e4105d91cb6&amp;suite_entity_num=t100072", "下载perforce")</f>
        <v>下载perforce</v>
      </c>
      <c r="B52"/>
      <c r="C52" t="inlineStr">
        <is>
          <t>默认分组</t>
        </is>
      </c>
      <c r="D52"/>
      <c r="E52"/>
      <c r="F52" t="inlineStr">
        <is>
          <t>李奕慧</t>
        </is>
      </c>
      <c r="G52" t="inlineStr">
        <is>
          <t>龚政涛</t>
        </is>
      </c>
      <c r="H52" s="4">
        <v>45547.96263888889</v>
      </c>
      <c r="I52" s="4">
        <v>45651.629166666666</v>
      </c>
      <c r="J52" s="4">
        <v>45538.333333333336</v>
      </c>
      <c r="K52" s="4">
        <v>45651.629155092596</v>
      </c>
      <c r="L52">
        <v>0</v>
      </c>
      <c r="M52">
        <v>0</v>
      </c>
      <c r="N52" t="inlineStr">
        <is>
          <t>NzQxMzM4ODg5NzkxNDY2NzAwOTo4MDU3NWViZi1jZDliLTQ0OTMtYmZhNC05ZTQxMDVkOTFjYjY6MjllNjQ0NjAwOTRjNWRlMmU1ZTZmZTE4NTA1YTJhMTc6MQ==</t>
        </is>
      </c>
      <c r="O52" t="inlineStr">
        <is>
          <t>1</t>
        </is>
      </c>
      <c r="P52" t="inlineStr">
        <is>
          <t>或签任务</t>
        </is>
      </c>
      <c r="Q52" t="inlineStr">
        <is>
          <t>0</t>
        </is>
      </c>
      <c r="R52" t="inlineStr">
        <is>
          <t>龚政涛,李奕慧</t>
        </is>
      </c>
      <c r="S52" s="4">
        <v>45537.333333333336</v>
      </c>
      <c r="T52" s="3" t="str">
        <f>=HYPERLINK("https://applink.feishu.cn/client/todo/task_list?guid=4d92b9af-66d1-4cd7-95d1-4b753a64ca6b", "跃入迷城")</f>
        <v>跃入迷城</v>
      </c>
      <c r="U52" t="inlineStr">
        <is>
          <t>4d92b9af-66d1-4cd7-95d1-4b753a64ca6b</t>
        </is>
      </c>
      <c r="V52" t="inlineStr">
        <is>
          <t>80575ebf-cd9b-4493-bfa4-9e4105d91cb6</t>
        </is>
      </c>
      <c r="W52"/>
      <c r="X52" t="inlineStr">
        <is>
          <t>cd8f1d90-142d-4c2d-8f9e-16694c26707c</t>
        </is>
      </c>
      <c r="Y52"/>
      <c r="Z52" t="inlineStr">
        <is>
          <t>0.0.2</t>
        </is>
      </c>
      <c r="AA52" t="inlineStr">
        <is>
          <t>音乐</t>
        </is>
      </c>
      <c r="AB52" t="inlineStr">
        <is>
          <t>已废弃</t>
        </is>
      </c>
      <c r="AC52"/>
      <c r="AD52"/>
      <c r="AE52"/>
    </row>
    <row r="53" ht="25.5" customHeight="1">
      <c r="A53" s="3" t="str">
        <f>=HYPERLINK("https://applink.feishu.cn/client/todo/detail?guid=cd8f1d90-142d-4c2d-8f9e-16694c26707c&amp;suite_entity_num=t100074", "通过perforce下载工程")</f>
        <v>通过perforce下载工程</v>
      </c>
      <c r="B53"/>
      <c r="C53" t="inlineStr">
        <is>
          <t>默认分组</t>
        </is>
      </c>
      <c r="D53"/>
      <c r="E53"/>
      <c r="F53" t="inlineStr">
        <is>
          <t>李奕慧</t>
        </is>
      </c>
      <c r="G53" t="inlineStr">
        <is>
          <t>龚政涛</t>
        </is>
      </c>
      <c r="H53" s="4">
        <v>45547.96265046296</v>
      </c>
      <c r="I53" s="4">
        <v>45651.62917824074</v>
      </c>
      <c r="J53" s="4">
        <v>45543.333333333336</v>
      </c>
      <c r="K53" s="4">
        <v>45651.62918981481</v>
      </c>
      <c r="L53">
        <v>0</v>
      </c>
      <c r="M53">
        <v>0</v>
      </c>
      <c r="N53" t="inlineStr">
        <is>
          <t>NzQxMzM4ODg5NzkxNDY2NzAwOTpjZDhmMWQ5MC0xNDJkLTRjMmQtOGY5ZS0xNjY5NGMyNjcwN2M6NjM2MTdhYjdjM2NlNTAyYjhkMzMwNGJlMzUxMzlhZGU6MQ==</t>
        </is>
      </c>
      <c r="O53" t="inlineStr">
        <is>
          <t>1</t>
        </is>
      </c>
      <c r="P53" t="inlineStr">
        <is>
          <t>或签任务</t>
        </is>
      </c>
      <c r="Q53" t="inlineStr">
        <is>
          <t>0</t>
        </is>
      </c>
      <c r="R53" t="inlineStr">
        <is>
          <t>龚政涛,李奕慧</t>
        </is>
      </c>
      <c r="S53" s="4">
        <v>45539.333333333336</v>
      </c>
      <c r="T53" s="3" t="str">
        <f>=HYPERLINK("https://applink.feishu.cn/client/todo/task_list?guid=4d92b9af-66d1-4cd7-95d1-4b753a64ca6b", "跃入迷城")</f>
        <v>跃入迷城</v>
      </c>
      <c r="U53" t="inlineStr">
        <is>
          <t>4d92b9af-66d1-4cd7-95d1-4b753a64ca6b</t>
        </is>
      </c>
      <c r="V53" t="inlineStr">
        <is>
          <t>cd8f1d90-142d-4c2d-8f9e-16694c26707c</t>
        </is>
      </c>
      <c r="W53" t="inlineStr">
        <is>
          <t>80575ebf-cd9b-4493-bfa4-9e4105d91cb6</t>
        </is>
      </c>
      <c r="X53"/>
      <c r="Y53"/>
      <c r="Z53" t="inlineStr">
        <is>
          <t>0.0.2</t>
        </is>
      </c>
      <c r="AA53" t="inlineStr">
        <is>
          <t>音乐</t>
        </is>
      </c>
      <c r="AB53" t="inlineStr">
        <is>
          <t>已废弃</t>
        </is>
      </c>
      <c r="AC53" t="inlineStr">
        <is>
          <t>P1 - Bigger the Better</t>
        </is>
      </c>
      <c r="AD53"/>
      <c r="AE53"/>
    </row>
    <row r="54" ht="25.5" customHeight="1">
      <c r="A54" s="3" t="str">
        <f>=HYPERLINK("https://applink.feishu.cn/client/todo/detail?guid=4c86a907-aafc-440f-bfef-25ccde6def31&amp;suite_entity_num=t100068", "主控 -&gt; 消沉")</f>
        <v>主控 -&gt; 消沉</v>
      </c>
      <c r="B54"/>
      <c r="C54" t="inlineStr">
        <is>
          <t>默认分组</t>
        </is>
      </c>
      <c r="D54"/>
      <c r="E54"/>
      <c r="F54" t="inlineStr">
        <is>
          <t>Ke Huang</t>
        </is>
      </c>
      <c r="G54" t="inlineStr">
        <is>
          <t>龚政涛</t>
        </is>
      </c>
      <c r="H54" s="4">
        <v>45547.96229166666</v>
      </c>
      <c r="I54" s="4">
        <v>45709.46331018519</v>
      </c>
      <c r="J54" s="4"/>
      <c r="K54" s="4">
        <v>45709.46325231482</v>
      </c>
      <c r="L54">
        <v>0</v>
      </c>
      <c r="M54">
        <v>0</v>
      </c>
      <c r="N54" t="inlineStr">
        <is>
          <t>NzQxMzM4ODg5NzkxNDY2NzAwOTo0Yzg2YTkwNy1hYWZjLTQ0MGYtYmZlZi0yNWNjZGU2ZGVmMzE6ZTBiN2UxOWE1YjllNzZmZjE0YWI1OGFmODYyZmNjNmU6MQ==</t>
        </is>
      </c>
      <c r="O54" t="inlineStr">
        <is>
          <t>1</t>
        </is>
      </c>
      <c r="P54" t="inlineStr">
        <is>
          <t>或签任务</t>
        </is>
      </c>
      <c r="Q54" t="inlineStr">
        <is>
          <t>0</t>
        </is>
      </c>
      <c r="R54" t="inlineStr">
        <is>
          <t>龚政涛,Ke Huang</t>
        </is>
      </c>
      <c r="S54" s="4"/>
      <c r="T54" s="3" t="str">
        <f>=HYPERLINK("https://applink.feishu.cn/client/todo/task_list?guid=4d92b9af-66d1-4cd7-95d1-4b753a64ca6b", "跃入迷城")</f>
        <v>跃入迷城</v>
      </c>
      <c r="U54" t="inlineStr">
        <is>
          <t>4d92b9af-66d1-4cd7-95d1-4b753a64ca6b</t>
        </is>
      </c>
      <c r="V54" t="inlineStr">
        <is>
          <t>4c86a907-aafc-440f-bfef-25ccde6def31</t>
        </is>
      </c>
      <c r="W54"/>
      <c r="X54"/>
      <c r="Y54"/>
      <c r="Z54" t="inlineStr">
        <is>
          <t>0.0.2</t>
        </is>
      </c>
      <c r="AA54" t="inlineStr">
        <is>
          <t>平面美术</t>
        </is>
      </c>
      <c r="AB54" t="inlineStr">
        <is>
          <t>已废弃</t>
        </is>
      </c>
      <c r="AC54"/>
      <c r="AD54"/>
      <c r="AE54"/>
    </row>
    <row r="55" ht="25.5" customHeight="1">
      <c r="A55" s="3" t="str">
        <f>=HYPERLINK("https://applink.feishu.cn/client/todo/detail?guid=5f3f00ff-e94e-453e-9f87-98b965f7b1b1&amp;suite_entity_num=t100073", "下载ue引擎")</f>
        <v>下载ue引擎</v>
      </c>
      <c r="B55"/>
      <c r="C55" t="inlineStr">
        <is>
          <t>默认分组</t>
        </is>
      </c>
      <c r="D55"/>
      <c r="E55"/>
      <c r="F55" t="inlineStr">
        <is>
          <t>李奕慧</t>
        </is>
      </c>
      <c r="G55" t="inlineStr">
        <is>
          <t>龚政涛</t>
        </is>
      </c>
      <c r="H55" s="4">
        <v>45547.96263888889</v>
      </c>
      <c r="I55" s="4">
        <v>45651.62918981481</v>
      </c>
      <c r="J55" s="4">
        <v>45543.333333333336</v>
      </c>
      <c r="K55" s="4">
        <v>45651.62918981481</v>
      </c>
      <c r="L55">
        <v>0</v>
      </c>
      <c r="M55">
        <v>0</v>
      </c>
      <c r="N55" t="inlineStr">
        <is>
          <t>NzQxMzM4ODg5NzkxNDY2NzAwOTo1ZjNmMDBmZi1lOTRlLTQ1M2UtOWY4Ny05OGI5NjVmN2IxYjE6MWUwYTk1Y2MwNmIwZjFjMmEzMWIyZGM5OWY1ZmRkYTU6MQ==</t>
        </is>
      </c>
      <c r="O55" t="inlineStr">
        <is>
          <t>1</t>
        </is>
      </c>
      <c r="P55" t="inlineStr">
        <is>
          <t>或签任务</t>
        </is>
      </c>
      <c r="Q55" t="inlineStr">
        <is>
          <t>0</t>
        </is>
      </c>
      <c r="R55" t="inlineStr">
        <is>
          <t>李奕慧,龚政涛</t>
        </is>
      </c>
      <c r="S55" s="4">
        <v>45537.333333333336</v>
      </c>
      <c r="T55" s="3" t="str">
        <f>=HYPERLINK("https://applink.feishu.cn/client/todo/task_list?guid=4d92b9af-66d1-4cd7-95d1-4b753a64ca6b", "跃入迷城")</f>
        <v>跃入迷城</v>
      </c>
      <c r="U55" t="inlineStr">
        <is>
          <t>4d92b9af-66d1-4cd7-95d1-4b753a64ca6b</t>
        </is>
      </c>
      <c r="V55" t="inlineStr">
        <is>
          <t>5f3f00ff-e94e-453e-9f87-98b965f7b1b1</t>
        </is>
      </c>
      <c r="W55"/>
      <c r="X55"/>
      <c r="Y55"/>
      <c r="Z55" t="inlineStr">
        <is>
          <t>0.0.2</t>
        </is>
      </c>
      <c r="AA55" t="inlineStr">
        <is>
          <t>音乐</t>
        </is>
      </c>
      <c r="AB55" t="inlineStr">
        <is>
          <t>已废弃</t>
        </is>
      </c>
      <c r="AC55"/>
      <c r="AD55"/>
      <c r="AE55"/>
    </row>
    <row r="56" ht="25.5" customHeight="1">
      <c r="A56" s="3" t="str">
        <f>=HYPERLINK("https://applink.feishu.cn/client/todo/detail?guid=78fad329-aa2b-4763-a5aa-a79967a71db8&amp;suite_entity_num=t100067", "主控 -&gt; 激动")</f>
        <v>主控 -&gt; 激动</v>
      </c>
      <c r="B56"/>
      <c r="C56" t="inlineStr">
        <is>
          <t>默认分组</t>
        </is>
      </c>
      <c r="D56"/>
      <c r="E56"/>
      <c r="F56" t="inlineStr">
        <is>
          <t>Ke Huang</t>
        </is>
      </c>
      <c r="G56" t="inlineStr">
        <is>
          <t>龚政涛</t>
        </is>
      </c>
      <c r="H56" s="4">
        <v>45547.96228009259</v>
      </c>
      <c r="I56" s="4">
        <v>45709.463368055556</v>
      </c>
      <c r="J56" s="4"/>
      <c r="K56" s="4">
        <v>45709.46331018519</v>
      </c>
      <c r="L56">
        <v>0</v>
      </c>
      <c r="M56">
        <v>0</v>
      </c>
      <c r="N56" t="inlineStr">
        <is>
          <t>NzQxMzM4ODg5NzkxNDY2NzAwOTo3OGZhZDMyOS1hYTJiLTQ3NjMtYTVhYS1hNzk5NjdhNzFkYjg6ZDdiYWI1MzI4OTI5M2M4Mjc3YTRmMDZmYjM4YjQyZmE6MQ==</t>
        </is>
      </c>
      <c r="O56" t="inlineStr">
        <is>
          <t>1</t>
        </is>
      </c>
      <c r="P56" t="inlineStr">
        <is>
          <t>或签任务</t>
        </is>
      </c>
      <c r="Q56" t="inlineStr">
        <is>
          <t>0</t>
        </is>
      </c>
      <c r="R56" t="inlineStr">
        <is>
          <t>龚政涛,Ke Huang</t>
        </is>
      </c>
      <c r="S56" s="4"/>
      <c r="T56" s="3" t="str">
        <f>=HYPERLINK("https://applink.feishu.cn/client/todo/task_list?guid=4d92b9af-66d1-4cd7-95d1-4b753a64ca6b", "跃入迷城")</f>
        <v>跃入迷城</v>
      </c>
      <c r="U56" t="inlineStr">
        <is>
          <t>4d92b9af-66d1-4cd7-95d1-4b753a64ca6b</t>
        </is>
      </c>
      <c r="V56" t="inlineStr">
        <is>
          <t>78fad329-aa2b-4763-a5aa-a79967a71db8</t>
        </is>
      </c>
      <c r="W56"/>
      <c r="X56"/>
      <c r="Y56"/>
      <c r="Z56" t="inlineStr">
        <is>
          <t>0.0.2</t>
        </is>
      </c>
      <c r="AA56" t="inlineStr">
        <is>
          <t>平面美术</t>
        </is>
      </c>
      <c r="AB56" t="inlineStr">
        <is>
          <t>已废弃</t>
        </is>
      </c>
      <c r="AC56"/>
      <c r="AD56"/>
      <c r="AE56"/>
    </row>
    <row r="57" ht="25.5" customHeight="1">
      <c r="A57" s="3" t="str">
        <f>=HYPERLINK("https://applink.feishu.cn/client/todo/detail?guid=bbfe8dd4-57d9-465e-8aac-2846446d61d4&amp;suite_entity_num=t100075", "定义音效事件名")</f>
        <v>定义音效事件名</v>
      </c>
      <c r="B57"/>
      <c r="C57" t="inlineStr">
        <is>
          <t>默认分组</t>
        </is>
      </c>
      <c r="D57"/>
      <c r="E57"/>
      <c r="F57" t="inlineStr">
        <is>
          <t>龚政涛</t>
        </is>
      </c>
      <c r="G57" t="inlineStr">
        <is>
          <t>龚政涛</t>
        </is>
      </c>
      <c r="H57" s="4">
        <v>45547.962800925925</v>
      </c>
      <c r="I57" s="4">
        <v>45722.71189814815</v>
      </c>
      <c r="J57" s="4"/>
      <c r="K57" s="4">
        <v>45722.71192129629</v>
      </c>
      <c r="L57">
        <v>0</v>
      </c>
      <c r="M57">
        <v>1</v>
      </c>
      <c r="N57" t="inlineStr">
        <is>
          <t>NzQxMzM4ODg5NzkxNDY2NzAwOTpiYmZlOGRkNC01N2Q5LTQ2NWUtOGFhYy0yODQ2NDQ2ZDYxZDQ6ZjZhODk3ODQwOGViMzg4ZTMwZWM1ZTQzODBkMjhkN2Y6MQ==</t>
        </is>
      </c>
      <c r="O57" t="inlineStr">
        <is>
          <t>1</t>
        </is>
      </c>
      <c r="P57" t="inlineStr">
        <is>
          <t>或签任务</t>
        </is>
      </c>
      <c r="Q57" t="inlineStr">
        <is>
          <t>0</t>
        </is>
      </c>
      <c r="R57" t="inlineStr">
        <is>
          <t>龚政涛</t>
        </is>
      </c>
      <c r="S57" s="4"/>
      <c r="T57" s="3" t="str">
        <f>=HYPERLINK("https://applink.feishu.cn/client/todo/task_list?guid=4d92b9af-66d1-4cd7-95d1-4b753a64ca6b", "跃入迷城")</f>
        <v>跃入迷城</v>
      </c>
      <c r="U57" t="inlineStr">
        <is>
          <t>4d92b9af-66d1-4cd7-95d1-4b753a64ca6b</t>
        </is>
      </c>
      <c r="V57" t="inlineStr">
        <is>
          <t>bbfe8dd4-57d9-465e-8aac-2846446d61d4</t>
        </is>
      </c>
      <c r="W57"/>
      <c r="X57"/>
      <c r="Y57"/>
      <c r="Z57" t="inlineStr">
        <is>
          <t>0.0.4</t>
        </is>
      </c>
      <c r="AA57" t="inlineStr">
        <is>
          <t>音乐</t>
        </is>
      </c>
      <c r="AB57" t="inlineStr">
        <is>
          <t>已完成</t>
        </is>
      </c>
      <c r="AC57" t="inlineStr">
        <is>
          <t>P1 - Bigger the Better</t>
        </is>
      </c>
      <c r="AD57"/>
      <c r="AE57"/>
    </row>
    <row r="58" ht="25.5" customHeight="1">
      <c r="A58" s="3" t="str">
        <f>=HYPERLINK("https://applink.feishu.cn/client/todo/detail?guid=c044a80f-de0c-4b90-acef-a6493e6baf82&amp;suite_entity_num=t100069", "面具要找一下灵感")</f>
        <v>面具要找一下灵感</v>
      </c>
      <c r="B58"/>
      <c r="C58" t="inlineStr">
        <is>
          <t>默认分组</t>
        </is>
      </c>
      <c r="D58"/>
      <c r="E58"/>
      <c r="F58" t="inlineStr">
        <is>
          <t>龚政涛</t>
        </is>
      </c>
      <c r="G58" t="inlineStr">
        <is>
          <t>龚政涛</t>
        </is>
      </c>
      <c r="H58" s="4">
        <v>45547.96230324074</v>
      </c>
      <c r="I58" s="4">
        <v>45709.4603587963</v>
      </c>
      <c r="J58" s="4"/>
      <c r="K58" s="4">
        <v>45709.46030092592</v>
      </c>
      <c r="L58">
        <v>0</v>
      </c>
      <c r="M58">
        <v>1</v>
      </c>
      <c r="N58" t="inlineStr">
        <is>
          <t>NzQxMzM4ODg5NzkxNDY2NzAwOTpjMDQ0YTgwZi1kZTBjLTRiOTAtYWNlZi1hNjQ5M2U2YmFmODI6ZjQ2YTgwZGUzZGQ0OWVhYjZjMmVhYWRlYzljNWNkMzU6MQ==</t>
        </is>
      </c>
      <c r="O58" t="inlineStr">
        <is>
          <t>1</t>
        </is>
      </c>
      <c r="P58" t="inlineStr">
        <is>
          <t>或签任务</t>
        </is>
      </c>
      <c r="Q58" t="inlineStr">
        <is>
          <t>0</t>
        </is>
      </c>
      <c r="R58" t="inlineStr">
        <is>
          <t>龚政涛</t>
        </is>
      </c>
      <c r="S58" s="4"/>
      <c r="T58" s="3" t="str">
        <f>=HYPERLINK("https://applink.feishu.cn/client/todo/task_list?guid=4d92b9af-66d1-4cd7-95d1-4b753a64ca6b", "跃入迷城")</f>
        <v>跃入迷城</v>
      </c>
      <c r="U58" t="inlineStr">
        <is>
          <t>4d92b9af-66d1-4cd7-95d1-4b753a64ca6b</t>
        </is>
      </c>
      <c r="V58" t="inlineStr">
        <is>
          <t>c044a80f-de0c-4b90-acef-a6493e6baf82</t>
        </is>
      </c>
      <c r="W58"/>
      <c r="X58"/>
      <c r="Y58"/>
      <c r="Z58" t="inlineStr">
        <is>
          <t>0.0.3</t>
        </is>
      </c>
      <c r="AA58" t="inlineStr">
        <is>
          <t>平面美术</t>
        </is>
      </c>
      <c r="AB58" t="inlineStr">
        <is>
          <t>已废弃</t>
        </is>
      </c>
      <c r="AC58" t="inlineStr">
        <is>
          <t>P1 - Bigger the Better</t>
        </is>
      </c>
      <c r="AD58"/>
      <c r="AE58"/>
    </row>
    <row r="59" ht="25.5" customHeight="1">
      <c r="A59" s="3" t="str">
        <f>=HYPERLINK("https://applink.feishu.cn/client/todo/detail?guid=5ce4699a-6708-4b2b-b244-fee020d02a38&amp;suite_entity_num=t100071", "需要指导get一下perforce工程")</f>
        <v>需要指导get一下perforce工程</v>
      </c>
      <c r="B59"/>
      <c r="C59" t="inlineStr">
        <is>
          <t>默认分组</t>
        </is>
      </c>
      <c r="D59"/>
      <c r="E59"/>
      <c r="F59" t="inlineStr">
        <is>
          <t>龚政涛</t>
        </is>
      </c>
      <c r="G59" t="inlineStr">
        <is>
          <t>龚政涛</t>
        </is>
      </c>
      <c r="H59" s="4">
        <v>45547.96252314815</v>
      </c>
      <c r="I59" s="4">
        <v>45709.464594907404</v>
      </c>
      <c r="J59" s="4"/>
      <c r="K59" s="4">
        <v>45709.464537037034</v>
      </c>
      <c r="L59">
        <v>0</v>
      </c>
      <c r="M59">
        <v>0</v>
      </c>
      <c r="N59" t="inlineStr">
        <is>
          <t>NzQxMzM4ODg5NzkxNDY2NzAwOTo1Y2U0Njk5YS02NzA4LTRiMmItYjI0NC1mZWUwMjBkMDJhMzg6NjY0MTliNGU2NzJhM2JhOWNhZWVjZGFmOGI4ZTBjN2U6MQ==</t>
        </is>
      </c>
      <c r="O59" t="inlineStr">
        <is>
          <t>1</t>
        </is>
      </c>
      <c r="P59" t="inlineStr">
        <is>
          <t>或签任务</t>
        </is>
      </c>
      <c r="Q59" t="inlineStr">
        <is>
          <t>0</t>
        </is>
      </c>
      <c r="R59" t="inlineStr">
        <is>
          <t>龚政涛</t>
        </is>
      </c>
      <c r="S59" s="4"/>
      <c r="T59" s="3" t="str">
        <f>=HYPERLINK("https://applink.feishu.cn/client/todo/task_list?guid=4d92b9af-66d1-4cd7-95d1-4b753a64ca6b", "跃入迷城")</f>
        <v>跃入迷城</v>
      </c>
      <c r="U59" t="inlineStr">
        <is>
          <t>4d92b9af-66d1-4cd7-95d1-4b753a64ca6b</t>
        </is>
      </c>
      <c r="V59" t="inlineStr">
        <is>
          <t>5ce4699a-6708-4b2b-b244-fee020d02a38</t>
        </is>
      </c>
      <c r="W59"/>
      <c r="X59"/>
      <c r="Y59"/>
      <c r="Z59" t="inlineStr">
        <is>
          <t>0.1.0</t>
        </is>
      </c>
      <c r="AA59" t="inlineStr">
        <is>
          <t>音乐</t>
        </is>
      </c>
      <c r="AB59" t="inlineStr">
        <is>
          <t>已废弃</t>
        </is>
      </c>
      <c r="AC59" t="inlineStr">
        <is>
          <t>P1 - Bigger the Better</t>
        </is>
      </c>
      <c r="AD59"/>
      <c r="AE59"/>
    </row>
    <row r="60" ht="25.5" customHeight="1">
      <c r="A60" s="3" t="str">
        <f>=HYPERLINK("https://applink.feishu.cn/client/todo/detail?guid=f56594d0-adb0-4fcc-8013-125f6b961fc0&amp;suite_entity_num=t100077", "“游民”夏洛特 &lt; 角色插图制作")</f>
        <v>“游民”夏洛特 &lt; 角色插图制作</v>
      </c>
      <c r="B60"/>
      <c r="C60" t="inlineStr">
        <is>
          <t>默认分组</t>
        </is>
      </c>
      <c r="D60"/>
      <c r="E60"/>
      <c r="F60" t="inlineStr">
        <is>
          <t>Ke Huang</t>
        </is>
      </c>
      <c r="G60" t="inlineStr">
        <is>
          <t>龚政涛</t>
        </is>
      </c>
      <c r="H60" s="4">
        <v>45547.96444444444</v>
      </c>
      <c r="I60" s="4"/>
      <c r="J60" s="4"/>
      <c r="K60" s="4">
        <v>45895.480787037035</v>
      </c>
      <c r="L60">
        <v>0</v>
      </c>
      <c r="M60">
        <v>0</v>
      </c>
      <c r="N60" t="inlineStr">
        <is>
          <t>NzQxMzM4ODg5NzkxNDY2NzAwOTpmNTY1OTRkMC1hZGIwLTRmY2MtODAxMy0xMjVmNmI5NjFmYzA6NDVjMTI3N2VkZWM2NjcwNzM3MDdkYTIxZjlhOTAwNzA6MQ==</t>
        </is>
      </c>
      <c r="O60" t="inlineStr">
        <is>
          <t>0</t>
        </is>
      </c>
      <c r="P60" t="inlineStr">
        <is>
          <t>或签任务</t>
        </is>
      </c>
      <c r="Q60" t="inlineStr">
        <is>
          <t>0</t>
        </is>
      </c>
      <c r="R60" t="inlineStr">
        <is>
          <t>龚政涛,Ke Huang</t>
        </is>
      </c>
      <c r="S60" s="4"/>
      <c r="T60" s="3" t="str">
        <f>=HYPERLINK("https://applink.feishu.cn/client/todo/task_list?guid=4d92b9af-66d1-4cd7-95d1-4b753a64ca6b", "跃入迷城")</f>
        <v>跃入迷城</v>
      </c>
      <c r="U60" t="inlineStr">
        <is>
          <t>4d92b9af-66d1-4cd7-95d1-4b753a64ca6b</t>
        </is>
      </c>
      <c r="V60" t="inlineStr">
        <is>
          <t>f56594d0-adb0-4fcc-8013-125f6b961fc0</t>
        </is>
      </c>
      <c r="W60"/>
      <c r="X60"/>
      <c r="Y60" t="inlineStr">
        <is>
          <t>cffa4f2c-fb50-49e2-aad9-4a85adbe2690</t>
        </is>
      </c>
      <c r="Z60" t="inlineStr">
        <is>
          <t>0.0.5</t>
        </is>
      </c>
      <c r="AA60" t="inlineStr">
        <is>
          <t>平面美术</t>
        </is>
      </c>
      <c r="AB60" t="inlineStr">
        <is>
          <t>已拆分</t>
        </is>
      </c>
      <c r="AC60" t="inlineStr">
        <is>
          <t>P1 - Bigger the Better</t>
        </is>
      </c>
      <c r="AD60" t="inlineStr">
        <is>
          <t>🎨艺术</t>
        </is>
      </c>
      <c r="AE60"/>
    </row>
    <row r="61" ht="25.5" customHeight="1">
      <c r="A61" s="3" t="str">
        <f>=HYPERLINK("https://applink.feishu.cn/client/todo/detail?guid=937c8266-1696-4061-9943-ed0c5e2912bf&amp;suite_entity_num=t100079", "插图：https://dikpa4hrtn9.feishu.cn/wiki/TVHDwqiUziiOeYkaluvcE9rdnJf")</f>
        <v>插图：https://dikpa4hrtn9.feishu.cn/wiki/TVHDwqiUziiOeYkaluvcE9rdnJf</v>
      </c>
      <c r="B61"/>
      <c r="C61" t="inlineStr">
        <is>
          <t>默认分组</t>
        </is>
      </c>
      <c r="D61"/>
      <c r="E61">
        <v>0</v>
      </c>
      <c r="F61" t="inlineStr">
        <is>
          <t>Ke Huang</t>
        </is>
      </c>
      <c r="G61" t="inlineStr">
        <is>
          <t>龚政涛</t>
        </is>
      </c>
      <c r="H61" s="4">
        <v>45547.96445601852</v>
      </c>
      <c r="I61" s="4"/>
      <c r="J61" s="4"/>
      <c r="K61" s="4">
        <v>45901.51850694444</v>
      </c>
      <c r="L61">
        <v>10</v>
      </c>
      <c r="M61">
        <v>0</v>
      </c>
      <c r="N61" t="inlineStr">
        <is>
          <t>NzQxMzM4ODg5NzkxNDY2NzAwOTo5MzdjODI2Ni0xNjk2LTQwNjEtOTk0My1lZDBjNWUyOTEyYmY6NDM4MWQzNTkyOTUyYmU5NDdmNWNmMzNjOWQ1MTBiNjg6MQ==</t>
        </is>
      </c>
      <c r="O61" t="inlineStr">
        <is>
          <t>0</t>
        </is>
      </c>
      <c r="P61" t="inlineStr">
        <is>
          <t>或签任务</t>
        </is>
      </c>
      <c r="Q61" t="inlineStr">
        <is>
          <t>0</t>
        </is>
      </c>
      <c r="R61" t="inlineStr">
        <is>
          <t>龚政涛,Ke Huang</t>
        </is>
      </c>
      <c r="S61" s="4"/>
      <c r="T61" s="3" t="str">
        <f>=HYPERLINK("https://applink.feishu.cn/client/todo/task_list?guid=4d92b9af-66d1-4cd7-95d1-4b753a64ca6b", "跃入迷城")</f>
        <v>跃入迷城</v>
      </c>
      <c r="U61" t="inlineStr">
        <is>
          <t>4d92b9af-66d1-4cd7-95d1-4b753a64ca6b</t>
        </is>
      </c>
      <c r="V61" t="inlineStr">
        <is>
          <t>937c8266-1696-4061-9943-ed0c5e2912bf</t>
        </is>
      </c>
      <c r="W61"/>
      <c r="X61"/>
      <c r="Y61"/>
      <c r="Z61" t="inlineStr">
        <is>
          <t>0.0.4</t>
        </is>
      </c>
      <c r="AA61" t="inlineStr">
        <is>
          <t>平面美术</t>
        </is>
      </c>
      <c r="AB61" t="inlineStr">
        <is>
          <t>已拆分</t>
        </is>
      </c>
      <c r="AC61" t="inlineStr">
        <is>
          <t>P2 - Nice to Have</t>
        </is>
      </c>
      <c r="AD61" t="inlineStr">
        <is>
          <t>🎨艺术</t>
        </is>
      </c>
      <c r="AE61"/>
    </row>
    <row r="62" ht="25.5" customHeight="1">
      <c r="A62" s="3" t="str">
        <f>=HYPERLINK("https://applink.feishu.cn/client/todo/detail?guid=9569697e-9971-4f4e-8588-0c61fccb52f3&amp;suite_entity_num=t100076", "定义音效事件")</f>
        <v>定义音效事件</v>
      </c>
      <c r="B62"/>
      <c r="C62" t="inlineStr">
        <is>
          <t>默认分组</t>
        </is>
      </c>
      <c r="D62"/>
      <c r="E62"/>
      <c r="F62" t="inlineStr">
        <is>
          <t>龚政涛,苏祺恒</t>
        </is>
      </c>
      <c r="G62" t="inlineStr">
        <is>
          <t>龚政涛</t>
        </is>
      </c>
      <c r="H62" s="4">
        <v>45547.96282407407</v>
      </c>
      <c r="I62" s="4">
        <v>45557.976006944446</v>
      </c>
      <c r="J62" s="4">
        <v>45549.333333333336</v>
      </c>
      <c r="K62" s="4">
        <v>45557.976006944446</v>
      </c>
      <c r="L62">
        <v>0</v>
      </c>
      <c r="M62">
        <v>1</v>
      </c>
      <c r="N62" t="inlineStr">
        <is>
          <t>NzQxMzM4ODg5NzkxNDY2NzAwOTo5NTY5Njk3ZS05OTcxLTRmNGUtODU4OC0wYzYxZmNjYjUyZjM6YzFlMjNkYWY3M2JhZDJhYTY3YzMyYWNlMTJmY2Y3ZDA6MQ==</t>
        </is>
      </c>
      <c r="O62" t="inlineStr">
        <is>
          <t>1</t>
        </is>
      </c>
      <c r="P62" t="inlineStr">
        <is>
          <t>或签任务</t>
        </is>
      </c>
      <c r="Q62" t="inlineStr">
        <is>
          <t>0</t>
        </is>
      </c>
      <c r="R62" t="inlineStr">
        <is>
          <t>龚政涛,苏祺恒</t>
        </is>
      </c>
      <c r="S62" s="4"/>
      <c r="T62" s="3" t="str">
        <f>=HYPERLINK("https://applink.feishu.cn/client/todo/task_list?guid=4d92b9af-66d1-4cd7-95d1-4b753a64ca6b", "跃入迷城")</f>
        <v>跃入迷城</v>
      </c>
      <c r="U62" t="inlineStr">
        <is>
          <t>4d92b9af-66d1-4cd7-95d1-4b753a64ca6b</t>
        </is>
      </c>
      <c r="V62" t="inlineStr">
        <is>
          <t>9569697e-9971-4f4e-8588-0c61fccb52f3</t>
        </is>
      </c>
      <c r="W62"/>
      <c r="X62"/>
      <c r="Y62"/>
      <c r="Z62" t="inlineStr">
        <is>
          <t>0.0.2</t>
        </is>
      </c>
      <c r="AA62" t="inlineStr">
        <is>
          <t>音乐</t>
        </is>
      </c>
      <c r="AB62" t="inlineStr">
        <is>
          <t>已废弃</t>
        </is>
      </c>
      <c r="AC62"/>
      <c r="AD62"/>
      <c r="AE62"/>
    </row>
    <row r="63" ht="25.5" customHeight="1">
      <c r="A63" s="3" t="str">
        <f>=HYPERLINK("https://applink.feishu.cn/client/todo/detail?guid=b8534a42-992e-4ee2-aa35-57c577f81cab&amp;suite_entity_num=t100080", "劳旅 -&gt; 浩 - 模糊")</f>
        <v>劳旅 -&gt; 浩 - 模糊</v>
      </c>
      <c r="B63"/>
      <c r="C63" t="inlineStr">
        <is>
          <t>默认分组</t>
        </is>
      </c>
      <c r="D63"/>
      <c r="E63"/>
      <c r="F63" t="inlineStr">
        <is>
          <t>Ke Huang</t>
        </is>
      </c>
      <c r="G63" t="inlineStr">
        <is>
          <t>龚政涛</t>
        </is>
      </c>
      <c r="H63" s="4">
        <v>45547.964479166665</v>
      </c>
      <c r="I63" s="4">
        <v>45709.45982638889</v>
      </c>
      <c r="J63" s="4"/>
      <c r="K63" s="4">
        <v>45709.45976851852</v>
      </c>
      <c r="L63">
        <v>0</v>
      </c>
      <c r="M63">
        <v>0</v>
      </c>
      <c r="N63" t="inlineStr">
        <is>
          <t>NzQxMzM4ODg5NzkxNDY2NzAwOTpiODUzNGE0Mi05OTJlLTRlZTItYWEzNS01N2M1NzdmODFjYWI6YWM3Y2ZiMTAzYmQ4OGQ0M2ZjMWFlMjljMzgzNWIyODI6MQ==</t>
        </is>
      </c>
      <c r="O63" t="inlineStr">
        <is>
          <t>1</t>
        </is>
      </c>
      <c r="P63" t="inlineStr">
        <is>
          <t>或签任务</t>
        </is>
      </c>
      <c r="Q63" t="inlineStr">
        <is>
          <t>0</t>
        </is>
      </c>
      <c r="R63" t="inlineStr">
        <is>
          <t>龚政涛,Ke Huang</t>
        </is>
      </c>
      <c r="S63" s="4"/>
      <c r="T63" s="3" t="str">
        <f>=HYPERLINK("https://applink.feishu.cn/client/todo/task_list?guid=4d92b9af-66d1-4cd7-95d1-4b753a64ca6b", "跃入迷城")</f>
        <v>跃入迷城</v>
      </c>
      <c r="U63" t="inlineStr">
        <is>
          <t>4d92b9af-66d1-4cd7-95d1-4b753a64ca6b</t>
        </is>
      </c>
      <c r="V63" t="inlineStr">
        <is>
          <t>b8534a42-992e-4ee2-aa35-57c577f81cab</t>
        </is>
      </c>
      <c r="W63"/>
      <c r="X63"/>
      <c r="Y63"/>
      <c r="Z63" t="inlineStr">
        <is>
          <t>0.0.2</t>
        </is>
      </c>
      <c r="AA63" t="inlineStr">
        <is>
          <t>平面美术</t>
        </is>
      </c>
      <c r="AB63" t="inlineStr">
        <is>
          <t>已废弃</t>
        </is>
      </c>
      <c r="AC63" t="inlineStr">
        <is>
          <t>P2 - Nice to Have</t>
        </is>
      </c>
      <c r="AD63"/>
      <c r="AE63"/>
    </row>
    <row r="64" ht="25.5" customHeight="1">
      <c r="A64" s="3" t="str">
        <f>=HYPERLINK("https://applink.feishu.cn/client/todo/detail?guid=212391de-1e1b-4757-aa5f-31df647ce767&amp;suite_entity_num=t100032", "撰写AI近战逻辑")</f>
        <v>撰写AI近战逻辑</v>
      </c>
      <c r="B64"/>
      <c r="C64" t="inlineStr">
        <is>
          <t>默认分组</t>
        </is>
      </c>
      <c r="D64"/>
      <c r="E64"/>
      <c r="F64" t="inlineStr">
        <is>
          <t>龚政涛</t>
        </is>
      </c>
      <c r="G64" t="inlineStr">
        <is>
          <t>龚政涛</t>
        </is>
      </c>
      <c r="H64" s="4">
        <v>45538.93965277778</v>
      </c>
      <c r="I64" s="4">
        <v>45542.93655092592</v>
      </c>
      <c r="J64" s="4">
        <v>45541.333333333336</v>
      </c>
      <c r="K64" s="4">
        <v>45548.44398148148</v>
      </c>
      <c r="L64">
        <v>0</v>
      </c>
      <c r="M64">
        <v>0</v>
      </c>
      <c r="N64" t="inlineStr">
        <is>
          <t>NzQxMzM4ODg5NzkxNDY2NzAwOToyMTIzOTFkZS0xZTFiLTQ3NTctYWE1Zi0zMWRmNjQ3Y2U3Njc6ZWVmMWQyODFhYWY2ODI4NDViNmIxNGNiZTdjOTMwNGI6MQ==</t>
        </is>
      </c>
      <c r="O64" t="inlineStr">
        <is>
          <t>1</t>
        </is>
      </c>
      <c r="P64" t="inlineStr">
        <is>
          <t>或签任务</t>
        </is>
      </c>
      <c r="Q64" t="inlineStr">
        <is>
          <t>0</t>
        </is>
      </c>
      <c r="R64" t="inlineStr">
        <is>
          <t>龚政涛</t>
        </is>
      </c>
      <c r="S64" s="4"/>
      <c r="T64" s="3" t="str">
        <f>=HYPERLINK("https://applink.feishu.cn/client/todo/task_list?guid=4d92b9af-66d1-4cd7-95d1-4b753a64ca6b", "跃入迷城")</f>
        <v>跃入迷城</v>
      </c>
      <c r="U64" t="inlineStr">
        <is>
          <t>4d92b9af-66d1-4cd7-95d1-4b753a64ca6b</t>
        </is>
      </c>
      <c r="V64" t="inlineStr">
        <is>
          <t>212391de-1e1b-4757-aa5f-31df647ce767</t>
        </is>
      </c>
      <c r="W64"/>
      <c r="X64"/>
      <c r="Y64"/>
      <c r="Z64" t="inlineStr">
        <is>
          <t>0.0.2</t>
        </is>
      </c>
      <c r="AA64" t="inlineStr">
        <is>
          <t>操作</t>
        </is>
      </c>
      <c r="AB64" t="inlineStr">
        <is>
          <t>已完成</t>
        </is>
      </c>
      <c r="AC64"/>
      <c r="AD64"/>
      <c r="AE64"/>
    </row>
    <row r="65" ht="25.5" customHeight="1">
      <c r="A65" s="3" t="str">
        <f>=HYPERLINK("https://applink.feishu.cn/client/todo/detail?guid=e0673395-426d-4071-a06c-f7d01c34516f&amp;suite_entity_num=t100078", "劳旅 -&gt; 广播")</f>
        <v>劳旅 -&gt; 广播</v>
      </c>
      <c r="B65"/>
      <c r="C65" t="inlineStr">
        <is>
          <t>默认分组</t>
        </is>
      </c>
      <c r="D65"/>
      <c r="E65"/>
      <c r="F65" t="inlineStr">
        <is>
          <t>Ke Huang</t>
        </is>
      </c>
      <c r="G65" t="inlineStr">
        <is>
          <t>龚政涛</t>
        </is>
      </c>
      <c r="H65" s="4">
        <v>45547.96445601852</v>
      </c>
      <c r="I65" s="4">
        <v>45709.460069444445</v>
      </c>
      <c r="J65" s="4"/>
      <c r="K65" s="4">
        <v>45709.460011574076</v>
      </c>
      <c r="L65">
        <v>0</v>
      </c>
      <c r="M65">
        <v>0</v>
      </c>
      <c r="N65" t="inlineStr">
        <is>
          <t>NzQxMzM4ODg5NzkxNDY2NzAwOTplMDY3MzM5NS00MjZkLTQwNzEtYTA2Yy1mN2QwMWMzNDUxNmY6OGEwZmQxOGYwMTU5MDRlNzM2ZDYyMWE0YTU4MjZlNmQ6MQ==</t>
        </is>
      </c>
      <c r="O65" t="inlineStr">
        <is>
          <t>1</t>
        </is>
      </c>
      <c r="P65" t="inlineStr">
        <is>
          <t>或签任务</t>
        </is>
      </c>
      <c r="Q65" t="inlineStr">
        <is>
          <t>0</t>
        </is>
      </c>
      <c r="R65" t="inlineStr">
        <is>
          <t>龚政涛,Ke Huang</t>
        </is>
      </c>
      <c r="S65" s="4"/>
      <c r="T65" s="3" t="str">
        <f>=HYPERLINK("https://applink.feishu.cn/client/todo/task_list?guid=4d92b9af-66d1-4cd7-95d1-4b753a64ca6b", "跃入迷城")</f>
        <v>跃入迷城</v>
      </c>
      <c r="U65" t="inlineStr">
        <is>
          <t>4d92b9af-66d1-4cd7-95d1-4b753a64ca6b</t>
        </is>
      </c>
      <c r="V65" t="inlineStr">
        <is>
          <t>e0673395-426d-4071-a06c-f7d01c34516f</t>
        </is>
      </c>
      <c r="W65"/>
      <c r="X65"/>
      <c r="Y65"/>
      <c r="Z65" t="inlineStr">
        <is>
          <t>0.0.2</t>
        </is>
      </c>
      <c r="AA65" t="inlineStr">
        <is>
          <t>平面美术</t>
        </is>
      </c>
      <c r="AB65" t="inlineStr">
        <is>
          <t>已废弃</t>
        </is>
      </c>
      <c r="AC65" t="inlineStr">
        <is>
          <t>P2 - Nice to Have</t>
        </is>
      </c>
      <c r="AD65"/>
      <c r="AE65"/>
    </row>
    <row r="66" ht="25.5" customHeight="1">
      <c r="A66" s="3" t="str">
        <f>=HYPERLINK("https://applink.feishu.cn/client/todo/detail?guid=9e173b1f-4dd7-4017-91aa-aabbaba2d2b4&amp;suite_entity_num=t100081", "劳旅 -&gt; 浩 - 激动")</f>
        <v>劳旅 -&gt; 浩 - 激动</v>
      </c>
      <c r="B66"/>
      <c r="C66" t="inlineStr">
        <is>
          <t>默认分组</t>
        </is>
      </c>
      <c r="D66"/>
      <c r="E66"/>
      <c r="F66" t="inlineStr">
        <is>
          <t>Ke Huang</t>
        </is>
      </c>
      <c r="G66" t="inlineStr">
        <is>
          <t>龚政涛</t>
        </is>
      </c>
      <c r="H66" s="4">
        <v>45547.96450231481</v>
      </c>
      <c r="I66" s="4">
        <v>45709.459756944445</v>
      </c>
      <c r="J66" s="4"/>
      <c r="K66" s="4">
        <v>45709.459699074076</v>
      </c>
      <c r="L66">
        <v>0</v>
      </c>
      <c r="M66">
        <v>0</v>
      </c>
      <c r="N66" t="inlineStr">
        <is>
          <t>NzQxMzM4ODg5NzkxNDY2NzAwOTo5ZTE3M2IxZi00ZGQ3LTQwMTctOTFhYS1hYWJiYWJhMmQyYjQ6MWNjM2Y1MTNkNDlmZGZhZDNjYTU5MGMxYmNjYzM5NDk6MQ==</t>
        </is>
      </c>
      <c r="O66" t="inlineStr">
        <is>
          <t>1</t>
        </is>
      </c>
      <c r="P66" t="inlineStr">
        <is>
          <t>或签任务</t>
        </is>
      </c>
      <c r="Q66" t="inlineStr">
        <is>
          <t>0</t>
        </is>
      </c>
      <c r="R66" t="inlineStr">
        <is>
          <t>龚政涛,Ke Huang</t>
        </is>
      </c>
      <c r="S66" s="4"/>
      <c r="T66" s="3" t="str">
        <f>=HYPERLINK("https://applink.feishu.cn/client/todo/task_list?guid=4d92b9af-66d1-4cd7-95d1-4b753a64ca6b", "跃入迷城")</f>
        <v>跃入迷城</v>
      </c>
      <c r="U66" t="inlineStr">
        <is>
          <t>4d92b9af-66d1-4cd7-95d1-4b753a64ca6b</t>
        </is>
      </c>
      <c r="V66" t="inlineStr">
        <is>
          <t>9e173b1f-4dd7-4017-91aa-aabbaba2d2b4</t>
        </is>
      </c>
      <c r="W66"/>
      <c r="X66"/>
      <c r="Y66"/>
      <c r="Z66" t="inlineStr">
        <is>
          <t>0.0.2</t>
        </is>
      </c>
      <c r="AA66" t="inlineStr">
        <is>
          <t>平面美术</t>
        </is>
      </c>
      <c r="AB66" t="inlineStr">
        <is>
          <t>已废弃</t>
        </is>
      </c>
      <c r="AC66" t="inlineStr">
        <is>
          <t>P2 - Nice to Have</t>
        </is>
      </c>
      <c r="AD66"/>
      <c r="AE66"/>
    </row>
    <row r="67" ht="25.5" customHeight="1">
      <c r="A67" s="3" t="str">
        <f>=HYPERLINK("https://applink.feishu.cn/client/todo/detail?guid=fc4a6d1d-0578-4e7f-bbfa-9e2e5cc49f3b&amp;suite_entity_num=t100083", "撰写了一个python脚本，可以严格按照规则生成UUID")</f>
        <v>撰写了一个python脚本，可以严格按照规则生成UUID</v>
      </c>
      <c r="B67"/>
      <c r="C67" t="inlineStr">
        <is>
          <t>默认分组</t>
        </is>
      </c>
      <c r="D67"/>
      <c r="E67"/>
      <c r="F67" t="inlineStr">
        <is>
          <t>龚政涛</t>
        </is>
      </c>
      <c r="G67" t="inlineStr">
        <is>
          <t>龚政涛</t>
        </is>
      </c>
      <c r="H67" s="4">
        <v>45550.09018518519</v>
      </c>
      <c r="I67" s="4">
        <v>45566.62810185185</v>
      </c>
      <c r="J67" s="4">
        <v>45550.333333333336</v>
      </c>
      <c r="K67" s="4">
        <v>45727.471597222226</v>
      </c>
      <c r="L67">
        <v>0</v>
      </c>
      <c r="M67">
        <v>1</v>
      </c>
      <c r="N67" t="inlineStr">
        <is>
          <t>NzQxMzM4ODg5NzkxNDY2NzAwOTpmYzRhNmQxZC0wNTc4LTRlN2YtYmJmYS05ZTJlNWNjNDlmM2I6MDA3ZmYwN2EzMWMxM2I3ZThlYzM0ZTFmMGUzOTlhN2E6MQ==</t>
        </is>
      </c>
      <c r="O67" t="inlineStr">
        <is>
          <t>1</t>
        </is>
      </c>
      <c r="P67" t="inlineStr">
        <is>
          <t>或签任务</t>
        </is>
      </c>
      <c r="Q67" t="inlineStr">
        <is>
          <t>0</t>
        </is>
      </c>
      <c r="R67" t="inlineStr">
        <is>
          <t>龚政涛,Decay</t>
        </is>
      </c>
      <c r="S67" s="4"/>
      <c r="T67" s="3" t="str">
        <f>=HYPERLINK("https://applink.feishu.cn/client/todo/task_list?guid=4d92b9af-66d1-4cd7-95d1-4b753a64ca6b", "跃入迷城")</f>
        <v>跃入迷城</v>
      </c>
      <c r="U67" t="inlineStr">
        <is>
          <t>4d92b9af-66d1-4cd7-95d1-4b753a64ca6b</t>
        </is>
      </c>
      <c r="V67" t="inlineStr">
        <is>
          <t>fc4a6d1d-0578-4e7f-bbfa-9e2e5cc49f3b</t>
        </is>
      </c>
      <c r="W67"/>
      <c r="X67"/>
      <c r="Y67"/>
      <c r="Z67" t="inlineStr">
        <is>
          <t>0.0.2</t>
        </is>
      </c>
      <c r="AA67" t="inlineStr">
        <is>
          <t>项目管理</t>
        </is>
      </c>
      <c r="AB67" t="inlineStr">
        <is>
          <t>已完成</t>
        </is>
      </c>
      <c r="AC67" t="inlineStr">
        <is>
          <t>P2 - Nice to Have</t>
        </is>
      </c>
      <c r="AD67"/>
      <c r="AE67"/>
    </row>
    <row r="68" ht="25.5" customHeight="1">
      <c r="A68" s="3" t="str">
        <f>=HYPERLINK("https://applink.feishu.cn/client/todo/detail?guid=a63a2313-4f8e-4f67-a33d-24ebc8cc498b&amp;suite_entity_num=t100085", "远程：AI基于和玩家的距离决定移动情况（EQS）")</f>
        <v>远程：AI基于和玩家的距离决定移动情况（EQS）</v>
      </c>
      <c r="B68"/>
      <c r="C68" t="inlineStr">
        <is>
          <t>默认分组</t>
        </is>
      </c>
      <c r="D68"/>
      <c r="E68"/>
      <c r="F68" t="inlineStr">
        <is>
          <t>李少秋</t>
        </is>
      </c>
      <c r="G68" t="inlineStr">
        <is>
          <t>龚政涛</t>
        </is>
      </c>
      <c r="H68" s="4">
        <v>45550.68760416667</v>
      </c>
      <c r="I68" s="4">
        <v>45611.67988425926</v>
      </c>
      <c r="J68" s="4">
        <v>45608.333333333336</v>
      </c>
      <c r="K68" s="4">
        <v>45611.67988425926</v>
      </c>
      <c r="L68">
        <v>0</v>
      </c>
      <c r="M68">
        <v>1</v>
      </c>
      <c r="N68" t="inlineStr">
        <is>
          <t>NzQxMzM4ODg5NzkxNDY2NzAwOTphNjNhMjMxMy00ZjhlLTRmNjctYTMzZC0yNGViYzhjYzQ5OGI6ZGU0NTFjZDQxYjNkM2MyNDUzODlmNmY5MDIwOTVkMjM6MQ==</t>
        </is>
      </c>
      <c r="O68" t="inlineStr">
        <is>
          <t>1</t>
        </is>
      </c>
      <c r="P68" t="inlineStr">
        <is>
          <t>或签任务</t>
        </is>
      </c>
      <c r="Q68" t="inlineStr">
        <is>
          <t>0</t>
        </is>
      </c>
      <c r="R68" t="inlineStr">
        <is>
          <t>龚政涛,李少秋</t>
        </is>
      </c>
      <c r="S68" s="4">
        <v>45608.333333333336</v>
      </c>
      <c r="T68" s="3" t="str">
        <f>=HYPERLINK("https://applink.feishu.cn/client/todo/task_list?guid=4d92b9af-66d1-4cd7-95d1-4b753a64ca6b", "跃入迷城")</f>
        <v>跃入迷城</v>
      </c>
      <c r="U68" t="inlineStr">
        <is>
          <t>4d92b9af-66d1-4cd7-95d1-4b753a64ca6b</t>
        </is>
      </c>
      <c r="V68" t="inlineStr">
        <is>
          <t>a63a2313-4f8e-4f67-a33d-24ebc8cc498b</t>
        </is>
      </c>
      <c r="W68" t="inlineStr">
        <is>
          <t>5e24ead2-1482-4889-9310-40e376d81b28</t>
        </is>
      </c>
      <c r="X68"/>
      <c r="Y68"/>
      <c r="Z68" t="inlineStr">
        <is>
          <t>0.0.3</t>
        </is>
      </c>
      <c r="AA68" t="inlineStr">
        <is>
          <t>AI</t>
        </is>
      </c>
      <c r="AB68" t="inlineStr">
        <is>
          <t>已完成</t>
        </is>
      </c>
      <c r="AC68" t="inlineStr">
        <is>
          <t>P1 - Bigger the Better</t>
        </is>
      </c>
      <c r="AD68"/>
      <c r="AE68"/>
    </row>
    <row r="69" ht="25.5" customHeight="1">
      <c r="A69" s="3" t="str">
        <f>=HYPERLINK("https://applink.feishu.cn/client/todo/detail?guid=9415cba5-1449-4116-adc4-866fe428bc82&amp;suite_entity_num=t100086", "远程：AI在瞄准攻击前判断障碍物决定是否攻击")</f>
        <v>远程：AI在瞄准攻击前判断障碍物决定是否攻击</v>
      </c>
      <c r="B69"/>
      <c r="C69" t="inlineStr">
        <is>
          <t>默认分组</t>
        </is>
      </c>
      <c r="D69"/>
      <c r="E69"/>
      <c r="F69" t="inlineStr">
        <is>
          <t>Decay,龚政涛</t>
        </is>
      </c>
      <c r="G69" t="inlineStr">
        <is>
          <t>龚政涛</t>
        </is>
      </c>
      <c r="H69" s="4">
        <v>45550.687743055554</v>
      </c>
      <c r="I69" s="4">
        <v>45611.68035879629</v>
      </c>
      <c r="J69" s="4"/>
      <c r="K69" s="4">
        <v>45733.70925925926</v>
      </c>
      <c r="L69">
        <v>0</v>
      </c>
      <c r="M69">
        <v>3</v>
      </c>
      <c r="N69" t="inlineStr">
        <is>
          <t>NzQxMzM4ODg5NzkxNDY2NzAwOTo5NDE1Y2JhNS0xNDQ5LTQxMTYtYWRjNC04NjZmZTQyOGJjODI6YWE2ZDUzYmNjOTgzMWYxYTMyYjcxZDMyOWU5NWRhMzc6MQ==</t>
        </is>
      </c>
      <c r="O69" t="inlineStr">
        <is>
          <t>1</t>
        </is>
      </c>
      <c r="P69" t="inlineStr">
        <is>
          <t>或签任务</t>
        </is>
      </c>
      <c r="Q69" t="inlineStr">
        <is>
          <t>0</t>
        </is>
      </c>
      <c r="R69" t="inlineStr">
        <is>
          <t>龚政涛,李少秋,Decay</t>
        </is>
      </c>
      <c r="S69" s="4"/>
      <c r="T69" s="3" t="str">
        <f>=HYPERLINK("https://applink.feishu.cn/client/todo/task_list?guid=4d92b9af-66d1-4cd7-95d1-4b753a64ca6b", "跃入迷城")</f>
        <v>跃入迷城</v>
      </c>
      <c r="U69" t="inlineStr">
        <is>
          <t>4d92b9af-66d1-4cd7-95d1-4b753a64ca6b</t>
        </is>
      </c>
      <c r="V69" t="inlineStr">
        <is>
          <t>9415cba5-1449-4116-adc4-866fe428bc82</t>
        </is>
      </c>
      <c r="W69" t="inlineStr">
        <is>
          <t>c8741210-6a11-4b88-8d20-0fd034d4db08</t>
        </is>
      </c>
      <c r="X69" t="inlineStr">
        <is>
          <t>33227912-9b90-4312-99e2-afeddd50750d</t>
        </is>
      </c>
      <c r="Y69"/>
      <c r="Z69" t="inlineStr">
        <is>
          <t>0.0.3</t>
        </is>
      </c>
      <c r="AA69" t="inlineStr">
        <is>
          <t>AI</t>
        </is>
      </c>
      <c r="AB69" t="inlineStr">
        <is>
          <t>已完成</t>
        </is>
      </c>
      <c r="AC69" t="inlineStr">
        <is>
          <t>P0 - Must (not) Have</t>
        </is>
      </c>
      <c r="AD69"/>
      <c r="AE69"/>
    </row>
    <row r="70" ht="25.5" customHeight="1">
      <c r="A70" s="3" t="str">
        <f>=HYPERLINK("https://applink.feishu.cn/client/todo/detail?guid=5e24ead2-1482-4889-9310-40e376d81b28&amp;suite_entity_num=t100084", "AI在瞄准和移动状态间切换")</f>
        <v>AI在瞄准和移动状态间切换</v>
      </c>
      <c r="B70"/>
      <c r="C70" t="inlineStr">
        <is>
          <t>默认分组</t>
        </is>
      </c>
      <c r="D70"/>
      <c r="E70"/>
      <c r="F70" t="inlineStr">
        <is>
          <t>李少秋</t>
        </is>
      </c>
      <c r="G70" t="inlineStr">
        <is>
          <t>龚政涛</t>
        </is>
      </c>
      <c r="H70" s="4">
        <v>45550.68738425926</v>
      </c>
      <c r="I70" s="4">
        <v>45639.611875</v>
      </c>
      <c r="J70" s="4">
        <v>45607.333333333336</v>
      </c>
      <c r="K70" s="4">
        <v>45639.61188657407</v>
      </c>
      <c r="L70">
        <v>0</v>
      </c>
      <c r="M70">
        <v>1</v>
      </c>
      <c r="N70" t="inlineStr">
        <is>
          <t>NzQxMzM4ODg5NzkxNDY2NzAwOTo1ZTI0ZWFkMi0xNDgyLTQ4ODktOTMxMC00MGUzNzZkODFiMjg6NzIyN2Y2Y2U0YWRlNTdiZjkyNmViNjY4OWQwNzYyMWQ6MQ==</t>
        </is>
      </c>
      <c r="O70" t="inlineStr">
        <is>
          <t>1</t>
        </is>
      </c>
      <c r="P70" t="inlineStr">
        <is>
          <t>或签任务</t>
        </is>
      </c>
      <c r="Q70" t="inlineStr">
        <is>
          <t>0</t>
        </is>
      </c>
      <c r="R70" t="inlineStr">
        <is>
          <t>龚政涛,李少秋</t>
        </is>
      </c>
      <c r="S70" s="4">
        <v>45607.333333333336</v>
      </c>
      <c r="T70" s="3" t="str">
        <f>=HYPERLINK("https://applink.feishu.cn/client/todo/task_list?guid=4d92b9af-66d1-4cd7-95d1-4b753a64ca6b", "跃入迷城")</f>
        <v>跃入迷城</v>
      </c>
      <c r="U70" t="inlineStr">
        <is>
          <t>4d92b9af-66d1-4cd7-95d1-4b753a64ca6b</t>
        </is>
      </c>
      <c r="V70" t="inlineStr">
        <is>
          <t>5e24ead2-1482-4889-9310-40e376d81b28</t>
        </is>
      </c>
      <c r="W70"/>
      <c r="X70" t="inlineStr">
        <is>
          <t>a63a2313-4f8e-4f67-a33d-24ebc8cc498b</t>
        </is>
      </c>
      <c r="Y70"/>
      <c r="Z70" t="inlineStr">
        <is>
          <t>0.0.3</t>
        </is>
      </c>
      <c r="AA70" t="inlineStr">
        <is>
          <t>AI</t>
        </is>
      </c>
      <c r="AB70" t="inlineStr">
        <is>
          <t>已废弃</t>
        </is>
      </c>
      <c r="AC70" t="inlineStr">
        <is>
          <t>P1 - Bigger the Better</t>
        </is>
      </c>
      <c r="AD70"/>
      <c r="AE70"/>
    </row>
    <row r="71" ht="25.5" customHeight="1">
      <c r="A71" s="3" t="str">
        <f>=HYPERLINK("https://applink.feishu.cn/client/todo/detail?guid=5581dd32-81ba-4375-aedb-9fef4b7c0bba&amp;suite_entity_num=t100087", "动态避障")</f>
        <v>动态避障</v>
      </c>
      <c r="B71"/>
      <c r="C71" t="inlineStr">
        <is>
          <t>默认分组</t>
        </is>
      </c>
      <c r="D71"/>
      <c r="E71"/>
      <c r="F71" t="inlineStr">
        <is>
          <t>李少秋</t>
        </is>
      </c>
      <c r="G71" t="inlineStr">
        <is>
          <t>李少秋</t>
        </is>
      </c>
      <c r="H71" s="4">
        <v>45550.701273148145</v>
      </c>
      <c r="I71" s="4">
        <v>45612.578310185185</v>
      </c>
      <c r="J71" s="4"/>
      <c r="K71" s="4">
        <v>45727.47142361111</v>
      </c>
      <c r="L71">
        <v>0</v>
      </c>
      <c r="M71">
        <v>0</v>
      </c>
      <c r="N71" t="inlineStr">
        <is>
          <t>NzQxMzM4ODg5NzkxNDY2NzAwOTo1NTgxZGQzMi04MWJhLTQzNzUtYWVkYi05ZmVmNGI3YzBiYmE6ZjcxODI3OWZlODg4MzAzMDc4MTM2MTAwZGIzNWQxYWI6MQ==</t>
        </is>
      </c>
      <c r="O71" t="inlineStr">
        <is>
          <t>1</t>
        </is>
      </c>
      <c r="P71" t="inlineStr">
        <is>
          <t>或签任务</t>
        </is>
      </c>
      <c r="Q71" t="inlineStr">
        <is>
          <t>0</t>
        </is>
      </c>
      <c r="R71" t="inlineStr">
        <is>
          <t>李少秋</t>
        </is>
      </c>
      <c r="S71" s="4"/>
      <c r="T71" s="3" t="str">
        <f>=HYPERLINK("https://applink.feishu.cn/client/todo/task_list?guid=4d92b9af-66d1-4cd7-95d1-4b753a64ca6b", "跃入迷城")</f>
        <v>跃入迷城</v>
      </c>
      <c r="U71" t="inlineStr">
        <is>
          <t>4d92b9af-66d1-4cd7-95d1-4b753a64ca6b</t>
        </is>
      </c>
      <c r="V71" t="inlineStr">
        <is>
          <t>5581dd32-81ba-4375-aedb-9fef4b7c0bba</t>
        </is>
      </c>
      <c r="W71"/>
      <c r="X71"/>
      <c r="Y71"/>
      <c r="Z71" t="inlineStr">
        <is>
          <t>0.0.2</t>
        </is>
      </c>
      <c r="AA71" t="inlineStr">
        <is>
          <t>AI</t>
        </is>
      </c>
      <c r="AB71" t="inlineStr">
        <is>
          <t>已完成</t>
        </is>
      </c>
      <c r="AC71"/>
      <c r="AD71"/>
      <c r="AE71"/>
    </row>
    <row r="72" ht="25.5" customHeight="1">
      <c r="A72" s="3" t="str">
        <f>=HYPERLINK("https://applink.feishu.cn/client/todo/detail?guid=e0270770-3368-48c3-adb9-7b9f5a43eea9&amp;suite_entity_num=t100092", "通用：敌人的攻击次数应该是2个输入，分别是攻击次数/持续时长随机范围的上限和下限")</f>
        <v>通用：敌人的攻击次数应该是2个输入，分别是攻击次数/持续时长随机范围的上限和下限</v>
      </c>
      <c r="B72" t="inlineStr">
        <is>
          <t>[Image]这里Duration用于自动武器、Count用于半自动武器</t>
        </is>
      </c>
      <c r="C72" t="inlineStr">
        <is>
          <t>默认分组</t>
        </is>
      </c>
      <c r="D72"/>
      <c r="E72"/>
      <c r="F72" t="inlineStr">
        <is>
          <t>李少秋,Decay</t>
        </is>
      </c>
      <c r="G72" t="inlineStr">
        <is>
          <t>龚政涛</t>
        </is>
      </c>
      <c r="H72" s="4">
        <v>45554.90284722222</v>
      </c>
      <c r="I72" s="4">
        <v>45617.45216435185</v>
      </c>
      <c r="J72" s="4">
        <v>45599.333333333336</v>
      </c>
      <c r="K72" s="4">
        <v>45617.45216435185</v>
      </c>
      <c r="L72">
        <v>0</v>
      </c>
      <c r="M72">
        <v>1</v>
      </c>
      <c r="N72" t="inlineStr">
        <is>
          <t>NzQxMzM4ODg5NzkxNDY2NzAwOTplMDI3MDc3MC0zMzY4LTQ4YzMtYWRiOS03YjlmNWE0M2VlYTk6YzVmMDllYzRkYWQ3Njc4YWZiNzg0NThhZTFlNWYyMzQ6MQ==</t>
        </is>
      </c>
      <c r="O72" t="inlineStr">
        <is>
          <t>1</t>
        </is>
      </c>
      <c r="P72" t="inlineStr">
        <is>
          <t>或签任务</t>
        </is>
      </c>
      <c r="Q72" t="inlineStr">
        <is>
          <t>0</t>
        </is>
      </c>
      <c r="R72" t="inlineStr">
        <is>
          <t>李少秋,龚政涛,Decay</t>
        </is>
      </c>
      <c r="S72" s="4">
        <v>45598.333333333336</v>
      </c>
      <c r="T72" s="3" t="str">
        <f>=HYPERLINK("https://applink.feishu.cn/client/todo/task_list?guid=4d92b9af-66d1-4cd7-95d1-4b753a64ca6b", "跃入迷城")</f>
        <v>跃入迷城</v>
      </c>
      <c r="U72" t="inlineStr">
        <is>
          <t>4d92b9af-66d1-4cd7-95d1-4b753a64ca6b</t>
        </is>
      </c>
      <c r="V72" t="inlineStr">
        <is>
          <t>e0270770-3368-48c3-adb9-7b9f5a43eea9</t>
        </is>
      </c>
      <c r="W72"/>
      <c r="X72"/>
      <c r="Y72"/>
      <c r="Z72" t="inlineStr">
        <is>
          <t>0.0.3</t>
        </is>
      </c>
      <c r="AA72" t="inlineStr">
        <is>
          <t>AI</t>
        </is>
      </c>
      <c r="AB72" t="inlineStr">
        <is>
          <t>已完成</t>
        </is>
      </c>
      <c r="AC72" t="inlineStr">
        <is>
          <t>P2 - Nice to Have</t>
        </is>
      </c>
      <c r="AD72"/>
      <c r="AE72"/>
    </row>
    <row r="73" ht="25.5" customHeight="1">
      <c r="A73" s="3" t="str">
        <f>=HYPERLINK("https://applink.feishu.cn/client/todo/detail?guid=6358e1ae-30aa-4967-9990-890cbd5c867b&amp;suite_entity_num=t100093", "UUID管理")</f>
        <v>UUID管理</v>
      </c>
      <c r="B73"/>
      <c r="C73" t="inlineStr">
        <is>
          <t>默认分组</t>
        </is>
      </c>
      <c r="D73"/>
      <c r="E73"/>
      <c r="F73" t="inlineStr">
        <is>
          <t>Decay</t>
        </is>
      </c>
      <c r="G73" t="inlineStr">
        <is>
          <t>Decay</t>
        </is>
      </c>
      <c r="H73" s="4">
        <v>45555.091840277775</v>
      </c>
      <c r="I73" s="4"/>
      <c r="J73" s="4"/>
      <c r="K73" s="4">
        <v>45727.473912037036</v>
      </c>
      <c r="L73">
        <v>0</v>
      </c>
      <c r="M73">
        <v>4</v>
      </c>
      <c r="N73" t="inlineStr">
        <is>
          <t>NzQxMzM4ODg5NzkxNDY2NzAwOTo2MzU4ZTFhZS0zMGFhLTQ5NjctOTk5MC04OTBjYmQ1Yzg2N2I6NTYyM2M4ZDZkY2U4NmNiYmRhNDhkZWFhNjRmZjY3N2Q6MQ==</t>
        </is>
      </c>
      <c r="O73" t="inlineStr">
        <is>
          <t>0</t>
        </is>
      </c>
      <c r="P73" t="inlineStr">
        <is>
          <t>或签任务</t>
        </is>
      </c>
      <c r="Q73" t="inlineStr">
        <is>
          <t>0</t>
        </is>
      </c>
      <c r="R73" t="inlineStr">
        <is>
          <t>Decay</t>
        </is>
      </c>
      <c r="S73" s="4"/>
      <c r="T73" s="3" t="str">
        <f>=HYPERLINK("https://applink.feishu.cn/client/todo/task_list?guid=4d92b9af-66d1-4cd7-95d1-4b753a64ca6b", "跃入迷城")</f>
        <v>跃入迷城</v>
      </c>
      <c r="U73" t="inlineStr">
        <is>
          <t>4d92b9af-66d1-4cd7-95d1-4b753a64ca6b</t>
        </is>
      </c>
      <c r="V73" t="inlineStr">
        <is>
          <t>6358e1ae-30aa-4967-9990-890cbd5c867b</t>
        </is>
      </c>
      <c r="W73"/>
      <c r="X73"/>
      <c r="Y73"/>
      <c r="Z73" t="inlineStr">
        <is>
          <t>0.1.0</t>
        </is>
      </c>
      <c r="AA73" t="inlineStr">
        <is>
          <t>程序底层</t>
        </is>
      </c>
      <c r="AB73" t="inlineStr">
        <is>
          <t>已拆分</t>
        </is>
      </c>
      <c r="AC73" t="inlineStr">
        <is>
          <t>P2 - Nice to Have</t>
        </is>
      </c>
      <c r="AD73"/>
      <c r="AE73"/>
    </row>
    <row r="74" ht="25.5" customHeight="1">
      <c r="A74" s="3" t="str">
        <f>=HYPERLINK("https://applink.feishu.cn/client/todo/detail?guid=104d8b4d-e85f-4732-b4f6-0fdee638a066&amp;suite_entity_num=t100118", "标准化素材文件夹/文档整理")</f>
        <v>标准化素材文件夹/文档整理</v>
      </c>
      <c r="B74"/>
      <c r="C74" t="inlineStr">
        <is>
          <t>默认分组</t>
        </is>
      </c>
      <c r="D74"/>
      <c r="E74"/>
      <c r="F74" t="inlineStr">
        <is>
          <t>龚政涛</t>
        </is>
      </c>
      <c r="G74" t="inlineStr">
        <is>
          <t>龚政涛</t>
        </is>
      </c>
      <c r="H74" s="4">
        <v>45557.97539351852</v>
      </c>
      <c r="I74" s="4">
        <v>45564.98475694445</v>
      </c>
      <c r="J74" s="4">
        <v>45564.333333333336</v>
      </c>
      <c r="K74" s="4">
        <v>45866.69315972222</v>
      </c>
      <c r="L74">
        <v>0</v>
      </c>
      <c r="M74">
        <v>1</v>
      </c>
      <c r="N74" t="inlineStr">
        <is>
          <t>NzQxMzM4ODg5NzkxNDY2NzAwOToxMDRkOGI0ZC1lODVmLTQ3MzItYjRmNi0wZmRlZTYzOGEwNjY6YTQ0ODAyNTM4ZDhkNDNhNzlkOGVlZjY4YTQ1MzViNWU6MQ==</t>
        </is>
      </c>
      <c r="O74" t="inlineStr">
        <is>
          <t>1</t>
        </is>
      </c>
      <c r="P74" t="inlineStr">
        <is>
          <t>或签任务</t>
        </is>
      </c>
      <c r="Q74" t="inlineStr">
        <is>
          <t>0</t>
        </is>
      </c>
      <c r="R74" t="inlineStr">
        <is>
          <t>龚政涛</t>
        </is>
      </c>
      <c r="S74" s="4"/>
      <c r="T74" s="3" t="str">
        <f>=HYPERLINK("https://applink.feishu.cn/client/todo/task_list?guid=4d92b9af-66d1-4cd7-95d1-4b753a64ca6b", "跃入迷城")</f>
        <v>跃入迷城</v>
      </c>
      <c r="U74" t="inlineStr">
        <is>
          <t>4d92b9af-66d1-4cd7-95d1-4b753a64ca6b</t>
        </is>
      </c>
      <c r="V74" t="inlineStr">
        <is>
          <t>104d8b4d-e85f-4732-b4f6-0fdee638a066</t>
        </is>
      </c>
      <c r="W74"/>
      <c r="X74"/>
      <c r="Y74"/>
      <c r="Z74" t="inlineStr">
        <is>
          <t>0.0.5</t>
        </is>
      </c>
      <c r="AA74" t="inlineStr">
        <is>
          <t>项目管理</t>
        </is>
      </c>
      <c r="AB74" t="inlineStr">
        <is>
          <t>工作中</t>
        </is>
      </c>
      <c r="AC74" t="inlineStr">
        <is>
          <t>P0 - Must (not) Have</t>
        </is>
      </c>
      <c r="AD74" t="inlineStr">
        <is>
          <t>🛠️技术</t>
        </is>
      </c>
      <c r="AE74"/>
    </row>
    <row r="75" ht="25.5" customHeight="1">
      <c r="A75" s="3" t="str">
        <f>=HYPERLINK("https://applink.feishu.cn/client/todo/detail?guid=fc97efdb-c51d-4350-8763-ef5972371298&amp;suite_entity_num=t100121", "尝试创建一个更简单的关卡")</f>
        <v>尝试创建一个更简单的关卡</v>
      </c>
      <c r="B75"/>
      <c r="C75" t="inlineStr">
        <is>
          <t>默认分组</t>
        </is>
      </c>
      <c r="D75"/>
      <c r="E75"/>
      <c r="F75" t="inlineStr">
        <is>
          <t>龚政涛</t>
        </is>
      </c>
      <c r="G75" t="inlineStr">
        <is>
          <t>龚政涛</t>
        </is>
      </c>
      <c r="H75" s="4">
        <v>45557.97777777778</v>
      </c>
      <c r="I75" s="4">
        <v>45563.003958333335</v>
      </c>
      <c r="J75" s="4">
        <v>45558.333333333336</v>
      </c>
      <c r="K75" s="4">
        <v>45727.47788194445</v>
      </c>
      <c r="L75">
        <v>0</v>
      </c>
      <c r="M75">
        <v>0</v>
      </c>
      <c r="N75" t="inlineStr">
        <is>
          <t>NzQxMzM4ODg5NzkxNDY2NzAwOTpmYzk3ZWZkYi1jNTFkLTQzNTAtODc2My1lZjU5NzIzNzEyOTg6YTRmMWM1ZmU1Yjc4ODA2MTkyNWY3MjAzZDhhZWMwYzA6MQ==</t>
        </is>
      </c>
      <c r="O75" t="inlineStr">
        <is>
          <t>1</t>
        </is>
      </c>
      <c r="P75" t="inlineStr">
        <is>
          <t>或签任务</t>
        </is>
      </c>
      <c r="Q75" t="inlineStr">
        <is>
          <t>0</t>
        </is>
      </c>
      <c r="R75" t="inlineStr">
        <is>
          <t>龚政涛</t>
        </is>
      </c>
      <c r="S75" s="4">
        <v>45558.333333333336</v>
      </c>
      <c r="T75" s="3" t="str">
        <f>=HYPERLINK("https://applink.feishu.cn/client/todo/task_list?guid=4d92b9af-66d1-4cd7-95d1-4b753a64ca6b", "跃入迷城")</f>
        <v>跃入迷城</v>
      </c>
      <c r="U75" t="inlineStr">
        <is>
          <t>4d92b9af-66d1-4cd7-95d1-4b753a64ca6b</t>
        </is>
      </c>
      <c r="V75" t="inlineStr">
        <is>
          <t>fc97efdb-c51d-4350-8763-ef5972371298</t>
        </is>
      </c>
      <c r="W75"/>
      <c r="X75"/>
      <c r="Y75"/>
      <c r="Z75" t="inlineStr">
        <is>
          <t>0.0.2</t>
        </is>
      </c>
      <c r="AA75" t="inlineStr">
        <is>
          <t>操作</t>
        </is>
      </c>
      <c r="AB75" t="inlineStr">
        <is>
          <t>已废弃</t>
        </is>
      </c>
      <c r="AC75" t="inlineStr">
        <is>
          <t>P0 - Must (not) Have</t>
        </is>
      </c>
      <c r="AD75"/>
      <c r="AE75"/>
    </row>
    <row r="76" ht="25.5" customHeight="1">
      <c r="A76" s="3" t="str">
        <f>=HYPERLINK("https://applink.feishu.cn/client/todo/detail?guid=19944a41-f843-4f35-bf2d-432bf2261267&amp;suite_entity_num=t100120", "测试继承的敌人")</f>
        <v>测试继承的敌人</v>
      </c>
      <c r="B76"/>
      <c r="C76" t="inlineStr">
        <is>
          <t>默认分组</t>
        </is>
      </c>
      <c r="D76"/>
      <c r="E76"/>
      <c r="F76" t="inlineStr">
        <is>
          <t>龚政涛</t>
        </is>
      </c>
      <c r="G76" t="inlineStr">
        <is>
          <t>龚政涛</t>
        </is>
      </c>
      <c r="H76" s="4">
        <v>45557.97760416667</v>
      </c>
      <c r="I76" s="4">
        <v>45563.004016203704</v>
      </c>
      <c r="J76" s="4">
        <v>45558.333333333336</v>
      </c>
      <c r="K76" s="4">
        <v>45727.4778125</v>
      </c>
      <c r="L76">
        <v>0</v>
      </c>
      <c r="M76">
        <v>0</v>
      </c>
      <c r="N76" t="inlineStr">
        <is>
          <t>NzQxMzM4ODg5NzkxNDY2NzAwOToxOTk0NGE0MS1mODQzLTRmMzUtYmYyZC00MzJiZjIyNjEyNjc6MmZiMzQ4NTUyNGVmNGUyZTBjYTNhMmYxNWFhNWMyNmU6MQ==</t>
        </is>
      </c>
      <c r="O76" t="inlineStr">
        <is>
          <t>1</t>
        </is>
      </c>
      <c r="P76" t="inlineStr">
        <is>
          <t>或签任务</t>
        </is>
      </c>
      <c r="Q76" t="inlineStr">
        <is>
          <t>0</t>
        </is>
      </c>
      <c r="R76" t="inlineStr">
        <is>
          <t>龚政涛</t>
        </is>
      </c>
      <c r="S76" s="4"/>
      <c r="T76" s="3" t="str">
        <f>=HYPERLINK("https://applink.feishu.cn/client/todo/task_list?guid=4d92b9af-66d1-4cd7-95d1-4b753a64ca6b", "跃入迷城")</f>
        <v>跃入迷城</v>
      </c>
      <c r="U76" t="inlineStr">
        <is>
          <t>4d92b9af-66d1-4cd7-95d1-4b753a64ca6b</t>
        </is>
      </c>
      <c r="V76" t="inlineStr">
        <is>
          <t>19944a41-f843-4f35-bf2d-432bf2261267</t>
        </is>
      </c>
      <c r="W76"/>
      <c r="X76"/>
      <c r="Y76"/>
      <c r="Z76" t="inlineStr">
        <is>
          <t>0.0.2</t>
        </is>
      </c>
      <c r="AA76" t="inlineStr">
        <is>
          <t>操作</t>
        </is>
      </c>
      <c r="AB76" t="inlineStr">
        <is>
          <t>已完成</t>
        </is>
      </c>
      <c r="AC76" t="inlineStr">
        <is>
          <t>P0 - Must (not) Have</t>
        </is>
      </c>
      <c r="AD76"/>
      <c r="AE76"/>
    </row>
    <row r="77" ht="25.5" customHeight="1">
      <c r="A77" s="3" t="str">
        <f>=HYPERLINK("https://applink.feishu.cn/client/todo/detail?guid=ae26e954-aa5d-4e17-a893-621f9ee37f06&amp;suite_entity_num=t100122", "修复战争迷雾穿墙问题")</f>
        <v>修复战争迷雾穿墙问题</v>
      </c>
      <c r="B77"/>
      <c r="C77" t="inlineStr">
        <is>
          <t>默认分组</t>
        </is>
      </c>
      <c r="D77"/>
      <c r="E77"/>
      <c r="F77" t="inlineStr">
        <is>
          <t>成都TA小刘,Decay</t>
        </is>
      </c>
      <c r="G77" t="inlineStr">
        <is>
          <t>龚政涛</t>
        </is>
      </c>
      <c r="H77" s="4">
        <v>45557.98800925926</v>
      </c>
      <c r="I77" s="4">
        <v>45715.7049537037</v>
      </c>
      <c r="J77" s="4">
        <v>45672.333333333336</v>
      </c>
      <c r="K77" s="4">
        <v>45715.705</v>
      </c>
      <c r="L77">
        <v>0</v>
      </c>
      <c r="M77">
        <v>2</v>
      </c>
      <c r="N77" t="inlineStr">
        <is>
          <t>NzQxMzM4ODg5NzkxNDY2NzAwOTphZTI2ZTk1NC1hYTVkLTRlMTctYTg5My02MjFmOWVlMzdmMDY6NmViNzE2NzAzYzJkZTdmZGQ3YWRlYTVmZTc1ZTUyNDI6MQ==</t>
        </is>
      </c>
      <c r="O77" t="inlineStr">
        <is>
          <t>1</t>
        </is>
      </c>
      <c r="P77" t="inlineStr">
        <is>
          <t>或签任务</t>
        </is>
      </c>
      <c r="Q77" t="inlineStr">
        <is>
          <t>0</t>
        </is>
      </c>
      <c r="R77" t="inlineStr">
        <is>
          <t>龚政涛,成都TA小刘,Decay</t>
        </is>
      </c>
      <c r="S77" s="4">
        <v>45669.333333333336</v>
      </c>
      <c r="T77" s="3" t="str">
        <f>=HYPERLINK("https://applink.feishu.cn/client/todo/task_list?guid=4d92b9af-66d1-4cd7-95d1-4b753a64ca6b", "跃入迷城")</f>
        <v>跃入迷城</v>
      </c>
      <c r="U77" t="inlineStr">
        <is>
          <t>4d92b9af-66d1-4cd7-95d1-4b753a64ca6b</t>
        </is>
      </c>
      <c r="V77" t="inlineStr">
        <is>
          <t>ae26e954-aa5d-4e17-a893-621f9ee37f06</t>
        </is>
      </c>
      <c r="W77"/>
      <c r="X77"/>
      <c r="Y77"/>
      <c r="Z77" t="inlineStr">
        <is>
          <t>0.0.4</t>
        </is>
      </c>
      <c r="AA77" t="inlineStr">
        <is>
          <t>平面美术</t>
        </is>
      </c>
      <c r="AB77" t="inlineStr">
        <is>
          <t>已完成</t>
        </is>
      </c>
      <c r="AC77" t="inlineStr">
        <is>
          <t>P0 - Must (not) Have</t>
        </is>
      </c>
      <c r="AD77"/>
      <c r="AE77"/>
    </row>
    <row r="78" ht="25.5" customHeight="1">
      <c r="A78" s="3" t="str">
        <f>=HYPERLINK("https://applink.feishu.cn/client/todo/detail?guid=01229674-47e6-4565-89b4-2fb54f86c327&amp;suite_entity_num=t100127", "掉落系统依旧可以存在，但我还是觉得从敌人尸体身上拾取更为合理，因为和奖励机器交互的逻辑保持了一致，减少玩家的学习曲线/成本")</f>
        <v>掉落系统依旧可以存在，但我还是觉得从敌人尸体身上拾取更为合理，因为和奖励机器交互的逻辑保持了一致，减少玩家的学习曲线/成本</v>
      </c>
      <c r="B78"/>
      <c r="C78" t="inlineStr">
        <is>
          <t>默认分组</t>
        </is>
      </c>
      <c r="D78"/>
      <c r="E78"/>
      <c r="F78" t="inlineStr">
        <is>
          <t>Decay</t>
        </is>
      </c>
      <c r="G78" t="inlineStr">
        <is>
          <t>龚政涛</t>
        </is>
      </c>
      <c r="H78" s="4">
        <v>45558.46162037037</v>
      </c>
      <c r="I78" s="4">
        <v>45572.601064814815</v>
      </c>
      <c r="J78" s="4"/>
      <c r="K78" s="4">
        <v>45572.60115740741</v>
      </c>
      <c r="L78">
        <v>0</v>
      </c>
      <c r="M78">
        <v>6</v>
      </c>
      <c r="N78" t="inlineStr">
        <is>
          <t>NzQxMzM4ODg5NzkxNDY2NzAwOTowMTIyOTY3NC00N2U2LTQ1NjUtODliNC0yZmI1NGY4NmMzMjc6ODBiMGQ5Zjc2YzBlNWQ2Y2Y1MzdhZWE5YmYwMTg4N2U6MQ==</t>
        </is>
      </c>
      <c r="O78" t="inlineStr">
        <is>
          <t>1</t>
        </is>
      </c>
      <c r="P78" t="inlineStr">
        <is>
          <t>或签任务</t>
        </is>
      </c>
      <c r="Q78" t="inlineStr">
        <is>
          <t>0</t>
        </is>
      </c>
      <c r="R78" t="inlineStr">
        <is>
          <t>龚政涛,Decay</t>
        </is>
      </c>
      <c r="S78" s="4"/>
      <c r="T78" s="3" t="str">
        <f>=HYPERLINK("https://applink.feishu.cn/client/todo/task_list?guid=4d92b9af-66d1-4cd7-95d1-4b753a64ca6b", "跃入迷城")</f>
        <v>跃入迷城</v>
      </c>
      <c r="U78" t="inlineStr">
        <is>
          <t>4d92b9af-66d1-4cd7-95d1-4b753a64ca6b</t>
        </is>
      </c>
      <c r="V78" t="inlineStr">
        <is>
          <t>01229674-47e6-4565-89b4-2fb54f86c327</t>
        </is>
      </c>
      <c r="W78"/>
      <c r="X78"/>
      <c r="Y78"/>
      <c r="Z78" t="inlineStr">
        <is>
          <t>0.0.2</t>
        </is>
      </c>
      <c r="AA78" t="inlineStr">
        <is>
          <t>操作</t>
        </is>
      </c>
      <c r="AB78" t="inlineStr">
        <is>
          <t>已完成</t>
        </is>
      </c>
      <c r="AC78"/>
      <c r="AD78"/>
      <c r="AE78"/>
    </row>
    <row r="79" ht="25.5" customHeight="1">
      <c r="A79" s="3" t="str">
        <f>=HYPERLINK("https://applink.feishu.cn/client/todo/detail?guid=cfc5d40f-a75e-4936-a36c-1e924df44f52&amp;suite_entity_num=t100126", "电梯权限在最后一个敌人死后直接给玩家，而非拾取电梯卡获得")</f>
        <v>电梯权限在最后一个敌人死后直接给玩家，而非拾取电梯卡获得</v>
      </c>
      <c r="B79"/>
      <c r="C79" t="inlineStr">
        <is>
          <t>默认分组</t>
        </is>
      </c>
      <c r="D79"/>
      <c r="E79"/>
      <c r="F79" t="inlineStr">
        <is>
          <t>Decay</t>
        </is>
      </c>
      <c r="G79" t="inlineStr">
        <is>
          <t>龚政涛</t>
        </is>
      </c>
      <c r="H79" s="4">
        <v>45558.46160879629</v>
      </c>
      <c r="I79" s="4">
        <v>45572.57577546296</v>
      </c>
      <c r="J79" s="4"/>
      <c r="K79" s="4">
        <v>45572.57579861111</v>
      </c>
      <c r="L79">
        <v>0</v>
      </c>
      <c r="M79">
        <v>5</v>
      </c>
      <c r="N79" t="inlineStr">
        <is>
          <t>NzQxMzM4ODg5NzkxNDY2NzAwOTpjZmM1ZDQwZi1hNzVlLTQ5MzYtYTM2Yy0xZTkyNGRmNDRmNTI6ODRmODNmZTU4NTRkNjVhY2YxMGI1ZmEzNjk2ZGI5NTY6MQ==</t>
        </is>
      </c>
      <c r="O79" t="inlineStr">
        <is>
          <t>1</t>
        </is>
      </c>
      <c r="P79" t="inlineStr">
        <is>
          <t>或签任务</t>
        </is>
      </c>
      <c r="Q79" t="inlineStr">
        <is>
          <t>0</t>
        </is>
      </c>
      <c r="R79" t="inlineStr">
        <is>
          <t>龚政涛,Decay</t>
        </is>
      </c>
      <c r="S79" s="4"/>
      <c r="T79" s="3" t="str">
        <f>=HYPERLINK("https://applink.feishu.cn/client/todo/task_list?guid=4d92b9af-66d1-4cd7-95d1-4b753a64ca6b", "跃入迷城")</f>
        <v>跃入迷城</v>
      </c>
      <c r="U79" t="inlineStr">
        <is>
          <t>4d92b9af-66d1-4cd7-95d1-4b753a64ca6b</t>
        </is>
      </c>
      <c r="V79" t="inlineStr">
        <is>
          <t>cfc5d40f-a75e-4936-a36c-1e924df44f52</t>
        </is>
      </c>
      <c r="W79"/>
      <c r="X79"/>
      <c r="Y79"/>
      <c r="Z79" t="inlineStr">
        <is>
          <t>0.0.2</t>
        </is>
      </c>
      <c r="AA79" t="inlineStr">
        <is>
          <t>操作</t>
        </is>
      </c>
      <c r="AB79" t="inlineStr">
        <is>
          <t>已完成</t>
        </is>
      </c>
      <c r="AC79"/>
      <c r="AD79"/>
      <c r="AE79"/>
    </row>
    <row r="80" ht="25.5" customHeight="1">
      <c r="A80" s="3" t="str">
        <f>=HYPERLINK("https://applink.feishu.cn/client/todo/detail?guid=813d4ea3-e904-4fa3-a7a2-dd2ce4b31737&amp;suite_entity_num=t100124", "也许尝试多个电梯的设计，回到原点的设计感觉并不理想")</f>
        <v>也许尝试多个电梯的设计，回到原点的设计感觉并不理想</v>
      </c>
      <c r="B80"/>
      <c r="C80" t="inlineStr">
        <is>
          <t>默认分组</t>
        </is>
      </c>
      <c r="D80"/>
      <c r="E80"/>
      <c r="F80" t="inlineStr">
        <is>
          <t>苏祺恒,龚政涛</t>
        </is>
      </c>
      <c r="G80" t="inlineStr">
        <is>
          <t>龚政涛</t>
        </is>
      </c>
      <c r="H80" s="4">
        <v>45558.45984953704</v>
      </c>
      <c r="I80" s="4">
        <v>45586.45465277778</v>
      </c>
      <c r="J80" s="4"/>
      <c r="K80" s="4">
        <v>45586.45465277778</v>
      </c>
      <c r="L80">
        <v>0</v>
      </c>
      <c r="M80">
        <v>1</v>
      </c>
      <c r="N80" t="inlineStr">
        <is>
          <t>NzQxMzM4ODg5NzkxNDY2NzAwOTo4MTNkNGVhMy1lOTA0LTRmYTMtYTdhMi1kZDJjZTRiMzE3Mzc6ZjhmYmI2ZWE1Y2U0ZTU3NmQ2N2M5ZGMyOTA4MTg1MTQ6MQ==</t>
        </is>
      </c>
      <c r="O80" t="inlineStr">
        <is>
          <t>1</t>
        </is>
      </c>
      <c r="P80" t="inlineStr">
        <is>
          <t>或签任务</t>
        </is>
      </c>
      <c r="Q80" t="inlineStr">
        <is>
          <t>0</t>
        </is>
      </c>
      <c r="R80" t="inlineStr">
        <is>
          <t>龚政涛,苏祺恒</t>
        </is>
      </c>
      <c r="S80" s="4"/>
      <c r="T80" s="3" t="str">
        <f>=HYPERLINK("https://applink.feishu.cn/client/todo/task_list?guid=4d92b9af-66d1-4cd7-95d1-4b753a64ca6b", "跃入迷城")</f>
        <v>跃入迷城</v>
      </c>
      <c r="U80" t="inlineStr">
        <is>
          <t>4d92b9af-66d1-4cd7-95d1-4b753a64ca6b</t>
        </is>
      </c>
      <c r="V80" t="inlineStr">
        <is>
          <t>813d4ea3-e904-4fa3-a7a2-dd2ce4b31737</t>
        </is>
      </c>
      <c r="W80"/>
      <c r="X80"/>
      <c r="Y80"/>
      <c r="Z80" t="inlineStr">
        <is>
          <t>0.0.2</t>
        </is>
      </c>
      <c r="AA80" t="inlineStr">
        <is>
          <t>操作</t>
        </is>
      </c>
      <c r="AB80" t="inlineStr">
        <is>
          <t>已完成</t>
        </is>
      </c>
      <c r="AC80" t="inlineStr">
        <is>
          <t>P0 - Must (not) Have</t>
        </is>
      </c>
      <c r="AD80"/>
      <c r="AE80"/>
    </row>
    <row r="81" ht="25.5" customHeight="1">
      <c r="A81" s="3" t="str">
        <f>=HYPERLINK("https://applink.feishu.cn/client/todo/detail?guid=1e6e4e4d-d2a9-44fb-b37c-18e5d2d49ac8&amp;suite_entity_num=t100125", "敌人掉落物似乎没有必要？尝试更多的奖励机器（子弹贩卖机、信用金库）而敌人不掉落子弹和信用点")</f>
        <v>敌人掉落物似乎没有必要？尝试更多的奖励机器（子弹贩卖机、信用金库）而敌人不掉落子弹和信用点</v>
      </c>
      <c r="B81"/>
      <c r="C81" t="inlineStr">
        <is>
          <t>默认分组</t>
        </is>
      </c>
      <c r="D81"/>
      <c r="E81"/>
      <c r="F81" t="inlineStr">
        <is>
          <t>苏祺恒,龚政涛</t>
        </is>
      </c>
      <c r="G81" t="inlineStr">
        <is>
          <t>龚政涛</t>
        </is>
      </c>
      <c r="H81" s="4">
        <v>45558.460185185184</v>
      </c>
      <c r="I81" s="4">
        <v>45631.72078703704</v>
      </c>
      <c r="J81" s="4"/>
      <c r="K81" s="4">
        <v>45631.72079861111</v>
      </c>
      <c r="L81">
        <v>0</v>
      </c>
      <c r="M81">
        <v>1</v>
      </c>
      <c r="N81" t="inlineStr">
        <is>
          <t>NzQxMzM4ODg5NzkxNDY2NzAwOToxZTZlNGU0ZC1kMmE5LTQ0ZmItYjM3Yy0xOGU1ZDJkNDlhYzg6ZmU0MDI5YzdkYWNiYTk1OGEyYmJmNDhkYTg1OTFmOTk6MQ==</t>
        </is>
      </c>
      <c r="O81" t="inlineStr">
        <is>
          <t>1</t>
        </is>
      </c>
      <c r="P81" t="inlineStr">
        <is>
          <t>或签任务</t>
        </is>
      </c>
      <c r="Q81" t="inlineStr">
        <is>
          <t>0</t>
        </is>
      </c>
      <c r="R81" t="inlineStr">
        <is>
          <t>苏祺恒,龚政涛</t>
        </is>
      </c>
      <c r="S81" s="4"/>
      <c r="T81" s="3" t="str">
        <f>=HYPERLINK("https://applink.feishu.cn/client/todo/task_list?guid=4d92b9af-66d1-4cd7-95d1-4b753a64ca6b", "跃入迷城")</f>
        <v>跃入迷城</v>
      </c>
      <c r="U81" t="inlineStr">
        <is>
          <t>4d92b9af-66d1-4cd7-95d1-4b753a64ca6b</t>
        </is>
      </c>
      <c r="V81" t="inlineStr">
        <is>
          <t>1e6e4e4d-d2a9-44fb-b37c-18e5d2d49ac8</t>
        </is>
      </c>
      <c r="W81"/>
      <c r="X81"/>
      <c r="Y81"/>
      <c r="Z81" t="inlineStr">
        <is>
          <t>0.0.3</t>
        </is>
      </c>
      <c r="AA81" t="inlineStr">
        <is>
          <t>关卡</t>
        </is>
      </c>
      <c r="AB81" t="inlineStr">
        <is>
          <t>已废弃</t>
        </is>
      </c>
      <c r="AC81" t="inlineStr">
        <is>
          <t>P2 - Nice to Have</t>
        </is>
      </c>
      <c r="AD81"/>
      <c r="AE81"/>
    </row>
    <row r="82" ht="25.5" customHeight="1">
      <c r="A82" s="3" t="str">
        <f>=HYPERLINK("https://applink.feishu.cn/client/todo/detail?guid=850d3f5f-7629-486b-8604-d3de16e77ff2&amp;suite_entity_num=t100123", "现有的关卡复杂度过高，考虑优先以玩家体验为目标设计更精简的关卡")</f>
        <v>现有的关卡复杂度过高，考虑优先以玩家体验为目标设计更精简的关卡</v>
      </c>
      <c r="B82"/>
      <c r="C82" t="inlineStr">
        <is>
          <t>默认分组</t>
        </is>
      </c>
      <c r="D82"/>
      <c r="E82"/>
      <c r="F82" t="inlineStr">
        <is>
          <t>苏祺恒,龚政涛</t>
        </is>
      </c>
      <c r="G82" t="inlineStr">
        <is>
          <t>龚政涛</t>
        </is>
      </c>
      <c r="H82" s="4">
        <v>45558.45983796296</v>
      </c>
      <c r="I82" s="4">
        <v>45586.455358796295</v>
      </c>
      <c r="J82" s="4"/>
      <c r="K82" s="4">
        <v>45586.455358796295</v>
      </c>
      <c r="L82">
        <v>0</v>
      </c>
      <c r="M82">
        <v>1</v>
      </c>
      <c r="N82" t="inlineStr">
        <is>
          <t>NzQxMzM4ODg5NzkxNDY2NzAwOTo4NTBkM2Y1Zi03NjI5LTQ4NmItODYwNC1kM2RlMTZlNzdmZjI6MjMyOGU4ZGZhNmE0MzBjM2JlN2JhZWZiZWRjNmYyMTI6MQ==</t>
        </is>
      </c>
      <c r="O82" t="inlineStr">
        <is>
          <t>1</t>
        </is>
      </c>
      <c r="P82" t="inlineStr">
        <is>
          <t>或签任务</t>
        </is>
      </c>
      <c r="Q82" t="inlineStr">
        <is>
          <t>0</t>
        </is>
      </c>
      <c r="R82" t="inlineStr">
        <is>
          <t>龚政涛,苏祺恒</t>
        </is>
      </c>
      <c r="S82" s="4"/>
      <c r="T82" s="3" t="str">
        <f>=HYPERLINK("https://applink.feishu.cn/client/todo/task_list?guid=4d92b9af-66d1-4cd7-95d1-4b753a64ca6b", "跃入迷城")</f>
        <v>跃入迷城</v>
      </c>
      <c r="U82" t="inlineStr">
        <is>
          <t>4d92b9af-66d1-4cd7-95d1-4b753a64ca6b</t>
        </is>
      </c>
      <c r="V82" t="inlineStr">
        <is>
          <t>850d3f5f-7629-486b-8604-d3de16e77ff2</t>
        </is>
      </c>
      <c r="W82"/>
      <c r="X82"/>
      <c r="Y82"/>
      <c r="Z82" t="inlineStr">
        <is>
          <t>0.0.2</t>
        </is>
      </c>
      <c r="AA82" t="inlineStr">
        <is>
          <t>操作</t>
        </is>
      </c>
      <c r="AB82" t="inlineStr">
        <is>
          <t>已废弃</t>
        </is>
      </c>
      <c r="AC82" t="inlineStr">
        <is>
          <t>P0 - Must (not) Have</t>
        </is>
      </c>
      <c r="AD82"/>
      <c r="AE82"/>
    </row>
    <row r="83" ht="25.5" customHeight="1">
      <c r="A83" s="3" t="str">
        <f>=HYPERLINK("https://applink.feishu.cn/client/todo/detail?guid=fb11afcc-26c6-4099-8256-8f4bcda9dd09&amp;suite_entity_num=t100133", "死亡后的敌人不应该渲染透视雷达效果")</f>
        <v>死亡后的敌人不应该渲染透视雷达效果</v>
      </c>
      <c r="B83"/>
      <c r="C83" t="inlineStr">
        <is>
          <t>默认分组</t>
        </is>
      </c>
      <c r="D83"/>
      <c r="E83"/>
      <c r="F83" t="inlineStr">
        <is>
          <t>Decay</t>
        </is>
      </c>
      <c r="G83" t="inlineStr">
        <is>
          <t>龚政涛</t>
        </is>
      </c>
      <c r="H83" s="4">
        <v>45563.00564814815</v>
      </c>
      <c r="I83" s="4">
        <v>45571.9922337963</v>
      </c>
      <c r="J83" s="4"/>
      <c r="K83" s="4">
        <v>45571.9922337963</v>
      </c>
      <c r="L83">
        <v>0</v>
      </c>
      <c r="M83">
        <v>1</v>
      </c>
      <c r="N83" t="inlineStr">
        <is>
          <t>NzQxMzM4ODg5NzkxNDY2NzAwOTpmYjExYWZjYy0yNmM2LTQwOTktODI1Ni04ZjRiY2RhOWRkMDk6NzIyNzZjNDVkMjQ4Nzk3MTY5NDBkMmZjMmIyZTBkNDM6MQ==</t>
        </is>
      </c>
      <c r="O83" t="inlineStr">
        <is>
          <t>1</t>
        </is>
      </c>
      <c r="P83" t="inlineStr">
        <is>
          <t>或签任务</t>
        </is>
      </c>
      <c r="Q83" t="inlineStr">
        <is>
          <t>0</t>
        </is>
      </c>
      <c r="R83" t="inlineStr">
        <is>
          <t>龚政涛,Decay</t>
        </is>
      </c>
      <c r="S83" s="4"/>
      <c r="T83" s="3" t="str">
        <f>=HYPERLINK("https://applink.feishu.cn/client/todo/task_list?guid=4d92b9af-66d1-4cd7-95d1-4b753a64ca6b", "跃入迷城")</f>
        <v>跃入迷城</v>
      </c>
      <c r="U83" t="inlineStr">
        <is>
          <t>4d92b9af-66d1-4cd7-95d1-4b753a64ca6b</t>
        </is>
      </c>
      <c r="V83" t="inlineStr">
        <is>
          <t>fb11afcc-26c6-4099-8256-8f4bcda9dd09</t>
        </is>
      </c>
      <c r="W83"/>
      <c r="X83"/>
      <c r="Y83"/>
      <c r="Z83" t="inlineStr">
        <is>
          <t>0.0.2</t>
        </is>
      </c>
      <c r="AA83" t="inlineStr">
        <is>
          <t>操作</t>
        </is>
      </c>
      <c r="AB83" t="inlineStr">
        <is>
          <t>已完成</t>
        </is>
      </c>
      <c r="AC83"/>
      <c r="AD83"/>
      <c r="AE83"/>
    </row>
    <row r="84" ht="25.5" customHeight="1">
      <c r="A84" s="3" t="str">
        <f>=HYPERLINK("https://applink.feishu.cn/client/todo/detail?guid=9083d7b8-1dc7-4dde-b0e0-f66f2664b83a&amp;suite_entity_num=t100138", "近战：敌人增加移动 -&gt; 等待逻辑，类似远程敌人")</f>
        <v>近战：敌人增加移动 -&gt; 等待逻辑，类似远程敌人</v>
      </c>
      <c r="B84"/>
      <c r="C84" t="inlineStr">
        <is>
          <t>默认分组</t>
        </is>
      </c>
      <c r="D84"/>
      <c r="E84"/>
      <c r="F84" t="inlineStr">
        <is>
          <t>李少秋</t>
        </is>
      </c>
      <c r="G84" t="inlineStr">
        <is>
          <t>龚政涛</t>
        </is>
      </c>
      <c r="H84" s="4">
        <v>45563.062210648146</v>
      </c>
      <c r="I84" s="4">
        <v>45611.697916666664</v>
      </c>
      <c r="J84" s="4"/>
      <c r="K84" s="4">
        <v>45611.69793981482</v>
      </c>
      <c r="L84">
        <v>0</v>
      </c>
      <c r="M84">
        <v>0</v>
      </c>
      <c r="N84" t="inlineStr">
        <is>
          <t>NzQxMzM4ODg5NzkxNDY2NzAwOTo5MDgzZDdiOC0xZGM3LTRkZGUtYjBlMC1mNjZmMjY2NGI4M2E6YjliZTRiZDdkM2NiZjIzMzNiMTI1NzFjM2M4Yjk0ZGM6MQ==</t>
        </is>
      </c>
      <c r="O84" t="inlineStr">
        <is>
          <t>1</t>
        </is>
      </c>
      <c r="P84" t="inlineStr">
        <is>
          <t>或签任务</t>
        </is>
      </c>
      <c r="Q84" t="inlineStr">
        <is>
          <t>0</t>
        </is>
      </c>
      <c r="R84" t="inlineStr">
        <is>
          <t>龚政涛,李少秋</t>
        </is>
      </c>
      <c r="S84" s="4"/>
      <c r="T84" s="3" t="str">
        <f>=HYPERLINK("https://applink.feishu.cn/client/todo/task_list?guid=4d92b9af-66d1-4cd7-95d1-4b753a64ca6b", "跃入迷城")</f>
        <v>跃入迷城</v>
      </c>
      <c r="U84" t="inlineStr">
        <is>
          <t>4d92b9af-66d1-4cd7-95d1-4b753a64ca6b</t>
        </is>
      </c>
      <c r="V84" t="inlineStr">
        <is>
          <t>9083d7b8-1dc7-4dde-b0e0-f66f2664b83a</t>
        </is>
      </c>
      <c r="W84"/>
      <c r="X84"/>
      <c r="Y84"/>
      <c r="Z84" t="inlineStr">
        <is>
          <t>0.0.3</t>
        </is>
      </c>
      <c r="AA84" t="inlineStr">
        <is>
          <t>AI</t>
        </is>
      </c>
      <c r="AB84" t="inlineStr">
        <is>
          <t>已完成</t>
        </is>
      </c>
      <c r="AC84" t="inlineStr">
        <is>
          <t>P2 - Nice to Have</t>
        </is>
      </c>
      <c r="AD84"/>
      <c r="AE84"/>
    </row>
    <row r="85" ht="25.5" customHeight="1">
      <c r="A85" s="3" t="str">
        <f>=HYPERLINK("https://applink.feishu.cn/client/todo/detail?guid=c8741210-6a11-4b88-8d20-0fd034d4db08&amp;suite_entity_num=t100135", "远程：修复AI弹道偏右的问题")</f>
        <v>远程：修复AI弹道偏右的问题</v>
      </c>
      <c r="B85"/>
      <c r="C85" t="inlineStr">
        <is>
          <t>默认分组</t>
        </is>
      </c>
      <c r="D85"/>
      <c r="E85"/>
      <c r="F85" t="inlineStr">
        <is>
          <t>李少秋,龚政涛,Decay</t>
        </is>
      </c>
      <c r="G85" t="inlineStr">
        <is>
          <t>龚政涛</t>
        </is>
      </c>
      <c r="H85" s="4">
        <v>45563.06056712963</v>
      </c>
      <c r="I85" s="4">
        <v>45610.57469907407</v>
      </c>
      <c r="J85" s="4">
        <v>45603.333333333336</v>
      </c>
      <c r="K85" s="4">
        <v>45610.57469907407</v>
      </c>
      <c r="L85">
        <v>0</v>
      </c>
      <c r="M85">
        <v>1</v>
      </c>
      <c r="N85" t="inlineStr">
        <is>
          <t>NzQxMzM4ODg5NzkxNDY2NzAwOTpjODc0MTIxMC02YTExLTRiODgtOGQyMC0wZmQwMzRkNGRiMDg6YWU5YjdjNDIxODg2NGMwZDBlMjUwNWY3YWFjZTc2YWQ6MQ==</t>
        </is>
      </c>
      <c r="O85" t="inlineStr">
        <is>
          <t>1</t>
        </is>
      </c>
      <c r="P85" t="inlineStr">
        <is>
          <t>或签任务</t>
        </is>
      </c>
      <c r="Q85" t="inlineStr">
        <is>
          <t>0</t>
        </is>
      </c>
      <c r="R85" t="inlineStr">
        <is>
          <t>龚政涛,李少秋,Decay</t>
        </is>
      </c>
      <c r="S85" s="4">
        <v>45600.333333333336</v>
      </c>
      <c r="T85" s="3" t="str">
        <f>=HYPERLINK("https://applink.feishu.cn/client/todo/task_list?guid=4d92b9af-66d1-4cd7-95d1-4b753a64ca6b", "跃入迷城")</f>
        <v>跃入迷城</v>
      </c>
      <c r="U85" t="inlineStr">
        <is>
          <t>4d92b9af-66d1-4cd7-95d1-4b753a64ca6b</t>
        </is>
      </c>
      <c r="V85" t="inlineStr">
        <is>
          <t>c8741210-6a11-4b88-8d20-0fd034d4db08</t>
        </is>
      </c>
      <c r="W85"/>
      <c r="X85" t="inlineStr">
        <is>
          <t>9415cba5-1449-4116-adc4-866fe428bc82</t>
        </is>
      </c>
      <c r="Y85"/>
      <c r="Z85" t="inlineStr">
        <is>
          <t>0.0.3</t>
        </is>
      </c>
      <c r="AA85" t="inlineStr">
        <is>
          <t>AI</t>
        </is>
      </c>
      <c r="AB85" t="inlineStr">
        <is>
          <t>工作中</t>
        </is>
      </c>
      <c r="AC85" t="inlineStr">
        <is>
          <t>P0 - Must (not) Have</t>
        </is>
      </c>
      <c r="AD85"/>
      <c r="AE85"/>
    </row>
    <row r="86" ht="25.5" customHeight="1">
      <c r="A86" s="3" t="str">
        <f>=HYPERLINK("https://applink.feishu.cn/client/todo/detail?guid=dbed2503-b79e-4cec-957f-f12a6f694242&amp;suite_entity_num=t100137", "远程：敌人增加动作逻辑，瞄准后移动")</f>
        <v>远程：敌人增加动作逻辑，瞄准后移动</v>
      </c>
      <c r="B86" t="inlineStr">
        <is>
          <t>远程敌人追加一个eqs权重规则：玩家身边{300}半径eqs减少{50%}，这样结合前面的攻击 -&gt; 移动逻辑，在玩家接近远程敌人时，远程敌人如果触发攻击则原地攻击，如果触发移动则会尝试离开玩家
- 关于这个，不确定optimized attack distance如何实现，如果远程敌人倾向于保持optimized attack distance，那应该不需要这层eqs逻辑？</t>
        </is>
      </c>
      <c r="C86" t="inlineStr">
        <is>
          <t>默认分组</t>
        </is>
      </c>
      <c r="D86"/>
      <c r="E86"/>
      <c r="F86" t="inlineStr">
        <is>
          <t>龚政涛</t>
        </is>
      </c>
      <c r="G86" t="inlineStr">
        <is>
          <t>龚政涛</t>
        </is>
      </c>
      <c r="H86" s="4">
        <v>45563.060891203706</v>
      </c>
      <c r="I86" s="4">
        <v>45610.57467592593</v>
      </c>
      <c r="J86" s="4">
        <v>45603.333333333336</v>
      </c>
      <c r="K86" s="4">
        <v>45733.70936342593</v>
      </c>
      <c r="L86">
        <v>0</v>
      </c>
      <c r="M86">
        <v>0</v>
      </c>
      <c r="N86" t="inlineStr">
        <is>
          <t>NzQxMzM4ODg5NzkxNDY2NzAwOTpkYmVkMjUwMy1iNzllLTRjZWMtOTU3Zi1mMTJhNmY2OTQyNDI6MWRiYTA3YjZlNGY4MWIwMTA3NzcwM2Q2NTRhZTVlNGY6MQ==</t>
        </is>
      </c>
      <c r="O86" t="inlineStr">
        <is>
          <t>1</t>
        </is>
      </c>
      <c r="P86" t="inlineStr">
        <is>
          <t>或签任务</t>
        </is>
      </c>
      <c r="Q86" t="inlineStr">
        <is>
          <t>0</t>
        </is>
      </c>
      <c r="R86" t="inlineStr">
        <is>
          <t>李少秋,龚政涛</t>
        </is>
      </c>
      <c r="S86" s="4">
        <v>45600.333333333336</v>
      </c>
      <c r="T86" s="3" t="str">
        <f>=HYPERLINK("https://applink.feishu.cn/client/todo/task_list?guid=4d92b9af-66d1-4cd7-95d1-4b753a64ca6b", "跃入迷城")</f>
        <v>跃入迷城</v>
      </c>
      <c r="U86" t="inlineStr">
        <is>
          <t>4d92b9af-66d1-4cd7-95d1-4b753a64ca6b</t>
        </is>
      </c>
      <c r="V86" t="inlineStr">
        <is>
          <t>dbed2503-b79e-4cec-957f-f12a6f694242</t>
        </is>
      </c>
      <c r="W86"/>
      <c r="X86"/>
      <c r="Y86"/>
      <c r="Z86" t="inlineStr">
        <is>
          <t>0.0.3</t>
        </is>
      </c>
      <c r="AA86" t="inlineStr">
        <is>
          <t>AI</t>
        </is>
      </c>
      <c r="AB86" t="inlineStr">
        <is>
          <t>已完成</t>
        </is>
      </c>
      <c r="AC86" t="inlineStr">
        <is>
          <t>P2 - Nice to Have</t>
        </is>
      </c>
      <c r="AD86"/>
      <c r="AE86"/>
    </row>
    <row r="87" ht="25.5" customHeight="1">
      <c r="A87" s="3" t="str">
        <f>=HYPERLINK("https://applink.feishu.cn/client/todo/detail?guid=33227912-9b90-4312-99e2-afeddd50750d&amp;suite_entity_num=t100139", "近战：修复“近战敌人在寻路时会被互相卡位”的问题")</f>
        <v>近战：修复“近战敌人在寻路时会被互相卡位”的问题</v>
      </c>
      <c r="B87" t="inlineStr">
        <is>
          <t>另一个问题是无法判断队友的位置，导致3个近战敌人经常互相卡，建议给所有AI一个eqs权重范围，AI自己身边{100}半径eqs减少{20%}避免互相重叠站位，也可以优化移动时的路径（这个我不确定，寻址会避开队友吗？）</t>
        </is>
      </c>
      <c r="C87" t="inlineStr">
        <is>
          <t>默认分组</t>
        </is>
      </c>
      <c r="D87"/>
      <c r="E87"/>
      <c r="F87" t="inlineStr">
        <is>
          <t>Decay,李少秋</t>
        </is>
      </c>
      <c r="G87" t="inlineStr">
        <is>
          <t>龚政涛</t>
        </is>
      </c>
      <c r="H87" s="4">
        <v>45563.06263888889</v>
      </c>
      <c r="I87" s="4">
        <v>45611.68528935185</v>
      </c>
      <c r="J87" s="4">
        <v>45603.333333333336</v>
      </c>
      <c r="K87" s="4">
        <v>45611.68530092593</v>
      </c>
      <c r="L87">
        <v>0</v>
      </c>
      <c r="M87">
        <v>2</v>
      </c>
      <c r="N87" t="inlineStr">
        <is>
          <t>NzQxMzM4ODg5NzkxNDY2NzAwOTozMzIyNzkxMi05YjkwLTQzMTItOTllMi1hZmVkZGQ1MDc1MGQ6ODczZWM2NzQ4ZGZhMmY3MzM4MDMxYzE2NmY3NjYwNzU6MQ==</t>
        </is>
      </c>
      <c r="O87" t="inlineStr">
        <is>
          <t>1</t>
        </is>
      </c>
      <c r="P87" t="inlineStr">
        <is>
          <t>或签任务</t>
        </is>
      </c>
      <c r="Q87" t="inlineStr">
        <is>
          <t>0</t>
        </is>
      </c>
      <c r="R87" t="inlineStr">
        <is>
          <t>龚政涛,Decay,李少秋</t>
        </is>
      </c>
      <c r="S87" s="4">
        <v>45600.333333333336</v>
      </c>
      <c r="T87" s="3" t="str">
        <f>=HYPERLINK("https://applink.feishu.cn/client/todo/task_list?guid=4d92b9af-66d1-4cd7-95d1-4b753a64ca6b", "跃入迷城")</f>
        <v>跃入迷城</v>
      </c>
      <c r="U87" t="inlineStr">
        <is>
          <t>4d92b9af-66d1-4cd7-95d1-4b753a64ca6b</t>
        </is>
      </c>
      <c r="V87" t="inlineStr">
        <is>
          <t>33227912-9b90-4312-99e2-afeddd50750d</t>
        </is>
      </c>
      <c r="W87" t="inlineStr">
        <is>
          <t>9415cba5-1449-4116-adc4-866fe428bc82</t>
        </is>
      </c>
      <c r="X87"/>
      <c r="Y87"/>
      <c r="Z87" t="inlineStr">
        <is>
          <t>0.0.3</t>
        </is>
      </c>
      <c r="AA87" t="inlineStr">
        <is>
          <t>AI</t>
        </is>
      </c>
      <c r="AB87" t="inlineStr">
        <is>
          <t>已完成</t>
        </is>
      </c>
      <c r="AC87" t="inlineStr">
        <is>
          <t>P0 - Must (not) Have</t>
        </is>
      </c>
      <c r="AD87"/>
      <c r="AE87"/>
    </row>
    <row r="88" ht="25.5" customHeight="1">
      <c r="A88" s="3" t="str">
        <f>=HYPERLINK("https://applink.feishu.cn/client/todo/detail?guid=83f38cc4-5b6b-4564-9f4c-b628c2f195e8&amp;suite_entity_num=t100140", "[图片]还有个诡异的bug，我现在的门的box是无视projectile的collision的，但子弹还是会被“开着的”门吸收掉")</f>
        <v>[图片]还有个诡异的bug，我现在的门的box是无视projectile的collision的，但子弹还是会被“开着的”门吸收掉</v>
      </c>
      <c r="B88"/>
      <c r="C88" t="inlineStr">
        <is>
          <t>默认分组</t>
        </is>
      </c>
      <c r="D88"/>
      <c r="E88"/>
      <c r="F88" t="inlineStr">
        <is>
          <t>Decay</t>
        </is>
      </c>
      <c r="G88" t="inlineStr">
        <is>
          <t>龚政涛</t>
        </is>
      </c>
      <c r="H88" s="4">
        <v>45566.607303240744</v>
      </c>
      <c r="I88" s="4">
        <v>45571.99186342592</v>
      </c>
      <c r="J88" s="4"/>
      <c r="K88" s="4">
        <v>45571.991875</v>
      </c>
      <c r="L88">
        <v>0</v>
      </c>
      <c r="M88">
        <v>1</v>
      </c>
      <c r="N88" t="inlineStr">
        <is>
          <t>NzQxMzM4ODg5NzkxNDY2NzAwOTo4M2YzOGNjNC01YjZiLTQ1NjQtOWY0Yy1iNjI4YzJmMTk1ZTg6MzlmMjUzOTY3NWIzYjkwN2QyNWFlMGUyNWQ1YThmMzA6MQ==</t>
        </is>
      </c>
      <c r="O88" t="inlineStr">
        <is>
          <t>1</t>
        </is>
      </c>
      <c r="P88" t="inlineStr">
        <is>
          <t>或签任务</t>
        </is>
      </c>
      <c r="Q88" t="inlineStr">
        <is>
          <t>0</t>
        </is>
      </c>
      <c r="R88" t="inlineStr">
        <is>
          <t>龚政涛,Decay</t>
        </is>
      </c>
      <c r="S88" s="4"/>
      <c r="T88" s="3" t="str">
        <f>=HYPERLINK("https://applink.feishu.cn/client/todo/task_list?guid=4d92b9af-66d1-4cd7-95d1-4b753a64ca6b", "跃入迷城")</f>
        <v>跃入迷城</v>
      </c>
      <c r="U88" t="inlineStr">
        <is>
          <t>4d92b9af-66d1-4cd7-95d1-4b753a64ca6b</t>
        </is>
      </c>
      <c r="V88" t="inlineStr">
        <is>
          <t>83f38cc4-5b6b-4564-9f4c-b628c2f195e8</t>
        </is>
      </c>
      <c r="W88"/>
      <c r="X88"/>
      <c r="Y88"/>
      <c r="Z88" t="inlineStr">
        <is>
          <t>0.0.2</t>
        </is>
      </c>
      <c r="AA88" t="inlineStr">
        <is>
          <t>操作</t>
        </is>
      </c>
      <c r="AB88" t="inlineStr">
        <is>
          <t>已完成</t>
        </is>
      </c>
      <c r="AC88"/>
      <c r="AD88"/>
      <c r="AE88"/>
    </row>
    <row r="89" ht="25.5" customHeight="1">
      <c r="A89" s="3" t="str">
        <f>=HYPERLINK("https://applink.feishu.cn/client/todo/detail?guid=ff017b99-ab47-4cc1-8915-09a5af68091e&amp;suite_entity_num=t100141", "需要给Level Stream一个Feature，每次玩家切换level时，应该被传送到level内的一个锚点BP，如果锚点BP没有被放置传送到Player Start")</f>
        <v>需要给Level Stream一个Feature，每次玩家切换level时，应该被传送到level内的一个锚点BP，如果锚点BP没有被放置传送到Player Start</v>
      </c>
      <c r="B89"/>
      <c r="C89" t="inlineStr">
        <is>
          <t>默认分组</t>
        </is>
      </c>
      <c r="D89"/>
      <c r="E89"/>
      <c r="F89" t="inlineStr">
        <is>
          <t>Decay</t>
        </is>
      </c>
      <c r="G89" t="inlineStr">
        <is>
          <t>龚政涛</t>
        </is>
      </c>
      <c r="H89" s="4">
        <v>45567.9528125</v>
      </c>
      <c r="I89" s="4">
        <v>45572.014548611114</v>
      </c>
      <c r="J89" s="4"/>
      <c r="K89" s="4">
        <v>45572.014548611114</v>
      </c>
      <c r="L89">
        <v>0</v>
      </c>
      <c r="M89">
        <v>8</v>
      </c>
      <c r="N89" t="inlineStr">
        <is>
          <t>NzQxMzM4ODg5NzkxNDY2NzAwOTpmZjAxN2I5OS1hYjQ3LTRjYzEtODkxNS0wOWE1YWY2ODA5MWU6ZDI5ZTY5MDdmOGU2ZDk3OTA1NGI5OTU5ZDdmNTY5OTI6MQ==</t>
        </is>
      </c>
      <c r="O89" t="inlineStr">
        <is>
          <t>1</t>
        </is>
      </c>
      <c r="P89" t="inlineStr">
        <is>
          <t>或签任务</t>
        </is>
      </c>
      <c r="Q89" t="inlineStr">
        <is>
          <t>0</t>
        </is>
      </c>
      <c r="R89" t="inlineStr">
        <is>
          <t>龚政涛,Decay</t>
        </is>
      </c>
      <c r="S89" s="4"/>
      <c r="T89" s="3" t="str">
        <f>=HYPERLINK("https://applink.feishu.cn/client/todo/task_list?guid=4d92b9af-66d1-4cd7-95d1-4b753a64ca6b", "跃入迷城")</f>
        <v>跃入迷城</v>
      </c>
      <c r="U89" t="inlineStr">
        <is>
          <t>4d92b9af-66d1-4cd7-95d1-4b753a64ca6b</t>
        </is>
      </c>
      <c r="V89" t="inlineStr">
        <is>
          <t>ff017b99-ab47-4cc1-8915-09a5af68091e</t>
        </is>
      </c>
      <c r="W89"/>
      <c r="X89"/>
      <c r="Y89"/>
      <c r="Z89" t="inlineStr">
        <is>
          <t>0.0.2</t>
        </is>
      </c>
      <c r="AA89" t="inlineStr">
        <is>
          <t>操作</t>
        </is>
      </c>
      <c r="AB89" t="inlineStr">
        <is>
          <t>已完成</t>
        </is>
      </c>
      <c r="AC89"/>
      <c r="AD89"/>
      <c r="AE89"/>
    </row>
    <row r="90" ht="25.5" customHeight="1">
      <c r="A90" s="3" t="str">
        <f>=HYPERLINK("https://applink.feishu.cn/client/todo/detail?guid=8956636d-c94f-4a9c-b8fd-97c78d4df7fb&amp;suite_entity_num=t100142", "通用：修复AI敌人的伤害、听力、死亡广播未生效的问题")</f>
        <v>通用：修复AI敌人的伤害、听力、死亡广播未生效的问题</v>
      </c>
      <c r="B90"/>
      <c r="C90" t="inlineStr">
        <is>
          <t>默认分组</t>
        </is>
      </c>
      <c r="D90"/>
      <c r="E90"/>
      <c r="F90" t="inlineStr">
        <is>
          <t>李少秋</t>
        </is>
      </c>
      <c r="G90" t="inlineStr">
        <is>
          <t>龚政涛</t>
        </is>
      </c>
      <c r="H90" s="4">
        <v>45568.941458333335</v>
      </c>
      <c r="I90" s="4">
        <v>45603.65751157407</v>
      </c>
      <c r="J90" s="4">
        <v>45597.333333333336</v>
      </c>
      <c r="K90" s="4">
        <v>45603.65752314815</v>
      </c>
      <c r="L90">
        <v>0</v>
      </c>
      <c r="M90">
        <v>1</v>
      </c>
      <c r="N90" t="inlineStr">
        <is>
          <t>NzQxMzM4ODg5NzkxNDY2NzAwOTo4OTU2NjM2ZC1jOTRmLTRhOWMtYjhmZC05N2M3OGQ0ZGY3ZmI6MzQzNDdlM2E3NWY4YTk3NDkyODNlN2ExNWRlMzFhMmU6MQ==</t>
        </is>
      </c>
      <c r="O90" t="inlineStr">
        <is>
          <t>1</t>
        </is>
      </c>
      <c r="P90" t="inlineStr">
        <is>
          <t>或签任务</t>
        </is>
      </c>
      <c r="Q90" t="inlineStr">
        <is>
          <t>0</t>
        </is>
      </c>
      <c r="R90" t="inlineStr">
        <is>
          <t>李少秋,龚政涛</t>
        </is>
      </c>
      <c r="S90" s="4">
        <v>45593.333333333336</v>
      </c>
      <c r="T90" s="3" t="str">
        <f>=HYPERLINK("https://applink.feishu.cn/client/todo/task_list?guid=4d92b9af-66d1-4cd7-95d1-4b753a64ca6b", "跃入迷城")</f>
        <v>跃入迷城</v>
      </c>
      <c r="U90" t="inlineStr">
        <is>
          <t>4d92b9af-66d1-4cd7-95d1-4b753a64ca6b</t>
        </is>
      </c>
      <c r="V90" t="inlineStr">
        <is>
          <t>8956636d-c94f-4a9c-b8fd-97c78d4df7fb</t>
        </is>
      </c>
      <c r="W90"/>
      <c r="X90"/>
      <c r="Y90"/>
      <c r="Z90" t="inlineStr">
        <is>
          <t>0.0.3</t>
        </is>
      </c>
      <c r="AA90" t="inlineStr">
        <is>
          <t>AI</t>
        </is>
      </c>
      <c r="AB90" t="inlineStr">
        <is>
          <t>已完成</t>
        </is>
      </c>
      <c r="AC90" t="inlineStr">
        <is>
          <t>P0 - Must (not) Have</t>
        </is>
      </c>
      <c r="AD90"/>
      <c r="AE90"/>
    </row>
    <row r="91" ht="25.5" customHeight="1">
      <c r="A91" s="3" t="str">
        <f>=HYPERLINK("https://applink.feishu.cn/client/todo/detail?guid=376c5b57-1da9-4d33-b3fe-e39d4fcc40f1&amp;suite_entity_num=t100143", "在处理关卡相关的功能前，应该先明确切换规则")</f>
        <v>在处理关卡相关的功能前，应该先明确切换规则</v>
      </c>
      <c r="B91"/>
      <c r="C91" t="inlineStr">
        <is>
          <t>默认分组</t>
        </is>
      </c>
      <c r="D91"/>
      <c r="E91"/>
      <c r="F91" t="inlineStr">
        <is>
          <t>苏祺恒,龚政涛</t>
        </is>
      </c>
      <c r="G91" t="inlineStr">
        <is>
          <t>龚政涛</t>
        </is>
      </c>
      <c r="H91" s="4">
        <v>45570.6515162037</v>
      </c>
      <c r="I91" s="4">
        <v>45576.067291666666</v>
      </c>
      <c r="J91" s="4"/>
      <c r="K91" s="4">
        <v>45727.472766203704</v>
      </c>
      <c r="L91">
        <v>0</v>
      </c>
      <c r="M91">
        <v>0</v>
      </c>
      <c r="N91" t="inlineStr">
        <is>
          <t>NzQxMzM4ODg5NzkxNDY2NzAwOTozNzZjNWI1Ny0xZGE5LTRkMzMtYjNmZS1lMzlkNGZjYzQwZjE6OGFlMWY2ZDhiYzU5OTFlN2M4NTUzMDczNzFiYmQwZjY6MQ==</t>
        </is>
      </c>
      <c r="O91" t="inlineStr">
        <is>
          <t>1</t>
        </is>
      </c>
      <c r="P91" t="inlineStr">
        <is>
          <t>或签任务</t>
        </is>
      </c>
      <c r="Q91" t="inlineStr">
        <is>
          <t>0</t>
        </is>
      </c>
      <c r="R91" t="inlineStr">
        <is>
          <t>龚政涛,苏祺恒</t>
        </is>
      </c>
      <c r="S91" s="4"/>
      <c r="T91" s="3" t="str">
        <f>=HYPERLINK("https://applink.feishu.cn/client/todo/task_list?guid=4d92b9af-66d1-4cd7-95d1-4b753a64ca6b", "跃入迷城")</f>
        <v>跃入迷城</v>
      </c>
      <c r="U91" t="inlineStr">
        <is>
          <t>4d92b9af-66d1-4cd7-95d1-4b753a64ca6b</t>
        </is>
      </c>
      <c r="V91" t="inlineStr">
        <is>
          <t>376c5b57-1da9-4d33-b3fe-e39d4fcc40f1</t>
        </is>
      </c>
      <c r="W91"/>
      <c r="X91"/>
      <c r="Y91"/>
      <c r="Z91" t="inlineStr">
        <is>
          <t>0.0.4</t>
        </is>
      </c>
      <c r="AA91" t="inlineStr">
        <is>
          <t>操作</t>
        </is>
      </c>
      <c r="AB91" t="inlineStr">
        <is>
          <t>已完成</t>
        </is>
      </c>
      <c r="AC91" t="inlineStr">
        <is>
          <t>P0 - Must (not) Have</t>
        </is>
      </c>
      <c r="AD91"/>
      <c r="AE91"/>
    </row>
    <row r="92" ht="25.5" customHeight="1">
      <c r="A92" s="3" t="str">
        <f>=HYPERLINK("https://applink.feishu.cn/client/todo/detail?guid=133beb8a-b088-4ee5-937a-c68ae500c715&amp;suite_entity_num=t100145", "从尸体拾取的系统")</f>
        <v>从尸体拾取的系统</v>
      </c>
      <c r="B92"/>
      <c r="C92" t="inlineStr">
        <is>
          <t>默认分组</t>
        </is>
      </c>
      <c r="D92"/>
      <c r="E92"/>
      <c r="F92" t="inlineStr">
        <is>
          <t>Decay</t>
        </is>
      </c>
      <c r="G92" t="inlineStr">
        <is>
          <t>龚政涛</t>
        </is>
      </c>
      <c r="H92" s="4">
        <v>45570.652349537035</v>
      </c>
      <c r="I92" s="4">
        <v>45571.98159722222</v>
      </c>
      <c r="J92" s="4"/>
      <c r="K92" s="4">
        <v>45571.9816087963</v>
      </c>
      <c r="L92">
        <v>0</v>
      </c>
      <c r="M92">
        <v>1</v>
      </c>
      <c r="N92" t="inlineStr">
        <is>
          <t>NzQxMzM4ODg5NzkxNDY2NzAwOToxMzNiZWI4YS1iMDg4LTRlZTUtOTM3YS1jNjhhZTUwMGM3MTU6ZWVjNWJiMDMwMzgwMDM0ZmI1YWZkZDMwN2JjNjllYzA6MQ==</t>
        </is>
      </c>
      <c r="O92" t="inlineStr">
        <is>
          <t>1</t>
        </is>
      </c>
      <c r="P92" t="inlineStr">
        <is>
          <t>或签任务</t>
        </is>
      </c>
      <c r="Q92" t="inlineStr">
        <is>
          <t>0</t>
        </is>
      </c>
      <c r="R92" t="inlineStr">
        <is>
          <t>龚政涛,Decay</t>
        </is>
      </c>
      <c r="S92" s="4"/>
      <c r="T92" s="3" t="str">
        <f>=HYPERLINK("https://applink.feishu.cn/client/todo/task_list?guid=4d92b9af-66d1-4cd7-95d1-4b753a64ca6b", "跃入迷城")</f>
        <v>跃入迷城</v>
      </c>
      <c r="U92" t="inlineStr">
        <is>
          <t>4d92b9af-66d1-4cd7-95d1-4b753a64ca6b</t>
        </is>
      </c>
      <c r="V92" t="inlineStr">
        <is>
          <t>133beb8a-b088-4ee5-937a-c68ae500c715</t>
        </is>
      </c>
      <c r="W92"/>
      <c r="X92"/>
      <c r="Y92"/>
      <c r="Z92" t="inlineStr">
        <is>
          <t>0.0.2</t>
        </is>
      </c>
      <c r="AA92" t="inlineStr">
        <is>
          <t>操作</t>
        </is>
      </c>
      <c r="AB92" t="inlineStr">
        <is>
          <t>已废弃</t>
        </is>
      </c>
      <c r="AC92"/>
      <c r="AD92"/>
      <c r="AE92"/>
    </row>
    <row r="93" ht="25.5" customHeight="1">
      <c r="A93" s="3" t="str">
        <f>=HYPERLINK("https://applink.feishu.cn/client/todo/detail?guid=a61fc4e5-f8f7-47ea-bf00-db89a59a1e5e&amp;suite_entity_num=t100147", "关卡锁定后，所有奖励应该无法访问")</f>
        <v>关卡锁定后，所有奖励应该无法访问</v>
      </c>
      <c r="B93"/>
      <c r="C93" t="inlineStr">
        <is>
          <t>默认分组</t>
        </is>
      </c>
      <c r="D93"/>
      <c r="E93"/>
      <c r="F93" t="inlineStr">
        <is>
          <t>Decay</t>
        </is>
      </c>
      <c r="G93" t="inlineStr">
        <is>
          <t>龚政涛</t>
        </is>
      </c>
      <c r="H93" s="4">
        <v>45570.653136574074</v>
      </c>
      <c r="I93" s="4">
        <v>45622.72519675926</v>
      </c>
      <c r="J93" s="4">
        <v>45622.333333333336</v>
      </c>
      <c r="K93" s="4">
        <v>45622.72519675926</v>
      </c>
      <c r="L93">
        <v>0</v>
      </c>
      <c r="M93">
        <v>12</v>
      </c>
      <c r="N93" t="inlineStr">
        <is>
          <t>NzQxMzM4ODg5NzkxNDY2NzAwOTphNjFmYzRlNS1mOGY3LTQ3ZWEtYmYwMC1kYjg5YTU5YTFlNWU6ZWFmNzM2NGIwYmNhNTE1NDc4OWVlZDc3MjkxNjkwY2U6MQ==</t>
        </is>
      </c>
      <c r="O93" t="inlineStr">
        <is>
          <t>1</t>
        </is>
      </c>
      <c r="P93" t="inlineStr">
        <is>
          <t>或签任务</t>
        </is>
      </c>
      <c r="Q93" t="inlineStr">
        <is>
          <t>0</t>
        </is>
      </c>
      <c r="R93" t="inlineStr">
        <is>
          <t>龚政涛,Decay</t>
        </is>
      </c>
      <c r="S93" s="4">
        <v>45621.333333333336</v>
      </c>
      <c r="T93" s="3" t="str">
        <f>=HYPERLINK("https://applink.feishu.cn/client/todo/task_list?guid=4d92b9af-66d1-4cd7-95d1-4b753a64ca6b", "跃入迷城")</f>
        <v>跃入迷城</v>
      </c>
      <c r="U93" t="inlineStr">
        <is>
          <t>4d92b9af-66d1-4cd7-95d1-4b753a64ca6b</t>
        </is>
      </c>
      <c r="V93" t="inlineStr">
        <is>
          <t>a61fc4e5-f8f7-47ea-bf00-db89a59a1e5e</t>
        </is>
      </c>
      <c r="W93"/>
      <c r="X93" t="inlineStr">
        <is>
          <t>3a1ab4a5-d9de-4b77-bf64-43576de2c81e</t>
        </is>
      </c>
      <c r="Y93"/>
      <c r="Z93" t="inlineStr">
        <is>
          <t>0.0.3</t>
        </is>
      </c>
      <c r="AA93" t="inlineStr">
        <is>
          <t>关卡</t>
        </is>
      </c>
      <c r="AB93" t="inlineStr">
        <is>
          <t>已完成</t>
        </is>
      </c>
      <c r="AC93" t="inlineStr">
        <is>
          <t>P0 - Must (not) Have</t>
        </is>
      </c>
      <c r="AD93"/>
      <c r="AE93"/>
    </row>
    <row r="94" ht="25.5" customHeight="1">
      <c r="A94" s="3" t="str">
        <f>=HYPERLINK("https://applink.feishu.cn/client/todo/detail?guid=93c9f160-b64e-48f7-ae0e-c4dcd49aa9b4&amp;suite_entity_num=t100149", "建议先移除/屏蔽冲刺")</f>
        <v>建议先移除/屏蔽冲刺</v>
      </c>
      <c r="B94"/>
      <c r="C94" t="inlineStr">
        <is>
          <t>默认分组</t>
        </is>
      </c>
      <c r="D94"/>
      <c r="E94"/>
      <c r="F94" t="inlineStr">
        <is>
          <t>龚政涛,苏祺恒</t>
        </is>
      </c>
      <c r="G94" t="inlineStr">
        <is>
          <t>龚政涛</t>
        </is>
      </c>
      <c r="H94" s="4">
        <v>45570.6546875</v>
      </c>
      <c r="I94" s="4">
        <v>45595.630833333336</v>
      </c>
      <c r="J94" s="4">
        <v>45595.333333333336</v>
      </c>
      <c r="K94" s="4">
        <v>45595.630844907406</v>
      </c>
      <c r="L94">
        <v>0</v>
      </c>
      <c r="M94">
        <v>1</v>
      </c>
      <c r="N94" t="inlineStr">
        <is>
          <t>NzQxMzM4ODg5NzkxNDY2NzAwOTo5M2M5ZjE2MC1iNjRlLTQ4ZjctYWUwZS1jNGRjZDQ5YWE5YjQ6NDBhNjYzODRkYjljODY2N2VhMjIzOTY0NDdjMjQ3YWU6MQ==</t>
        </is>
      </c>
      <c r="O94" t="inlineStr">
        <is>
          <t>1</t>
        </is>
      </c>
      <c r="P94" t="inlineStr">
        <is>
          <t>或签任务</t>
        </is>
      </c>
      <c r="Q94" t="inlineStr">
        <is>
          <t>0</t>
        </is>
      </c>
      <c r="R94" t="inlineStr">
        <is>
          <t>龚政涛,苏祺恒</t>
        </is>
      </c>
      <c r="S94" s="4"/>
      <c r="T94" s="3" t="str">
        <f>=HYPERLINK("https://applink.feishu.cn/client/todo/task_list?guid=4d92b9af-66d1-4cd7-95d1-4b753a64ca6b", "跃入迷城")</f>
        <v>跃入迷城</v>
      </c>
      <c r="U94" t="inlineStr">
        <is>
          <t>4d92b9af-66d1-4cd7-95d1-4b753a64ca6b</t>
        </is>
      </c>
      <c r="V94" t="inlineStr">
        <is>
          <t>93c9f160-b64e-48f7-ae0e-c4dcd49aa9b4</t>
        </is>
      </c>
      <c r="W94"/>
      <c r="X94"/>
      <c r="Y94"/>
      <c r="Z94" t="inlineStr">
        <is>
          <t>0.0.2</t>
        </is>
      </c>
      <c r="AA94" t="inlineStr">
        <is>
          <t>操作</t>
        </is>
      </c>
      <c r="AB94" t="inlineStr">
        <is>
          <t>已完成</t>
        </is>
      </c>
      <c r="AC94" t="inlineStr">
        <is>
          <t>P2 - Nice to Have</t>
        </is>
      </c>
      <c r="AD94"/>
      <c r="AE94"/>
    </row>
    <row r="95" ht="25.5" customHeight="1">
      <c r="A95" s="3" t="str">
        <f>=HYPERLINK("https://applink.feishu.cn/client/todo/detail?guid=4a6001a4-fb45-4c58-9f6a-084eab1b09e4&amp;suite_entity_num=t100148", "翻滚应该忽略Character的碰撞体积")</f>
        <v>翻滚应该忽略Character的碰撞体积</v>
      </c>
      <c r="B95"/>
      <c r="C95" t="inlineStr">
        <is>
          <t>默认分组</t>
        </is>
      </c>
      <c r="D95"/>
      <c r="E95"/>
      <c r="F95" t="inlineStr">
        <is>
          <t>Decay</t>
        </is>
      </c>
      <c r="G95" t="inlineStr">
        <is>
          <t>龚政涛</t>
        </is>
      </c>
      <c r="H95" s="4">
        <v>45570.65454861111</v>
      </c>
      <c r="I95" s="4">
        <v>45571.980462962965</v>
      </c>
      <c r="J95" s="4"/>
      <c r="K95" s="4">
        <v>45576.062627314815</v>
      </c>
      <c r="L95">
        <v>0</v>
      </c>
      <c r="M95">
        <v>1</v>
      </c>
      <c r="N95" t="inlineStr">
        <is>
          <t>NzQxMzM4ODg5NzkxNDY2NzAwOTo0YTYwMDFhNC1mYjQ1LTRjNTgtOWY2YS0wODRlYWIxYjA5ZTQ6NTczNGY2NmI0YzVjZTBiMDYyNDFiMmI1MmNjZGJiOTY6MQ==</t>
        </is>
      </c>
      <c r="O95" t="inlineStr">
        <is>
          <t>1</t>
        </is>
      </c>
      <c r="P95" t="inlineStr">
        <is>
          <t>或签任务</t>
        </is>
      </c>
      <c r="Q95" t="inlineStr">
        <is>
          <t>0</t>
        </is>
      </c>
      <c r="R95" t="inlineStr">
        <is>
          <t>龚政涛,Decay</t>
        </is>
      </c>
      <c r="S95" s="4"/>
      <c r="T95" s="3" t="str">
        <f>=HYPERLINK("https://applink.feishu.cn/client/todo/task_list?guid=4d92b9af-66d1-4cd7-95d1-4b753a64ca6b", "跃入迷城")</f>
        <v>跃入迷城</v>
      </c>
      <c r="U95" t="inlineStr">
        <is>
          <t>4d92b9af-66d1-4cd7-95d1-4b753a64ca6b</t>
        </is>
      </c>
      <c r="V95" t="inlineStr">
        <is>
          <t>4a6001a4-fb45-4c58-9f6a-084eab1b09e4</t>
        </is>
      </c>
      <c r="W95"/>
      <c r="X95"/>
      <c r="Y95"/>
      <c r="Z95" t="inlineStr">
        <is>
          <t>0.0.2</t>
        </is>
      </c>
      <c r="AA95" t="inlineStr">
        <is>
          <t>操作</t>
        </is>
      </c>
      <c r="AB95" t="inlineStr">
        <is>
          <t>已废弃</t>
        </is>
      </c>
      <c r="AC95"/>
      <c r="AD95"/>
      <c r="AE95"/>
    </row>
    <row r="96" ht="25.5" customHeight="1">
      <c r="A96" s="3" t="str">
        <f>=HYPERLINK("https://applink.feishu.cn/client/todo/detail?guid=4a8aced3-d639-4d9e-8d18-b92f36a61b9c&amp;suite_entity_num=t100146", "信用点系统")</f>
        <v>信用点系统</v>
      </c>
      <c r="B96"/>
      <c r="C96" t="inlineStr">
        <is>
          <t>默认分组</t>
        </is>
      </c>
      <c r="D96"/>
      <c r="E96"/>
      <c r="F96" t="inlineStr">
        <is>
          <t>Decay</t>
        </is>
      </c>
      <c r="G96" t="inlineStr">
        <is>
          <t>龚政涛</t>
        </is>
      </c>
      <c r="H96" s="4">
        <v>45570.65273148148</v>
      </c>
      <c r="I96" s="4">
        <v>45595.62863425926</v>
      </c>
      <c r="J96" s="4">
        <v>45594.333333333336</v>
      </c>
      <c r="K96" s="4">
        <v>45595.628657407404</v>
      </c>
      <c r="L96">
        <v>0</v>
      </c>
      <c r="M96">
        <v>4</v>
      </c>
      <c r="N96" t="inlineStr">
        <is>
          <t>NzQxMzM4ODg5NzkxNDY2NzAwOTo0YThhY2VkMy1kNjM5LTRkOWUtOGQxOC1iOTJmMzZhNjFiOWM6NGMyZGIzMzNiY2YzNzg5M2Q5MmQ5NzJiMDJlNmJlYmE6MQ==</t>
        </is>
      </c>
      <c r="O96" t="inlineStr">
        <is>
          <t>1</t>
        </is>
      </c>
      <c r="P96" t="inlineStr">
        <is>
          <t>或签任务</t>
        </is>
      </c>
      <c r="Q96" t="inlineStr">
        <is>
          <t>0</t>
        </is>
      </c>
      <c r="R96" t="inlineStr">
        <is>
          <t>苏祺恒,龚政涛,Decay</t>
        </is>
      </c>
      <c r="S96" s="4"/>
      <c r="T96" s="3" t="str">
        <f>=HYPERLINK("https://applink.feishu.cn/client/todo/task_list?guid=4d92b9af-66d1-4cd7-95d1-4b753a64ca6b", "跃入迷城")</f>
        <v>跃入迷城</v>
      </c>
      <c r="U96" t="inlineStr">
        <is>
          <t>4d92b9af-66d1-4cd7-95d1-4b753a64ca6b</t>
        </is>
      </c>
      <c r="V96" t="inlineStr">
        <is>
          <t>4a8aced3-d639-4d9e-8d18-b92f36a61b9c</t>
        </is>
      </c>
      <c r="W96"/>
      <c r="X96"/>
      <c r="Y96"/>
      <c r="Z96" t="inlineStr">
        <is>
          <t>0.0.2</t>
        </is>
      </c>
      <c r="AA96" t="inlineStr">
        <is>
          <t>操作</t>
        </is>
      </c>
      <c r="AB96" t="inlineStr">
        <is>
          <t>已完成</t>
        </is>
      </c>
      <c r="AC96" t="inlineStr">
        <is>
          <t>P0 - Must (not) Have</t>
        </is>
      </c>
      <c r="AD96"/>
      <c r="AE96"/>
    </row>
    <row r="97" ht="25.5" customHeight="1">
      <c r="A97" s="3" t="str">
        <f>=HYPERLINK("https://applink.feishu.cn/client/todo/detail?guid=23138c4d-4717-43d6-be96-0f721fb6104d&amp;suite_entity_num=t100144", "电梯卡直接给予的功能")</f>
        <v>电梯卡直接给予的功能</v>
      </c>
      <c r="B97"/>
      <c r="C97" t="inlineStr">
        <is>
          <t>默认分组</t>
        </is>
      </c>
      <c r="D97"/>
      <c r="E97"/>
      <c r="F97" t="inlineStr">
        <is>
          <t>Decay</t>
        </is>
      </c>
      <c r="G97" t="inlineStr">
        <is>
          <t>龚政涛</t>
        </is>
      </c>
      <c r="H97" s="4">
        <v>45570.652337962965</v>
      </c>
      <c r="I97" s="4">
        <v>45571.984398148146</v>
      </c>
      <c r="J97" s="4"/>
      <c r="K97" s="4">
        <v>45571.984398148146</v>
      </c>
      <c r="L97">
        <v>0</v>
      </c>
      <c r="M97">
        <v>1</v>
      </c>
      <c r="N97" t="inlineStr">
        <is>
          <t>NzQxMzM4ODg5NzkxNDY2NzAwOToyMzEzOGM0ZC00NzE3LTQzZDYtYmU5Ni0wZjcyMWZiNjEwNGQ6YWRmOTE5YjBiZmFkOTA4NTY0MjA2ZDRhN2M1NTA1MGQ6MQ==</t>
        </is>
      </c>
      <c r="O97" t="inlineStr">
        <is>
          <t>1</t>
        </is>
      </c>
      <c r="P97" t="inlineStr">
        <is>
          <t>或签任务</t>
        </is>
      </c>
      <c r="Q97" t="inlineStr">
        <is>
          <t>0</t>
        </is>
      </c>
      <c r="R97" t="inlineStr">
        <is>
          <t>龚政涛,Decay</t>
        </is>
      </c>
      <c r="S97" s="4"/>
      <c r="T97" s="3" t="str">
        <f>=HYPERLINK("https://applink.feishu.cn/client/todo/task_list?guid=4d92b9af-66d1-4cd7-95d1-4b753a64ca6b", "跃入迷城")</f>
        <v>跃入迷城</v>
      </c>
      <c r="U97" t="inlineStr">
        <is>
          <t>4d92b9af-66d1-4cd7-95d1-4b753a64ca6b</t>
        </is>
      </c>
      <c r="V97" t="inlineStr">
        <is>
          <t>23138c4d-4717-43d6-be96-0f721fb6104d</t>
        </is>
      </c>
      <c r="W97"/>
      <c r="X97"/>
      <c r="Y97"/>
      <c r="Z97" t="inlineStr">
        <is>
          <t>0.0.2</t>
        </is>
      </c>
      <c r="AA97" t="inlineStr">
        <is>
          <t>操作</t>
        </is>
      </c>
      <c r="AB97" t="inlineStr">
        <is>
          <t>已废弃</t>
        </is>
      </c>
      <c r="AC97"/>
      <c r="AD97"/>
      <c r="AE97"/>
    </row>
    <row r="98" ht="25.5" customHeight="1">
      <c r="A98" s="3" t="str">
        <f>=HYPERLINK("https://applink.feishu.cn/client/todo/detail?guid=40183634-f012-4d1b-9010-c6e424669c97&amp;suite_entity_num=t100165", "切换关卡时战争迷雾会穿帮")</f>
        <v>切换关卡时战争迷雾会穿帮</v>
      </c>
      <c r="B98"/>
      <c r="C98" t="inlineStr">
        <is>
          <t>默认分组</t>
        </is>
      </c>
      <c r="D98"/>
      <c r="E98"/>
      <c r="F98" t="inlineStr">
        <is>
          <t>Decay</t>
        </is>
      </c>
      <c r="G98" t="inlineStr">
        <is>
          <t>龚政涛</t>
        </is>
      </c>
      <c r="H98" s="4">
        <v>45572.015069444446</v>
      </c>
      <c r="I98" s="4">
        <v>45595.62851851852</v>
      </c>
      <c r="J98" s="4">
        <v>45587.333333333336</v>
      </c>
      <c r="K98" s="4">
        <v>45595.628530092596</v>
      </c>
      <c r="L98">
        <v>0</v>
      </c>
      <c r="M98">
        <v>5</v>
      </c>
      <c r="N98" t="inlineStr">
        <is>
          <t>NzQxMzM4ODg5NzkxNDY2NzAwOTo0MDE4MzYzNC1mMDEyLTRkMWItOTAxMC1jNmU0MjQ2NjljOTc6NzI5NjY3ZGQzM2U5MDZhYjAwZGZhMzg4ODNjNjk0NzE6MQ==</t>
        </is>
      </c>
      <c r="O98" t="inlineStr">
        <is>
          <t>1</t>
        </is>
      </c>
      <c r="P98" t="inlineStr">
        <is>
          <t>或签任务</t>
        </is>
      </c>
      <c r="Q98" t="inlineStr">
        <is>
          <t>0</t>
        </is>
      </c>
      <c r="R98" t="inlineStr">
        <is>
          <t>龚政涛,Decay</t>
        </is>
      </c>
      <c r="S98" s="4"/>
      <c r="T98" s="3" t="str">
        <f>=HYPERLINK("https://applink.feishu.cn/client/todo/task_list?guid=4d92b9af-66d1-4cd7-95d1-4b753a64ca6b", "跃入迷城")</f>
        <v>跃入迷城</v>
      </c>
      <c r="U98" t="inlineStr">
        <is>
          <t>4d92b9af-66d1-4cd7-95d1-4b753a64ca6b</t>
        </is>
      </c>
      <c r="V98" t="inlineStr">
        <is>
          <t>40183634-f012-4d1b-9010-c6e424669c97</t>
        </is>
      </c>
      <c r="W98"/>
      <c r="X98"/>
      <c r="Y98"/>
      <c r="Z98" t="inlineStr">
        <is>
          <t>0.0.2</t>
        </is>
      </c>
      <c r="AA98" t="inlineStr">
        <is>
          <t>操作</t>
        </is>
      </c>
      <c r="AB98" t="inlineStr">
        <is>
          <t>已完成</t>
        </is>
      </c>
      <c r="AC98" t="inlineStr">
        <is>
          <t>P0 - Must (not) Have</t>
        </is>
      </c>
      <c r="AD98"/>
      <c r="AE98"/>
    </row>
    <row r="99" ht="25.5" customHeight="1">
      <c r="A99" s="3" t="str">
        <f>=HYPERLINK("https://applink.feishu.cn/client/todo/detail?guid=3a1ab4a5-d9de-4b77-bf64-43576de2c81e&amp;suite_entity_num=t100166", "敌人掉落物应该跟随敌人BP走，在每个BP内手工配表")</f>
        <v>敌人掉落物应该跟随敌人BP走，在每个BP内手工配表</v>
      </c>
      <c r="B99" t="inlineStr">
        <is>
          <t>- 掉落物表结构应该如下：
- 掉落物
- 掉落概率（百分比，1~100）
- 掉落量下限
- 掉落量上限
- 每个凋落物单独计算掉落概率，因此掉落概率总和可以&lt;或&gt;100%
- 如果随机确认掉落，则在掉落量下限和上限之间随机一个数值生成掉落物</t>
        </is>
      </c>
      <c r="C99" t="inlineStr">
        <is>
          <t>默认分组</t>
        </is>
      </c>
      <c r="D99"/>
      <c r="E99"/>
      <c r="F99" t="inlineStr">
        <is>
          <t>Decay</t>
        </is>
      </c>
      <c r="G99" t="inlineStr">
        <is>
          <t>龚政涛</t>
        </is>
      </c>
      <c r="H99" s="4">
        <v>45572.58520833333</v>
      </c>
      <c r="I99" s="4">
        <v>45719.52681712963</v>
      </c>
      <c r="J99" s="4">
        <v>45633.333333333336</v>
      </c>
      <c r="K99" s="4">
        <v>45719.52681712963</v>
      </c>
      <c r="L99">
        <v>0</v>
      </c>
      <c r="M99">
        <v>1</v>
      </c>
      <c r="N99" t="inlineStr">
        <is>
          <t>NzQxMzM4ODg5NzkxNDY2NzAwOTozYTFhYjRhNS1kOWRlLTRiNzctYmY2NC00MzU3NmRlMmM4MWU6MWYzMDYzM2M4YmFmNWI3MWQ2ODgwZDE4MzdhZGUxZTI6MQ==</t>
        </is>
      </c>
      <c r="O99" t="inlineStr">
        <is>
          <t>1</t>
        </is>
      </c>
      <c r="P99" t="inlineStr">
        <is>
          <t>或签任务</t>
        </is>
      </c>
      <c r="Q99" t="inlineStr">
        <is>
          <t>0</t>
        </is>
      </c>
      <c r="R99" t="inlineStr">
        <is>
          <t>龚政涛</t>
        </is>
      </c>
      <c r="S99" s="4"/>
      <c r="T99" s="3" t="str">
        <f>=HYPERLINK("https://applink.feishu.cn/client/todo/task_list?guid=4d92b9af-66d1-4cd7-95d1-4b753a64ca6b", "跃入迷城")</f>
        <v>跃入迷城</v>
      </c>
      <c r="U99" t="inlineStr">
        <is>
          <t>4d92b9af-66d1-4cd7-95d1-4b753a64ca6b</t>
        </is>
      </c>
      <c r="V99" t="inlineStr">
        <is>
          <t>3a1ab4a5-d9de-4b77-bf64-43576de2c81e</t>
        </is>
      </c>
      <c r="W99" t="inlineStr">
        <is>
          <t>a61fc4e5-f8f7-47ea-bf00-db89a59a1e5e</t>
        </is>
      </c>
      <c r="X99"/>
      <c r="Y99"/>
      <c r="Z99" t="inlineStr">
        <is>
          <t>0.0.3</t>
        </is>
      </c>
      <c r="AA99" t="inlineStr">
        <is>
          <t>关卡</t>
        </is>
      </c>
      <c r="AB99" t="inlineStr">
        <is>
          <t>已完成</t>
        </is>
      </c>
      <c r="AC99" t="inlineStr">
        <is>
          <t>P0 - Must (not) Have</t>
        </is>
      </c>
      <c r="AD99"/>
      <c r="AE99"/>
    </row>
    <row r="100" ht="25.5" customHeight="1">
      <c r="A100" s="3" t="str">
        <f>=HYPERLINK("https://applink.feishu.cn/client/todo/detail?guid=58eb5cf8-f905-4024-a1b8-ce30e5e13b63&amp;suite_entity_num=t100167", "切换到lyra动画")</f>
        <v>切换到lyra动画</v>
      </c>
      <c r="B100"/>
      <c r="C100" t="inlineStr">
        <is>
          <t>默认分组</t>
        </is>
      </c>
      <c r="D100"/>
      <c r="E100"/>
      <c r="F100" t="inlineStr">
        <is>
          <t>Decay</t>
        </is>
      </c>
      <c r="G100" t="inlineStr">
        <is>
          <t>龚政涛</t>
        </is>
      </c>
      <c r="H100" s="4">
        <v>45576.052453703705</v>
      </c>
      <c r="I100" s="4">
        <v>45614.467824074076</v>
      </c>
      <c r="J100" s="4">
        <v>45603.333333333336</v>
      </c>
      <c r="K100" s="4">
        <v>45614.467835648145</v>
      </c>
      <c r="L100">
        <v>0</v>
      </c>
      <c r="M100">
        <v>3</v>
      </c>
      <c r="N100" t="inlineStr">
        <is>
          <t>NzQxMzM4ODg5NzkxNDY2NzAwOTo1OGViNWNmOC1mOTA1LTQwMjQtYTFiOC1jZTMwZTVlMTNiNjM6Y2RkZmZmMjgyMTQ0MGQ0YjVkZmI0NDY5ZGUzYmQ2NTM6MQ==</t>
        </is>
      </c>
      <c r="O100" t="inlineStr">
        <is>
          <t>1</t>
        </is>
      </c>
      <c r="P100" t="inlineStr">
        <is>
          <t>或签任务</t>
        </is>
      </c>
      <c r="Q100" t="inlineStr">
        <is>
          <t>0</t>
        </is>
      </c>
      <c r="R100" t="inlineStr">
        <is>
          <t>Decay,龚政涛</t>
        </is>
      </c>
      <c r="S100" s="4">
        <v>45593.333333333336</v>
      </c>
      <c r="T100" s="3" t="str">
        <f>=HYPERLINK("https://applink.feishu.cn/client/todo/task_list?guid=4d92b9af-66d1-4cd7-95d1-4b753a64ca6b", "跃入迷城")</f>
        <v>跃入迷城</v>
      </c>
      <c r="U100" t="inlineStr">
        <is>
          <t>4d92b9af-66d1-4cd7-95d1-4b753a64ca6b</t>
        </is>
      </c>
      <c r="V100" t="inlineStr">
        <is>
          <t>58eb5cf8-f905-4024-a1b8-ce30e5e13b63</t>
        </is>
      </c>
      <c r="W100"/>
      <c r="X100" t="inlineStr">
        <is>
          <t>15822456-b614-4909-8985-0469652690ea</t>
        </is>
      </c>
      <c r="Y100"/>
      <c r="Z100" t="inlineStr">
        <is>
          <t>0.0.3</t>
        </is>
      </c>
      <c r="AA100" t="inlineStr">
        <is>
          <t>动画</t>
        </is>
      </c>
      <c r="AB100" t="inlineStr">
        <is>
          <t>已完成</t>
        </is>
      </c>
      <c r="AC100" t="inlineStr">
        <is>
          <t>P1 - Bigger the Better</t>
        </is>
      </c>
      <c r="AD100"/>
      <c r="AE100"/>
    </row>
    <row r="101" ht="25.5" customHeight="1">
      <c r="A101" s="3" t="str">
        <f>=HYPERLINK("https://applink.feishu.cn/client/todo/detail?guid=7b3f2007-2af8-4b41-8f13-4a12f9d37634&amp;suite_entity_num=t100169", "翻滚时有时候尽管在平地，但会触发蹲伏 &lt; 翻滚")</f>
        <v>翻滚时有时候尽管在平地，但会触发蹲伏 &lt; 翻滚</v>
      </c>
      <c r="B101"/>
      <c r="C101" t="inlineStr">
        <is>
          <t>默认分组</t>
        </is>
      </c>
      <c r="D101"/>
      <c r="E101"/>
      <c r="F101" t="inlineStr">
        <is>
          <t>Decay</t>
        </is>
      </c>
      <c r="G101" t="inlineStr">
        <is>
          <t>龚政涛</t>
        </is>
      </c>
      <c r="H101" s="4">
        <v>45576.05987268518</v>
      </c>
      <c r="I101" s="4">
        <v>45727.47342592593</v>
      </c>
      <c r="J101" s="4"/>
      <c r="K101" s="4">
        <v>45727.47341435185</v>
      </c>
      <c r="L101">
        <v>0</v>
      </c>
      <c r="M101">
        <v>0</v>
      </c>
      <c r="N101" t="inlineStr">
        <is>
          <t>NzQxMzM4ODg5NzkxNDY2NzAwOTo3YjNmMjAwNy0yYWY4LTRiNDEtOGYxMy00YTEyZjlkMzc2MzQ6ZWM5NjRkOTYzY2E0NGYwMzM4MDg3NDQzMjc1NjA4MGQ6MQ==</t>
        </is>
      </c>
      <c r="O101" t="inlineStr">
        <is>
          <t>1</t>
        </is>
      </c>
      <c r="P101" t="inlineStr">
        <is>
          <t>或签任务</t>
        </is>
      </c>
      <c r="Q101" t="inlineStr">
        <is>
          <t>0</t>
        </is>
      </c>
      <c r="R101" t="inlineStr">
        <is>
          <t>Decay,龚政涛</t>
        </is>
      </c>
      <c r="S101" s="4"/>
      <c r="T101" s="3" t="str">
        <f>=HYPERLINK("https://applink.feishu.cn/client/todo/task_list?guid=4d92b9af-66d1-4cd7-95d1-4b753a64ca6b", "跃入迷城")</f>
        <v>跃入迷城</v>
      </c>
      <c r="U101" t="inlineStr">
        <is>
          <t>4d92b9af-66d1-4cd7-95d1-4b753a64ca6b</t>
        </is>
      </c>
      <c r="V101" t="inlineStr">
        <is>
          <t>7b3f2007-2af8-4b41-8f13-4a12f9d37634</t>
        </is>
      </c>
      <c r="W101"/>
      <c r="X101"/>
      <c r="Y101" t="inlineStr">
        <is>
          <t>93f6c3ff-1746-4771-a05d-cfc905ac63e6</t>
        </is>
      </c>
      <c r="Z101" t="inlineStr">
        <is>
          <t>0.0.4</t>
        </is>
      </c>
      <c r="AA101" t="inlineStr">
        <is>
          <t>操作</t>
        </is>
      </c>
      <c r="AB101" t="inlineStr">
        <is>
          <t>已完成</t>
        </is>
      </c>
      <c r="AC101" t="inlineStr">
        <is>
          <t>P0 - Must (not) Have</t>
        </is>
      </c>
      <c r="AD101"/>
      <c r="AE101"/>
    </row>
    <row r="102" ht="25.5" customHeight="1">
      <c r="A102" s="3" t="str">
        <f>=HYPERLINK("https://applink.feishu.cn/client/todo/detail?guid=f8130725-bcc5-4e5e-a8c7-b29537ccb149&amp;suite_entity_num=t100170", "翻滚动画衔接不畅，尤其在结束位置，并且手中的武器rigging也很有偏移问题 &lt; 翻滚")</f>
        <v>翻滚动画衔接不畅，尤其在结束位置，并且手中的武器rigging也很有偏移问题 &lt; 翻滚</v>
      </c>
      <c r="B102"/>
      <c r="C102" t="inlineStr">
        <is>
          <t>默认分组</t>
        </is>
      </c>
      <c r="D102"/>
      <c r="E102"/>
      <c r="F102" t="inlineStr">
        <is>
          <t>Decay</t>
        </is>
      </c>
      <c r="G102" t="inlineStr">
        <is>
          <t>龚政涛</t>
        </is>
      </c>
      <c r="H102" s="4">
        <v>45576.06025462963</v>
      </c>
      <c r="I102" s="4"/>
      <c r="J102" s="4"/>
      <c r="K102" s="4">
        <v>45586.44216435185</v>
      </c>
      <c r="L102">
        <v>0</v>
      </c>
      <c r="M102">
        <v>0</v>
      </c>
      <c r="N102" t="inlineStr">
        <is>
          <t>NzQxMzM4ODg5NzkxNDY2NzAwOTpmODEzMDcyNS1iY2M1LTRlNWUtYThjNy1iMjk1MzdjY2IxNDk6MTZjMDI4MmU5NzQ5NjA2YmFiMzVlNGMyNjgxNmU5ZjI6MQ==</t>
        </is>
      </c>
      <c r="O102" t="inlineStr">
        <is>
          <t>0</t>
        </is>
      </c>
      <c r="P102" t="inlineStr">
        <is>
          <t>或签任务</t>
        </is>
      </c>
      <c r="Q102" t="inlineStr">
        <is>
          <t>0</t>
        </is>
      </c>
      <c r="R102" t="inlineStr">
        <is>
          <t>龚政涛,Decay</t>
        </is>
      </c>
      <c r="S102" s="4"/>
      <c r="T102" s="3" t="str">
        <f>=HYPERLINK("https://applink.feishu.cn/client/todo/task_list?guid=4d92b9af-66d1-4cd7-95d1-4b753a64ca6b", "跃入迷城")</f>
        <v>跃入迷城</v>
      </c>
      <c r="U102" t="inlineStr">
        <is>
          <t>4d92b9af-66d1-4cd7-95d1-4b753a64ca6b</t>
        </is>
      </c>
      <c r="V102" t="inlineStr">
        <is>
          <t>f8130725-bcc5-4e5e-a8c7-b29537ccb149</t>
        </is>
      </c>
      <c r="W102"/>
      <c r="X102"/>
      <c r="Y102" t="inlineStr">
        <is>
          <t>93f6c3ff-1746-4771-a05d-cfc905ac63e6</t>
        </is>
      </c>
      <c r="Z102" t="inlineStr">
        <is>
          <t>0.1.0</t>
        </is>
      </c>
      <c r="AA102" t="inlineStr">
        <is>
          <t>程序底层</t>
        </is>
      </c>
      <c r="AB102" t="inlineStr">
        <is>
          <t>未开始</t>
        </is>
      </c>
      <c r="AC102" t="inlineStr">
        <is>
          <t>P0 - Must (not) Have</t>
        </is>
      </c>
      <c r="AD102"/>
      <c r="AE102"/>
    </row>
    <row r="103" ht="25.5" customHeight="1">
      <c r="A103" s="3" t="str">
        <f>=HYPERLINK("https://applink.feishu.cn/client/todo/detail?guid=d7d3b2ea-1618-4920-a5c4-050bf0499e2a&amp;suite_entity_num=t100180", "劳旅 - 近战普通 &lt; 敌人机能")</f>
        <v>劳旅 - 近战普通 &lt; 敌人机能</v>
      </c>
      <c r="B103"/>
      <c r="C103" t="inlineStr">
        <is>
          <t>默认分组</t>
        </is>
      </c>
      <c r="D103"/>
      <c r="E103"/>
      <c r="F103"/>
      <c r="G103" t="inlineStr">
        <is>
          <t>龚政涛</t>
        </is>
      </c>
      <c r="H103" s="4">
        <v>45576.06831018518</v>
      </c>
      <c r="I103" s="4">
        <v>45727.47237268519</v>
      </c>
      <c r="J103" s="4"/>
      <c r="K103" s="4">
        <v>45727.472349537034</v>
      </c>
      <c r="L103">
        <v>0</v>
      </c>
      <c r="M103">
        <v>0</v>
      </c>
      <c r="N103" t="inlineStr">
        <is>
          <t>NzQxMzM4ODg5NzkxNDY2NzAwOTpkN2QzYjJlYS0xNjE4LTQ5MjAtYTVjNC0wNTBiZjA0OTllMmE6OTA4MzA3NjVhOTUyMDUyYWI4NmYyNzFlZmY0NjVjZTk6MQ==</t>
        </is>
      </c>
      <c r="O103" t="inlineStr">
        <is>
          <t>1</t>
        </is>
      </c>
      <c r="P103" t="inlineStr">
        <is>
          <t>或签任务</t>
        </is>
      </c>
      <c r="Q103" t="inlineStr">
        <is>
          <t>0</t>
        </is>
      </c>
      <c r="R103" t="inlineStr">
        <is>
          <t>龚政涛</t>
        </is>
      </c>
      <c r="S103" s="4"/>
      <c r="T103" s="3" t="str">
        <f>=HYPERLINK("https://applink.feishu.cn/client/todo/task_list?guid=4d92b9af-66d1-4cd7-95d1-4b753a64ca6b", "跃入迷城")</f>
        <v>跃入迷城</v>
      </c>
      <c r="U103" t="inlineStr">
        <is>
          <t>4d92b9af-66d1-4cd7-95d1-4b753a64ca6b</t>
        </is>
      </c>
      <c r="V103" t="inlineStr">
        <is>
          <t>d7d3b2ea-1618-4920-a5c4-050bf0499e2a</t>
        </is>
      </c>
      <c r="W103"/>
      <c r="X103"/>
      <c r="Y103" t="inlineStr">
        <is>
          <t>1241485d-3167-4305-8db5-481b32ffdcf8</t>
        </is>
      </c>
      <c r="Z103" t="inlineStr">
        <is>
          <t>0.0.4</t>
        </is>
      </c>
      <c r="AA103" t="inlineStr">
        <is>
          <t>操作</t>
        </is>
      </c>
      <c r="AB103" t="inlineStr">
        <is>
          <t>已废弃</t>
        </is>
      </c>
      <c r="AC103"/>
      <c r="AD103"/>
      <c r="AE103"/>
    </row>
    <row r="104" ht="25.5" customHeight="1">
      <c r="A104" s="3" t="str">
        <f>=HYPERLINK("https://applink.feishu.cn/client/todo/detail?guid=9b3492df-147f-425f-9317-a68d633e43ef&amp;suite_entity_num=t100181", "劳旅 - 远程普通 &lt; 敌人机能")</f>
        <v>劳旅 - 远程普通 &lt; 敌人机能</v>
      </c>
      <c r="B104"/>
      <c r="C104" t="inlineStr">
        <is>
          <t>默认分组</t>
        </is>
      </c>
      <c r="D104"/>
      <c r="E104"/>
      <c r="F104"/>
      <c r="G104" t="inlineStr">
        <is>
          <t>龚政涛</t>
        </is>
      </c>
      <c r="H104" s="4">
        <v>45576.068402777775</v>
      </c>
      <c r="I104" s="4">
        <v>45727.472604166665</v>
      </c>
      <c r="J104" s="4"/>
      <c r="K104" s="4">
        <v>45727.47258101852</v>
      </c>
      <c r="L104">
        <v>0</v>
      </c>
      <c r="M104">
        <v>0</v>
      </c>
      <c r="N104" t="inlineStr">
        <is>
          <t>NzQxMzM4ODg5NzkxNDY2NzAwOTo5YjM0OTJkZi0xNDdmLTQyNWYtOTMxNy1hNjhkNjMzZTQzZWY6NDRmNmE5ZWY3MTAwZWU3OGRiNzY3MGYyNmNlZDAxNDg6MQ==</t>
        </is>
      </c>
      <c r="O104" t="inlineStr">
        <is>
          <t>1</t>
        </is>
      </c>
      <c r="P104" t="inlineStr">
        <is>
          <t>或签任务</t>
        </is>
      </c>
      <c r="Q104" t="inlineStr">
        <is>
          <t>0</t>
        </is>
      </c>
      <c r="R104" t="inlineStr">
        <is>
          <t>龚政涛</t>
        </is>
      </c>
      <c r="S104" s="4"/>
      <c r="T104" s="3" t="str">
        <f>=HYPERLINK("https://applink.feishu.cn/client/todo/task_list?guid=4d92b9af-66d1-4cd7-95d1-4b753a64ca6b", "跃入迷城")</f>
        <v>跃入迷城</v>
      </c>
      <c r="U104" t="inlineStr">
        <is>
          <t>4d92b9af-66d1-4cd7-95d1-4b753a64ca6b</t>
        </is>
      </c>
      <c r="V104" t="inlineStr">
        <is>
          <t>9b3492df-147f-425f-9317-a68d633e43ef</t>
        </is>
      </c>
      <c r="W104"/>
      <c r="X104"/>
      <c r="Y104" t="inlineStr">
        <is>
          <t>1241485d-3167-4305-8db5-481b32ffdcf8</t>
        </is>
      </c>
      <c r="Z104" t="inlineStr">
        <is>
          <t>0.0.4</t>
        </is>
      </c>
      <c r="AA104" t="inlineStr">
        <is>
          <t>操作</t>
        </is>
      </c>
      <c r="AB104" t="inlineStr">
        <is>
          <t>已废弃</t>
        </is>
      </c>
      <c r="AC104"/>
      <c r="AD104"/>
      <c r="AE104"/>
    </row>
    <row r="105" ht="25.5" customHeight="1">
      <c r="A105" s="3" t="str">
        <f>=HYPERLINK("https://applink.feishu.cn/client/todo/detail?guid=0172faca-1eef-4273-801a-717e5a6f12f9&amp;suite_entity_num=t100197", "CommonUI迁移")</f>
        <v>CommonUI迁移</v>
      </c>
      <c r="B105"/>
      <c r="C105" t="inlineStr">
        <is>
          <t>默认分组</t>
        </is>
      </c>
      <c r="D105"/>
      <c r="E105"/>
      <c r="F105" t="inlineStr">
        <is>
          <t>Decay</t>
        </is>
      </c>
      <c r="G105" t="inlineStr">
        <is>
          <t>Decay</t>
        </is>
      </c>
      <c r="H105" s="4">
        <v>45583.64234953704</v>
      </c>
      <c r="I105" s="4">
        <v>45586.61962962963</v>
      </c>
      <c r="J105" s="4"/>
      <c r="K105" s="4">
        <v>45586.6196412037</v>
      </c>
      <c r="L105">
        <v>0</v>
      </c>
      <c r="M105">
        <v>2</v>
      </c>
      <c r="N105" t="inlineStr">
        <is>
          <t>NzQxMzM4ODg5NzkxNDY2NzAwOTowMTcyZmFjYS0xZWVmLTQyNzMtODAxYS03MTdlNWE2ZjEyZjk6YmU3MmNjMDZhZWNlMmE4MTA0YWUzN2U0ZmFhNzVlN2I6MQ==</t>
        </is>
      </c>
      <c r="O105" t="inlineStr">
        <is>
          <t>1</t>
        </is>
      </c>
      <c r="P105" t="inlineStr">
        <is>
          <t>或签任务</t>
        </is>
      </c>
      <c r="Q105" t="inlineStr">
        <is>
          <t>0</t>
        </is>
      </c>
      <c r="R105" t="inlineStr">
        <is>
          <t>Decay,龚政涛</t>
        </is>
      </c>
      <c r="S105" s="4"/>
      <c r="T105" s="3" t="str">
        <f>=HYPERLINK("https://applink.feishu.cn/client/todo/task_list?guid=4d92b9af-66d1-4cd7-95d1-4b753a64ca6b", "跃入迷城")</f>
        <v>跃入迷城</v>
      </c>
      <c r="U105" t="inlineStr">
        <is>
          <t>4d92b9af-66d1-4cd7-95d1-4b753a64ca6b</t>
        </is>
      </c>
      <c r="V105" t="inlineStr">
        <is>
          <t>0172faca-1eef-4273-801a-717e5a6f12f9</t>
        </is>
      </c>
      <c r="W105"/>
      <c r="X105"/>
      <c r="Y105"/>
      <c r="Z105" t="inlineStr">
        <is>
          <t>0.0.2</t>
        </is>
      </c>
      <c r="AA105" t="inlineStr">
        <is>
          <t>程序底层</t>
        </is>
      </c>
      <c r="AB105" t="inlineStr">
        <is>
          <t>已完成</t>
        </is>
      </c>
      <c r="AC105" t="inlineStr">
        <is>
          <t>P0 - Must (not) Have</t>
        </is>
      </c>
      <c r="AD105"/>
      <c r="AE105"/>
    </row>
    <row r="106" ht="25.5" customHeight="1">
      <c r="A106" s="3" t="str">
        <f>=HYPERLINK("https://applink.feishu.cn/client/todo/detail?guid=75122199-7db5-4299-8429-cacb2dd9cc2e&amp;suite_entity_num=t100198", "Arena")</f>
        <v>Arena</v>
      </c>
      <c r="B106"/>
      <c r="C106" t="inlineStr">
        <is>
          <t>默认分组</t>
        </is>
      </c>
      <c r="D106"/>
      <c r="E106"/>
      <c r="F106" t="inlineStr">
        <is>
          <t>Decay</t>
        </is>
      </c>
      <c r="G106" t="inlineStr">
        <is>
          <t>Decay</t>
        </is>
      </c>
      <c r="H106" s="4">
        <v>45583.644733796296</v>
      </c>
      <c r="I106" s="4">
        <v>45595.62793981482</v>
      </c>
      <c r="J106" s="4">
        <v>45594.333333333336</v>
      </c>
      <c r="K106" s="4">
        <v>45595.62793981482</v>
      </c>
      <c r="L106">
        <v>0</v>
      </c>
      <c r="M106">
        <v>1</v>
      </c>
      <c r="N106" t="inlineStr">
        <is>
          <t>NzQxMzM4ODg5NzkxNDY2NzAwOTo3NTEyMjE5OS03ZGI1LTQyOTktODQyOS1jYWNiMmRkOWNjMmU6Yjg1NTRiMDgyOGNlMWVhMjQ5NjJhYzllNGQ4NzhlYjY6MQ==</t>
        </is>
      </c>
      <c r="O106" t="inlineStr">
        <is>
          <t>1</t>
        </is>
      </c>
      <c r="P106" t="inlineStr">
        <is>
          <t>或签任务</t>
        </is>
      </c>
      <c r="Q106" t="inlineStr">
        <is>
          <t>0</t>
        </is>
      </c>
      <c r="R106" t="inlineStr">
        <is>
          <t>Decay,龚政涛</t>
        </is>
      </c>
      <c r="S106" s="4"/>
      <c r="T106" s="3" t="str">
        <f>=HYPERLINK("https://applink.feishu.cn/client/todo/task_list?guid=4d92b9af-66d1-4cd7-95d1-4b753a64ca6b", "跃入迷城")</f>
        <v>跃入迷城</v>
      </c>
      <c r="U106" t="inlineStr">
        <is>
          <t>4d92b9af-66d1-4cd7-95d1-4b753a64ca6b</t>
        </is>
      </c>
      <c r="V106" t="inlineStr">
        <is>
          <t>75122199-7db5-4299-8429-cacb2dd9cc2e</t>
        </is>
      </c>
      <c r="W106"/>
      <c r="X106"/>
      <c r="Y106"/>
      <c r="Z106" t="inlineStr">
        <is>
          <t>0.0.2</t>
        </is>
      </c>
      <c r="AA106" t="inlineStr">
        <is>
          <t>操作</t>
        </is>
      </c>
      <c r="AB106" t="inlineStr">
        <is>
          <t>已完成</t>
        </is>
      </c>
      <c r="AC106" t="inlineStr">
        <is>
          <t>P1 - Bigger the Better</t>
        </is>
      </c>
      <c r="AD106"/>
      <c r="AE106"/>
    </row>
    <row r="107" ht="25.5" customHeight="1">
      <c r="A107" s="3" t="str">
        <f>=HYPERLINK("https://applink.feishu.cn/client/todo/detail?guid=15822456-b614-4909-8985-0469652690ea&amp;suite_entity_num=t100200", "修复不自然的转身动作")</f>
        <v>修复不自然的转身动作</v>
      </c>
      <c r="B107" t="inlineStr">
        <is>
          <t>增加上下半身混合</t>
        </is>
      </c>
      <c r="C107" t="inlineStr">
        <is>
          <t>默认分组</t>
        </is>
      </c>
      <c r="D107"/>
      <c r="E107"/>
      <c r="F107" t="inlineStr">
        <is>
          <t>Decay</t>
        </is>
      </c>
      <c r="G107" t="inlineStr">
        <is>
          <t>龚政涛</t>
        </is>
      </c>
      <c r="H107" s="4">
        <v>45586.571377314816</v>
      </c>
      <c r="I107" s="4">
        <v>45618.59210648148</v>
      </c>
      <c r="J107" s="4">
        <v>45614.333333333336</v>
      </c>
      <c r="K107" s="4">
        <v>45618.59211805555</v>
      </c>
      <c r="L107">
        <v>0</v>
      </c>
      <c r="M107">
        <v>0</v>
      </c>
      <c r="N107" t="inlineStr">
        <is>
          <t>NzQxMzM4ODg5NzkxNDY2NzAwOToxNTgyMjQ1Ni1iNjE0LTQ5MDktODk4NS0wNDY5NjUyNjkwZWE6NjczNzRmNmI2ZWNlNzIxYjY4MGZmMWMzZmZjODY3YmU6MQ==</t>
        </is>
      </c>
      <c r="O107" t="inlineStr">
        <is>
          <t>1</t>
        </is>
      </c>
      <c r="P107" t="inlineStr">
        <is>
          <t>或签任务</t>
        </is>
      </c>
      <c r="Q107" t="inlineStr">
        <is>
          <t>0</t>
        </is>
      </c>
      <c r="R107" t="inlineStr">
        <is>
          <t>Decay,龚政涛</t>
        </is>
      </c>
      <c r="S107" s="4">
        <v>45604.333333333336</v>
      </c>
      <c r="T107" s="3" t="str">
        <f>=HYPERLINK("https://applink.feishu.cn/client/todo/task_list?guid=4d92b9af-66d1-4cd7-95d1-4b753a64ca6b", "跃入迷城")</f>
        <v>跃入迷城</v>
      </c>
      <c r="U107" t="inlineStr">
        <is>
          <t>4d92b9af-66d1-4cd7-95d1-4b753a64ca6b</t>
        </is>
      </c>
      <c r="V107" t="inlineStr">
        <is>
          <t>15822456-b614-4909-8985-0469652690ea</t>
        </is>
      </c>
      <c r="W107" t="inlineStr">
        <is>
          <t>58eb5cf8-f905-4024-a1b8-ce30e5e13b63</t>
        </is>
      </c>
      <c r="X107"/>
      <c r="Y107"/>
      <c r="Z107" t="inlineStr">
        <is>
          <t>0.0.3</t>
        </is>
      </c>
      <c r="AA107" t="inlineStr">
        <is>
          <t>动画</t>
        </is>
      </c>
      <c r="AB107" t="inlineStr">
        <is>
          <t>已完成</t>
        </is>
      </c>
      <c r="AC107" t="inlineStr">
        <is>
          <t>P1 - Bigger the Better</t>
        </is>
      </c>
      <c r="AD107"/>
      <c r="AE107"/>
    </row>
    <row r="108" ht="25.5" customHeight="1">
      <c r="A108" s="3" t="str">
        <f>=HYPERLINK("https://applink.feishu.cn/client/todo/detail?guid=49436bc7-7021-4715-8e7c-a7228be45db1&amp;suite_entity_num=t100199", "修复翻滚：诡异的动画衔接")</f>
        <v>修复翻滚：诡异的动画衔接</v>
      </c>
      <c r="B108"/>
      <c r="C108" t="inlineStr">
        <is>
          <t>默认分组</t>
        </is>
      </c>
      <c r="D108"/>
      <c r="E108"/>
      <c r="F108"/>
      <c r="G108" t="inlineStr">
        <is>
          <t>龚政涛</t>
        </is>
      </c>
      <c r="H108" s="4">
        <v>45586.57126157408</v>
      </c>
      <c r="I108" s="4">
        <v>45631.72184027778</v>
      </c>
      <c r="J108" s="4"/>
      <c r="K108" s="4">
        <v>45631.72184027778</v>
      </c>
      <c r="L108">
        <v>0</v>
      </c>
      <c r="M108">
        <v>1</v>
      </c>
      <c r="N108" t="inlineStr">
        <is>
          <t>NzQxMzM4ODg5NzkxNDY2NzAwOTo0OTQzNmJjNy03MDIxLTQ3MTUtOGU3Yy1hNzIyOGJlNDVkYjE6MzViZjEwMWE2MDc5NzY4NDZkMmZlMWE4OTRmZWI2OGM6MQ==</t>
        </is>
      </c>
      <c r="O108" t="inlineStr">
        <is>
          <t>1</t>
        </is>
      </c>
      <c r="P108" t="inlineStr">
        <is>
          <t>或签任务</t>
        </is>
      </c>
      <c r="Q108" t="inlineStr">
        <is>
          <t>0</t>
        </is>
      </c>
      <c r="R108" t="inlineStr">
        <is>
          <t>龚政涛</t>
        </is>
      </c>
      <c r="S108" s="4"/>
      <c r="T108" s="3" t="str">
        <f>=HYPERLINK("https://applink.feishu.cn/client/todo/task_list?guid=4d92b9af-66d1-4cd7-95d1-4b753a64ca6b", "跃入迷城")</f>
        <v>跃入迷城</v>
      </c>
      <c r="U108" t="inlineStr">
        <is>
          <t>4d92b9af-66d1-4cd7-95d1-4b753a64ca6b</t>
        </is>
      </c>
      <c r="V108" t="inlineStr">
        <is>
          <t>49436bc7-7021-4715-8e7c-a7228be45db1</t>
        </is>
      </c>
      <c r="W108"/>
      <c r="X108"/>
      <c r="Y108"/>
      <c r="Z108" t="inlineStr">
        <is>
          <t>0.0.3</t>
        </is>
      </c>
      <c r="AA108" t="inlineStr">
        <is>
          <t>动画</t>
        </is>
      </c>
      <c r="AB108" t="inlineStr">
        <is>
          <t>已废弃</t>
        </is>
      </c>
      <c r="AC108" t="inlineStr">
        <is>
          <t>P0 - Must (not) Have</t>
        </is>
      </c>
      <c r="AD108"/>
      <c r="AE108"/>
    </row>
    <row r="109" ht="25.5" customHeight="1">
      <c r="A109" s="3" t="str">
        <f>=HYPERLINK("https://applink.feishu.cn/client/todo/detail?guid=c9ee1548-1d28-435f-9abd-6446bfc05b90&amp;suite_entity_num=t100202", "战争迷雾灰色层进行抽色：只保留黑白通道")</f>
        <v>战争迷雾灰色层进行抽色：只保留黑白通道</v>
      </c>
      <c r="B109"/>
      <c r="C109" t="inlineStr">
        <is>
          <t>默认分组</t>
        </is>
      </c>
      <c r="D109"/>
      <c r="E109"/>
      <c r="F109" t="inlineStr">
        <is>
          <t>Decay</t>
        </is>
      </c>
      <c r="G109" t="inlineStr">
        <is>
          <t>龚政涛</t>
        </is>
      </c>
      <c r="H109" s="4">
        <v>45586.571863425925</v>
      </c>
      <c r="I109" s="4">
        <v>45623.591527777775</v>
      </c>
      <c r="J109" s="4">
        <v>45623.333333333336</v>
      </c>
      <c r="K109" s="4">
        <v>45623.59153935185</v>
      </c>
      <c r="L109">
        <v>0</v>
      </c>
      <c r="M109">
        <v>2</v>
      </c>
      <c r="N109" t="inlineStr">
        <is>
          <t>NzQxMzM4ODg5NzkxNDY2NzAwOTpjOWVlMTU0OC0xZDI4LTQzNWYtOWFiZC02NDQ2YmZjMDViOTA6MzY0MDA5YjBjOTEzODAyNDg5NTQ2YzZiNjFhYTRjM2Q6MQ==</t>
        </is>
      </c>
      <c r="O109" t="inlineStr">
        <is>
          <t>1</t>
        </is>
      </c>
      <c r="P109" t="inlineStr">
        <is>
          <t>或签任务</t>
        </is>
      </c>
      <c r="Q109" t="inlineStr">
        <is>
          <t>0</t>
        </is>
      </c>
      <c r="R109" t="inlineStr">
        <is>
          <t>龚政涛,Decay</t>
        </is>
      </c>
      <c r="S109" s="4">
        <v>45622.333333333336</v>
      </c>
      <c r="T109" s="3" t="str">
        <f>=HYPERLINK("https://applink.feishu.cn/client/todo/task_list?guid=4d92b9af-66d1-4cd7-95d1-4b753a64ca6b", "跃入迷城")</f>
        <v>跃入迷城</v>
      </c>
      <c r="U109" t="inlineStr">
        <is>
          <t>4d92b9af-66d1-4cd7-95d1-4b753a64ca6b</t>
        </is>
      </c>
      <c r="V109" t="inlineStr">
        <is>
          <t>c9ee1548-1d28-435f-9abd-6446bfc05b90</t>
        </is>
      </c>
      <c r="W109"/>
      <c r="X109"/>
      <c r="Y109"/>
      <c r="Z109" t="inlineStr">
        <is>
          <t>0.0.3</t>
        </is>
      </c>
      <c r="AA109" t="inlineStr">
        <is>
          <t>镜头</t>
        </is>
      </c>
      <c r="AB109" t="inlineStr">
        <is>
          <t>已完成</t>
        </is>
      </c>
      <c r="AC109" t="inlineStr">
        <is>
          <t>P2 - Nice to Have</t>
        </is>
      </c>
      <c r="AD109"/>
      <c r="AE109"/>
    </row>
    <row r="110" ht="25.5" customHeight="1">
      <c r="A110" s="3" t="str">
        <f>=HYPERLINK("https://applink.feishu.cn/client/todo/detail?guid=de8e897f-0ec6-40d9-84b1-102b6cc89c9a&amp;suite_entity_num=t100201", "修复不自然的持枪动画")</f>
        <v>修复不自然的持枪动画</v>
      </c>
      <c r="B110" t="inlineStr">
        <is>
          <t>增加IK来解决持枪问题，详见：</t>
        </is>
      </c>
      <c r="C110" t="inlineStr">
        <is>
          <t>默认分组</t>
        </is>
      </c>
      <c r="D110"/>
      <c r="E110"/>
      <c r="F110" t="inlineStr">
        <is>
          <t>Decay</t>
        </is>
      </c>
      <c r="G110" t="inlineStr">
        <is>
          <t>龚政涛</t>
        </is>
      </c>
      <c r="H110" s="4">
        <v>45586.57144675926</v>
      </c>
      <c r="I110" s="4">
        <v>45651.624074074076</v>
      </c>
      <c r="J110" s="4"/>
      <c r="K110" s="4">
        <v>45651.62405092592</v>
      </c>
      <c r="L110">
        <v>0</v>
      </c>
      <c r="M110">
        <v>0</v>
      </c>
      <c r="N110" t="inlineStr">
        <is>
          <t>NzQxMzM4ODg5NzkxNDY2NzAwOTpkZThlODk3Zi0wZWM2LTQwZDktODRiMS0xMDJiNmNjODljOWE6Y2JmNjYyZTMwMThhYzg1MzJmMDFiYzAxMWM0YzRkNDk6MQ==</t>
        </is>
      </c>
      <c r="O110" t="inlineStr">
        <is>
          <t>1</t>
        </is>
      </c>
      <c r="P110" t="inlineStr">
        <is>
          <t>或签任务</t>
        </is>
      </c>
      <c r="Q110" t="inlineStr">
        <is>
          <t>0</t>
        </is>
      </c>
      <c r="R110" t="inlineStr">
        <is>
          <t>龚政涛,Decay</t>
        </is>
      </c>
      <c r="S110" s="4"/>
      <c r="T110" s="3" t="str">
        <f>=HYPERLINK("https://applink.feishu.cn/client/todo/task_list?guid=4d92b9af-66d1-4cd7-95d1-4b753a64ca6b", "跃入迷城")</f>
        <v>跃入迷城</v>
      </c>
      <c r="U110" t="inlineStr">
        <is>
          <t>4d92b9af-66d1-4cd7-95d1-4b753a64ca6b</t>
        </is>
      </c>
      <c r="V110" t="inlineStr">
        <is>
          <t>de8e897f-0ec6-40d9-84b1-102b6cc89c9a</t>
        </is>
      </c>
      <c r="W110"/>
      <c r="X110"/>
      <c r="Y110"/>
      <c r="Z110" t="inlineStr">
        <is>
          <t>0.0.3</t>
        </is>
      </c>
      <c r="AA110" t="inlineStr">
        <is>
          <t>动画</t>
        </is>
      </c>
      <c r="AB110" t="inlineStr">
        <is>
          <t>已完成</t>
        </is>
      </c>
      <c r="AC110" t="inlineStr">
        <is>
          <t>P2 - Nice to Have</t>
        </is>
      </c>
      <c r="AD110"/>
      <c r="AE110"/>
    </row>
    <row r="111" ht="25.5" customHeight="1">
      <c r="A111" s="3" t="str">
        <f>=HYPERLINK("https://applink.feishu.cn/client/todo/detail?guid=37031620-b9d9-4e61-bfac-a2529d86d8de&amp;suite_entity_num=t100206", "镜头似乎是follow胶囊体中心的，应当改为always追踪胶囊体的某个固定位置（中央）高度而不随胶囊体本身变化")</f>
        <v>镜头似乎是follow胶囊体中心的，应当改为always追踪胶囊体的某个固定位置（中央）高度而不随胶囊体本身变化</v>
      </c>
      <c r="B111"/>
      <c r="C111" t="inlineStr">
        <is>
          <t>默认分组</t>
        </is>
      </c>
      <c r="D111"/>
      <c r="E111"/>
      <c r="F111" t="inlineStr">
        <is>
          <t>Decay</t>
        </is>
      </c>
      <c r="G111" t="inlineStr">
        <is>
          <t>龚政涛</t>
        </is>
      </c>
      <c r="H111" s="4">
        <v>45586.617476851854</v>
      </c>
      <c r="I111" s="4">
        <v>45614.46800925926</v>
      </c>
      <c r="J111" s="4">
        <v>45606.333333333336</v>
      </c>
      <c r="K111" s="4">
        <v>45614.46803240741</v>
      </c>
      <c r="L111">
        <v>0</v>
      </c>
      <c r="M111">
        <v>1</v>
      </c>
      <c r="N111" t="inlineStr">
        <is>
          <t>NzQxMzM4ODg5NzkxNDY2NzAwOTozNzAzMTYyMC1iOWQ5LTRlNjEtYmZhYy1hMjUyOWQ4NmQ4ZGU6NTUxYTQwNjA3YmIwN2YyODY5ZjY4NDBhZGJjZDU3ODY6MQ==</t>
        </is>
      </c>
      <c r="O111" t="inlineStr">
        <is>
          <t>1</t>
        </is>
      </c>
      <c r="P111" t="inlineStr">
        <is>
          <t>或签任务</t>
        </is>
      </c>
      <c r="Q111" t="inlineStr">
        <is>
          <t>0</t>
        </is>
      </c>
      <c r="R111" t="inlineStr">
        <is>
          <t>龚政涛,Decay</t>
        </is>
      </c>
      <c r="S111" s="4"/>
      <c r="T111" s="3" t="str">
        <f>=HYPERLINK("https://applink.feishu.cn/client/todo/task_list?guid=4d92b9af-66d1-4cd7-95d1-4b753a64ca6b", "跃入迷城")</f>
        <v>跃入迷城</v>
      </c>
      <c r="U111" t="inlineStr">
        <is>
          <t>4d92b9af-66d1-4cd7-95d1-4b753a64ca6b</t>
        </is>
      </c>
      <c r="V111" t="inlineStr">
        <is>
          <t>37031620-b9d9-4e61-bfac-a2529d86d8de</t>
        </is>
      </c>
      <c r="W111" t="inlineStr">
        <is>
          <t>10e1d8c3-4a3c-4b55-aa97-d2ff333ac01a</t>
        </is>
      </c>
      <c r="X111" t="inlineStr">
        <is>
          <t>30c96f59-5eac-4451-8eae-40ce8b3f91b7</t>
        </is>
      </c>
      <c r="Y111"/>
      <c r="Z111" t="inlineStr">
        <is>
          <t>0.0.3</t>
        </is>
      </c>
      <c r="AA111" t="inlineStr">
        <is>
          <t>镜头</t>
        </is>
      </c>
      <c r="AB111" t="inlineStr">
        <is>
          <t>已完成</t>
        </is>
      </c>
      <c r="AC111" t="inlineStr">
        <is>
          <t>P0 - Must (not) Have</t>
        </is>
      </c>
      <c r="AD111"/>
      <c r="AE111"/>
    </row>
    <row r="112" ht="25.5" customHeight="1">
      <c r="A112" s="3" t="str">
        <f>=HYPERLINK("https://applink.feishu.cn/client/todo/detail?guid=fcc7fe80-1f78-43c7-9a33-dcd5ad5c05e8&amp;suite_entity_num=t100203", "修复散弹枪逻辑：{1}发子弹消耗可以发出{N}发伤害弹丸")</f>
        <v>修复散弹枪逻辑：{1}发子弹消耗可以发出{N}发伤害弹丸</v>
      </c>
      <c r="B112"/>
      <c r="C112" t="inlineStr">
        <is>
          <t>默认分组</t>
        </is>
      </c>
      <c r="D112"/>
      <c r="E112"/>
      <c r="F112" t="inlineStr">
        <is>
          <t>Decay</t>
        </is>
      </c>
      <c r="G112" t="inlineStr">
        <is>
          <t>龚政涛</t>
        </is>
      </c>
      <c r="H112" s="4">
        <v>45586.60561342593</v>
      </c>
      <c r="I112" s="4">
        <v>45622.658159722225</v>
      </c>
      <c r="J112" s="4">
        <v>45622.333333333336</v>
      </c>
      <c r="K112" s="4">
        <v>45622.658159722225</v>
      </c>
      <c r="L112">
        <v>0</v>
      </c>
      <c r="M112">
        <v>1</v>
      </c>
      <c r="N112" t="inlineStr">
        <is>
          <t>NzQxMzM4ODg5NzkxNDY2NzAwOTpmY2M3ZmU4MC0xZjc4LTQzYzctOWEzMy1kY2Q1YWQ1YzA1ZTg6YzE1ZmQ0ZTlhOGU4Yjc3ODE0MWNhN2Q0YTRiZDgxOWU6MQ==</t>
        </is>
      </c>
      <c r="O112" t="inlineStr">
        <is>
          <t>1</t>
        </is>
      </c>
      <c r="P112" t="inlineStr">
        <is>
          <t>或签任务</t>
        </is>
      </c>
      <c r="Q112" t="inlineStr">
        <is>
          <t>0</t>
        </is>
      </c>
      <c r="R112" t="inlineStr">
        <is>
          <t>龚政涛,Decay</t>
        </is>
      </c>
      <c r="S112" s="4">
        <v>45621.333333333336</v>
      </c>
      <c r="T112" s="3" t="str">
        <f>=HYPERLINK("https://applink.feishu.cn/client/todo/task_list?guid=4d92b9af-66d1-4cd7-95d1-4b753a64ca6b", "跃入迷城")</f>
        <v>跃入迷城</v>
      </c>
      <c r="U112" t="inlineStr">
        <is>
          <t>4d92b9af-66d1-4cd7-95d1-4b753a64ca6b</t>
        </is>
      </c>
      <c r="V112" t="inlineStr">
        <is>
          <t>fcc7fe80-1f78-43c7-9a33-dcd5ad5c05e8</t>
        </is>
      </c>
      <c r="W112"/>
      <c r="X112"/>
      <c r="Y112"/>
      <c r="Z112" t="inlineStr">
        <is>
          <t>0.0.3</t>
        </is>
      </c>
      <c r="AA112" t="inlineStr">
        <is>
          <t>装备</t>
        </is>
      </c>
      <c r="AB112" t="inlineStr">
        <is>
          <t>已完成</t>
        </is>
      </c>
      <c r="AC112" t="inlineStr">
        <is>
          <t>P0 - Must (not) Have</t>
        </is>
      </c>
      <c r="AD112"/>
      <c r="AE112"/>
    </row>
    <row r="113" ht="25.5" customHeight="1">
      <c r="A113" s="3" t="str">
        <f>=HYPERLINK("https://applink.feishu.cn/client/todo/detail?guid=30c96f59-5eac-4451-8eae-40ce8b3f91b7&amp;suite_entity_num=t100204", "尝试在翻滚期间取消镜头锁定")</f>
        <v>尝试在翻滚期间取消镜头锁定</v>
      </c>
      <c r="B113"/>
      <c r="C113" t="inlineStr">
        <is>
          <t>默认分组</t>
        </is>
      </c>
      <c r="D113"/>
      <c r="E113"/>
      <c r="F113" t="inlineStr">
        <is>
          <t>Decay</t>
        </is>
      </c>
      <c r="G113" t="inlineStr">
        <is>
          <t>龚政涛</t>
        </is>
      </c>
      <c r="H113" s="4">
        <v>45586.61199074074</v>
      </c>
      <c r="I113" s="4">
        <v>45608.484814814816</v>
      </c>
      <c r="J113" s="4">
        <v>45607.333333333336</v>
      </c>
      <c r="K113" s="4">
        <v>45608.484930555554</v>
      </c>
      <c r="L113">
        <v>0</v>
      </c>
      <c r="M113">
        <v>1</v>
      </c>
      <c r="N113" t="inlineStr">
        <is>
          <t>NzQxMzM4ODg5NzkxNDY2NzAwOTozMGM5NmY1OS01ZWFjLTQ0NTEtOGVhZS00MGNlOGIzZjkxYjc6YmM0ZTAxNjRjYjhhMWJiYjJiMWNmODM2ZDY3ZDVjYTQ6MQ==</t>
        </is>
      </c>
      <c r="O113" t="inlineStr">
        <is>
          <t>1</t>
        </is>
      </c>
      <c r="P113" t="inlineStr">
        <is>
          <t>或签任务</t>
        </is>
      </c>
      <c r="Q113" t="inlineStr">
        <is>
          <t>0</t>
        </is>
      </c>
      <c r="R113" t="inlineStr">
        <is>
          <t>龚政涛,Decay</t>
        </is>
      </c>
      <c r="S113" s="4"/>
      <c r="T113" s="3" t="str">
        <f>=HYPERLINK("https://applink.feishu.cn/client/todo/task_list?guid=4d92b9af-66d1-4cd7-95d1-4b753a64ca6b", "跃入迷城")</f>
        <v>跃入迷城</v>
      </c>
      <c r="U113" t="inlineStr">
        <is>
          <t>4d92b9af-66d1-4cd7-95d1-4b753a64ca6b</t>
        </is>
      </c>
      <c r="V113" t="inlineStr">
        <is>
          <t>30c96f59-5eac-4451-8eae-40ce8b3f91b7</t>
        </is>
      </c>
      <c r="W113" t="inlineStr">
        <is>
          <t>37031620-b9d9-4e61-bfac-a2529d86d8de</t>
        </is>
      </c>
      <c r="X113" t="inlineStr">
        <is>
          <t>550f5a8e-65e4-48cc-b158-b3b8f1c6907e</t>
        </is>
      </c>
      <c r="Y113"/>
      <c r="Z113" t="inlineStr">
        <is>
          <t>0.0.3</t>
        </is>
      </c>
      <c r="AA113" t="inlineStr">
        <is>
          <t>镜头</t>
        </is>
      </c>
      <c r="AB113" t="inlineStr">
        <is>
          <t>已完成</t>
        </is>
      </c>
      <c r="AC113" t="inlineStr">
        <is>
          <t>P1 - Bigger the Better</t>
        </is>
      </c>
      <c r="AD113"/>
      <c r="AE113"/>
    </row>
    <row r="114" ht="25.5" customHeight="1">
      <c r="A114" s="3" t="str">
        <f>=HYPERLINK("https://applink.feishu.cn/client/todo/detail?guid=34c2eb8d-cd2d-4d47-94aa-536e1e941800&amp;suite_entity_num=t100205", "参考其他俯视角游戏的翻滚（以及冲刺）")</f>
        <v>参考其他俯视角游戏的翻滚（以及冲刺）</v>
      </c>
      <c r="B114"/>
      <c r="C114" t="inlineStr">
        <is>
          <t>默认分组</t>
        </is>
      </c>
      <c r="D114"/>
      <c r="E114"/>
      <c r="F114" t="inlineStr">
        <is>
          <t>龚政涛</t>
        </is>
      </c>
      <c r="G114" t="inlineStr">
        <is>
          <t>龚政涛</t>
        </is>
      </c>
      <c r="H114" s="4">
        <v>45586.61200231482</v>
      </c>
      <c r="I114" s="4">
        <v>45594.689305555556</v>
      </c>
      <c r="J114" s="4">
        <v>45587.333333333336</v>
      </c>
      <c r="K114" s="4">
        <v>45594.68934027778</v>
      </c>
      <c r="L114">
        <v>0</v>
      </c>
      <c r="M114">
        <v>1</v>
      </c>
      <c r="N114" t="inlineStr">
        <is>
          <t>NzQxMzM4ODg5NzkxNDY2NzAwOTozNGMyZWI4ZC1jZDJkLTRkNDctOTRhYS01MzZlMWU5NDE4MDA6NjJjNGJlZDBlMzMwMDUwMDkwNWY3YjJkNjI2ZWEyN2Q6MQ==</t>
        </is>
      </c>
      <c r="O114" t="inlineStr">
        <is>
          <t>1</t>
        </is>
      </c>
      <c r="P114" t="inlineStr">
        <is>
          <t>或签任务</t>
        </is>
      </c>
      <c r="Q114" t="inlineStr">
        <is>
          <t>0</t>
        </is>
      </c>
      <c r="R114" t="inlineStr">
        <is>
          <t>龚政涛</t>
        </is>
      </c>
      <c r="S114" s="4"/>
      <c r="T114" s="3" t="str">
        <f>=HYPERLINK("https://applink.feishu.cn/client/todo/task_list?guid=4d92b9af-66d1-4cd7-95d1-4b753a64ca6b", "跃入迷城")</f>
        <v>跃入迷城</v>
      </c>
      <c r="U114" t="inlineStr">
        <is>
          <t>4d92b9af-66d1-4cd7-95d1-4b753a64ca6b</t>
        </is>
      </c>
      <c r="V114" t="inlineStr">
        <is>
          <t>34c2eb8d-cd2d-4d47-94aa-536e1e941800</t>
        </is>
      </c>
      <c r="W114"/>
      <c r="X114"/>
      <c r="Y114"/>
      <c r="Z114" t="inlineStr">
        <is>
          <t>0.0.3</t>
        </is>
      </c>
      <c r="AA114" t="inlineStr">
        <is>
          <t>操作</t>
        </is>
      </c>
      <c r="AB114" t="inlineStr">
        <is>
          <t>已完成</t>
        </is>
      </c>
      <c r="AC114" t="inlineStr">
        <is>
          <t>P0 - Must (not) Have</t>
        </is>
      </c>
      <c r="AD114"/>
      <c r="AE114"/>
    </row>
    <row r="115" ht="25.5" customHeight="1">
      <c r="A115" s="3" t="str">
        <f>=HYPERLINK("https://applink.feishu.cn/client/todo/detail?guid=837861bc-41d4-4b5c-ad54-880856fb78c6&amp;suite_entity_num=t100207", "远程武器的子弹散布回落应该只在一个完整的攻击循环结束后生效（而不是always一边涨一边跌）")</f>
        <v>远程武器的子弹散布回落应该只在一个完整的攻击循环结束后生效（而不是always一边涨一边跌）</v>
      </c>
      <c r="B115"/>
      <c r="C115" t="inlineStr">
        <is>
          <t>默认分组</t>
        </is>
      </c>
      <c r="D115"/>
      <c r="E115"/>
      <c r="F115" t="inlineStr">
        <is>
          <t>Decay</t>
        </is>
      </c>
      <c r="G115" t="inlineStr">
        <is>
          <t>龚政涛</t>
        </is>
      </c>
      <c r="H115" s="4">
        <v>45586.62457175926</v>
      </c>
      <c r="I115" s="4">
        <v>45730.596284722225</v>
      </c>
      <c r="J115" s="4">
        <v>45656.333333333336</v>
      </c>
      <c r="K115" s="4">
        <v>45868.03706018518</v>
      </c>
      <c r="L115">
        <v>0</v>
      </c>
      <c r="M115">
        <v>2</v>
      </c>
      <c r="N115" t="inlineStr">
        <is>
          <t>NzQxMzM4ODg5NzkxNDY2NzAwOTo4Mzc4NjFiYy00MWQ0LTRiNWMtYWQ1NC04ODA4NTZmYjc4YzY6MzQxYzAzODlmZDY5ZTkyNDVhNmU1NzA1MWRmODc3NTI6MQ==</t>
        </is>
      </c>
      <c r="O115" t="inlineStr">
        <is>
          <t>1</t>
        </is>
      </c>
      <c r="P115" t="inlineStr">
        <is>
          <t>或签任务</t>
        </is>
      </c>
      <c r="Q115" t="inlineStr">
        <is>
          <t>0</t>
        </is>
      </c>
      <c r="R115" t="inlineStr">
        <is>
          <t>龚政涛,Decay</t>
        </is>
      </c>
      <c r="S115" s="4"/>
      <c r="T115" s="3" t="str">
        <f>=HYPERLINK("https://applink.feishu.cn/client/todo/task_list?guid=4d92b9af-66d1-4cd7-95d1-4b753a64ca6b", "跃入迷城")</f>
        <v>跃入迷城</v>
      </c>
      <c r="U115" t="inlineStr">
        <is>
          <t>4d92b9af-66d1-4cd7-95d1-4b753a64ca6b</t>
        </is>
      </c>
      <c r="V115" t="inlineStr">
        <is>
          <t>837861bc-41d4-4b5c-ad54-880856fb78c6</t>
        </is>
      </c>
      <c r="W115"/>
      <c r="X115"/>
      <c r="Y115"/>
      <c r="Z115" t="inlineStr">
        <is>
          <t>0.0.5</t>
        </is>
      </c>
      <c r="AA115" t="inlineStr">
        <is>
          <t>操作</t>
        </is>
      </c>
      <c r="AB115" t="inlineStr">
        <is>
          <t>已完成</t>
        </is>
      </c>
      <c r="AC115" t="inlineStr">
        <is>
          <t>P1 - Bigger the Better</t>
        </is>
      </c>
      <c r="AD115" t="inlineStr">
        <is>
          <t>🎮玩法</t>
        </is>
      </c>
      <c r="AE115"/>
    </row>
    <row r="116" ht="25.5" customHeight="1">
      <c r="A116" s="3" t="str">
        <f>=HYPERLINK("https://applink.feishu.cn/client/todo/detail?guid=03507192-8bde-46ee-b8c3-c413c00990aa&amp;suite_entity_num=t100208", "打包v0.0.2")</f>
        <v>打包v0.0.2</v>
      </c>
      <c r="B116"/>
      <c r="C116" t="inlineStr">
        <is>
          <t>默认分组</t>
        </is>
      </c>
      <c r="D116"/>
      <c r="E116"/>
      <c r="F116" t="inlineStr">
        <is>
          <t>Decay</t>
        </is>
      </c>
      <c r="G116" t="inlineStr">
        <is>
          <t>龚政涛</t>
        </is>
      </c>
      <c r="H116" s="4">
        <v>45587.586875</v>
      </c>
      <c r="I116" s="4">
        <v>45595.62608796296</v>
      </c>
      <c r="J116" s="4">
        <v>45590.333333333336</v>
      </c>
      <c r="K116" s="4">
        <v>45595.62609953704</v>
      </c>
      <c r="L116">
        <v>0</v>
      </c>
      <c r="M116">
        <v>0</v>
      </c>
      <c r="N116" t="inlineStr">
        <is>
          <t>NzQxMzM4ODg5NzkxNDY2NzAwOTowMzUwNzE5Mi04YmRlLTQ2ZWUtYjhjMy1jNDEzYzAwOTkwYWE6NjIwMDZhNmI4NjFiZmNiYzljNWY2ZmQzMTE4ZTEzMzY6MQ==</t>
        </is>
      </c>
      <c r="O116" t="inlineStr">
        <is>
          <t>1</t>
        </is>
      </c>
      <c r="P116" t="inlineStr">
        <is>
          <t>或签任务</t>
        </is>
      </c>
      <c r="Q116" t="inlineStr">
        <is>
          <t>0</t>
        </is>
      </c>
      <c r="R116" t="inlineStr">
        <is>
          <t>龚政涛,Decay</t>
        </is>
      </c>
      <c r="S116" s="4"/>
      <c r="T116" s="3" t="str">
        <f>=HYPERLINK("https://applink.feishu.cn/client/todo/task_list?guid=4d92b9af-66d1-4cd7-95d1-4b753a64ca6b", "跃入迷城")</f>
        <v>跃入迷城</v>
      </c>
      <c r="U116" t="inlineStr">
        <is>
          <t>4d92b9af-66d1-4cd7-95d1-4b753a64ca6b</t>
        </is>
      </c>
      <c r="V116" t="inlineStr">
        <is>
          <t>03507192-8bde-46ee-b8c3-c413c00990aa</t>
        </is>
      </c>
      <c r="W116"/>
      <c r="X116"/>
      <c r="Y116"/>
      <c r="Z116" t="inlineStr">
        <is>
          <t>0.0.2</t>
        </is>
      </c>
      <c r="AA116" t="inlineStr">
        <is>
          <t>项目管理</t>
        </is>
      </c>
      <c r="AB116" t="inlineStr">
        <is>
          <t>已完成</t>
        </is>
      </c>
      <c r="AC116" t="inlineStr">
        <is>
          <t>P0 - Must (not) Have</t>
        </is>
      </c>
      <c r="AD116"/>
      <c r="AE116"/>
    </row>
    <row r="117" ht="25.5" customHeight="1">
      <c r="A117" s="3" t="str">
        <f>=HYPERLINK("https://applink.feishu.cn/client/todo/detail?guid=550f5a8e-65e4-48cc-b158-b3b8f1c6907e&amp;suite_entity_num=t100241", "在翻滚时增加一个镜头位移延迟")</f>
        <v>在翻滚时增加一个镜头位移延迟</v>
      </c>
      <c r="B117"/>
      <c r="C117" t="inlineStr">
        <is>
          <t>默认分组</t>
        </is>
      </c>
      <c r="D117"/>
      <c r="E117"/>
      <c r="F117" t="inlineStr">
        <is>
          <t>Decay</t>
        </is>
      </c>
      <c r="G117" t="inlineStr">
        <is>
          <t>龚政涛</t>
        </is>
      </c>
      <c r="H117" s="4">
        <v>45594.684386574074</v>
      </c>
      <c r="I117" s="4">
        <v>45614.46869212963</v>
      </c>
      <c r="J117" s="4">
        <v>45608.333333333336</v>
      </c>
      <c r="K117" s="4">
        <v>45614.468726851854</v>
      </c>
      <c r="L117">
        <v>0</v>
      </c>
      <c r="M117">
        <v>2</v>
      </c>
      <c r="N117" t="inlineStr">
        <is>
          <t>NzQxMzM4ODg5NzkxNDY2NzAwOTo1NTBmNWE4ZS02NWU0LTQ4Y2MtYjE1OC1iM2I4ZjFjNjkwN2U6ZTZkYjdiNGE2Yzk1NDMwNTllYThiN2I3MzEwOWQzNDk6MQ==</t>
        </is>
      </c>
      <c r="O117" t="inlineStr">
        <is>
          <t>1</t>
        </is>
      </c>
      <c r="P117" t="inlineStr">
        <is>
          <t>或签任务</t>
        </is>
      </c>
      <c r="Q117" t="inlineStr">
        <is>
          <t>0</t>
        </is>
      </c>
      <c r="R117" t="inlineStr">
        <is>
          <t>龚政涛,Decay</t>
        </is>
      </c>
      <c r="S117" s="4">
        <v>45608.333333333336</v>
      </c>
      <c r="T117" s="3" t="str">
        <f>=HYPERLINK("https://applink.feishu.cn/client/todo/task_list?guid=4d92b9af-66d1-4cd7-95d1-4b753a64ca6b", "跃入迷城")</f>
        <v>跃入迷城</v>
      </c>
      <c r="U117" t="inlineStr">
        <is>
          <t>4d92b9af-66d1-4cd7-95d1-4b753a64ca6b</t>
        </is>
      </c>
      <c r="V117" t="inlineStr">
        <is>
          <t>550f5a8e-65e4-48cc-b158-b3b8f1c6907e</t>
        </is>
      </c>
      <c r="W117" t="inlineStr">
        <is>
          <t>30c96f59-5eac-4451-8eae-40ce8b3f91b7</t>
        </is>
      </c>
      <c r="X117"/>
      <c r="Y117"/>
      <c r="Z117" t="inlineStr">
        <is>
          <t>0.0.3</t>
        </is>
      </c>
      <c r="AA117" t="inlineStr">
        <is>
          <t>镜头</t>
        </is>
      </c>
      <c r="AB117" t="inlineStr">
        <is>
          <t>已废弃</t>
        </is>
      </c>
      <c r="AC117" t="inlineStr">
        <is>
          <t>P1 - Bigger the Better</t>
        </is>
      </c>
      <c r="AD117"/>
      <c r="AE117"/>
    </row>
    <row r="118" ht="25.5" customHeight="1">
      <c r="A118" s="3" t="str">
        <f>=HYPERLINK("https://applink.feishu.cn/client/todo/detail?guid=310fdaf0-7f26-455d-b233-0dc043007ca6&amp;suite_entity_num=t100243", "先实现“受到攻击后打断当前动作，在{X}秒内播放受击动画，然后恢复控制”")</f>
        <v>先实现“受到攻击后打断当前动作，在{X}秒内播放受击动画，然后恢复控制”</v>
      </c>
      <c r="B118"/>
      <c r="C118" t="inlineStr">
        <is>
          <t>默认分组</t>
        </is>
      </c>
      <c r="D118"/>
      <c r="E118"/>
      <c r="F118" t="inlineStr">
        <is>
          <t>Decay</t>
        </is>
      </c>
      <c r="G118" t="inlineStr">
        <is>
          <t>龚政涛</t>
        </is>
      </c>
      <c r="H118" s="4">
        <v>45595.60885416667</v>
      </c>
      <c r="I118" s="4">
        <v>45630.63849537037</v>
      </c>
      <c r="J118" s="4">
        <v>45630.333333333336</v>
      </c>
      <c r="K118" s="4">
        <v>45630.63851851852</v>
      </c>
      <c r="L118">
        <v>0</v>
      </c>
      <c r="M118">
        <v>0</v>
      </c>
      <c r="N118" t="inlineStr">
        <is>
          <t>NzQxMzM4ODg5NzkxNDY2NzAwOTozMTBmZGFmMC03ZjI2LTQ1NWQtYjIzMy0wZGMwNDMwMDdjYTY6OTdlMmQ3OGE2ODg3OGM4ZGI0NzU3OWI4ZDc3ZWEwYzA6MQ==</t>
        </is>
      </c>
      <c r="O118" t="inlineStr">
        <is>
          <t>1</t>
        </is>
      </c>
      <c r="P118" t="inlineStr">
        <is>
          <t>或签任务</t>
        </is>
      </c>
      <c r="Q118" t="inlineStr">
        <is>
          <t>0</t>
        </is>
      </c>
      <c r="R118" t="inlineStr">
        <is>
          <t>龚政涛,Decay</t>
        </is>
      </c>
      <c r="S118" s="4">
        <v>45630.333333333336</v>
      </c>
      <c r="T118" s="3" t="str">
        <f>=HYPERLINK("https://applink.feishu.cn/client/todo/task_list?guid=4d92b9af-66d1-4cd7-95d1-4b753a64ca6b", "跃入迷城")</f>
        <v>跃入迷城</v>
      </c>
      <c r="U118" t="inlineStr">
        <is>
          <t>4d92b9af-66d1-4cd7-95d1-4b753a64ca6b</t>
        </is>
      </c>
      <c r="V118" t="inlineStr">
        <is>
          <t>310fdaf0-7f26-455d-b233-0dc043007ca6</t>
        </is>
      </c>
      <c r="W118"/>
      <c r="X118"/>
      <c r="Y118"/>
      <c r="Z118" t="inlineStr">
        <is>
          <t>0.0.3</t>
        </is>
      </c>
      <c r="AA118" t="inlineStr">
        <is>
          <t>角色</t>
        </is>
      </c>
      <c r="AB118" t="inlineStr">
        <is>
          <t>已完成</t>
        </is>
      </c>
      <c r="AC118" t="inlineStr">
        <is>
          <t>P0 - Must (not) Have</t>
        </is>
      </c>
      <c r="AD118"/>
      <c r="AE118"/>
    </row>
    <row r="119" ht="25.5" customHeight="1">
      <c r="A119" s="3" t="str">
        <f>=HYPERLINK("https://applink.feishu.cn/client/todo/detail?guid=0d128d1d-8c99-466a-853c-6cde95a3e5fb&amp;suite_entity_num=t100244", "v0.0.3 - 迭代开始")</f>
        <v>v0.0.3 - 迭代开始</v>
      </c>
      <c r="B119"/>
      <c r="C119" t="inlineStr">
        <is>
          <t>默认分组</t>
        </is>
      </c>
      <c r="D119"/>
      <c r="E119"/>
      <c r="F119"/>
      <c r="G119" t="inlineStr">
        <is>
          <t>龚政涛</t>
        </is>
      </c>
      <c r="H119" s="4">
        <v>45595.62415509259</v>
      </c>
      <c r="I119" s="4">
        <v>45651.62939814815</v>
      </c>
      <c r="J119" s="4">
        <v>45593.333333333336</v>
      </c>
      <c r="K119" s="4">
        <v>45651.62945601852</v>
      </c>
      <c r="L119">
        <v>0</v>
      </c>
      <c r="M119">
        <v>0</v>
      </c>
      <c r="N119" t="inlineStr">
        <is>
          <t>NzQxMzM4ODg5NzkxNDY2NzAwOTowZDEyOGQxZC04Yzk5LTQ2NmEtODUzYy02Y2RlOTVhM2U1ZmI6NWJjNWUzN2JjOTcxYWRmM2EwNmI2YzFlOWU5MmQ2NTY6MQ==</t>
        </is>
      </c>
      <c r="O119" t="inlineStr">
        <is>
          <t>1</t>
        </is>
      </c>
      <c r="P119" t="inlineStr">
        <is>
          <t>或签任务</t>
        </is>
      </c>
      <c r="Q119" t="inlineStr">
        <is>
          <t>1</t>
        </is>
      </c>
      <c r="R119" t="inlineStr">
        <is>
          <t>龚政涛</t>
        </is>
      </c>
      <c r="S119" s="4"/>
      <c r="T119" s="3" t="str">
        <f>=HYPERLINK("https://applink.feishu.cn/client/todo/task_list?guid=4d92b9af-66d1-4cd7-95d1-4b753a64ca6b", "跃入迷城")</f>
        <v>跃入迷城</v>
      </c>
      <c r="U119" t="inlineStr">
        <is>
          <t>4d92b9af-66d1-4cd7-95d1-4b753a64ca6b</t>
        </is>
      </c>
      <c r="V119" t="inlineStr">
        <is>
          <t>0d128d1d-8c99-466a-853c-6cde95a3e5fb</t>
        </is>
      </c>
      <c r="W119"/>
      <c r="X119"/>
      <c r="Y119"/>
      <c r="Z119" t="inlineStr">
        <is>
          <t>0.0.3</t>
        </is>
      </c>
      <c r="AA119" t="inlineStr">
        <is>
          <t>项目管理</t>
        </is>
      </c>
      <c r="AB119" t="inlineStr">
        <is>
          <t>已完成</t>
        </is>
      </c>
      <c r="AC119" t="inlineStr">
        <is>
          <t>P2 - Nice to Have</t>
        </is>
      </c>
      <c r="AD119"/>
      <c r="AE119"/>
    </row>
    <row r="120" ht="25.5" customHeight="1">
      <c r="A120" s="3" t="str">
        <f>=HYPERLINK("https://applink.feishu.cn/client/todo/detail?guid=dd4e167e-a053-46fe-be3f-06181d8dd81a&amp;suite_entity_num=t100245", "v0.0.3 - 迭代结束")</f>
        <v>v0.0.3 - 迭代结束</v>
      </c>
      <c r="B120"/>
      <c r="C120" t="inlineStr">
        <is>
          <t>默认分组</t>
        </is>
      </c>
      <c r="D120"/>
      <c r="E120"/>
      <c r="F120" t="inlineStr">
        <is>
          <t>龚政涛</t>
        </is>
      </c>
      <c r="G120" t="inlineStr">
        <is>
          <t>龚政涛</t>
        </is>
      </c>
      <c r="H120" s="4">
        <v>45595.624247685184</v>
      </c>
      <c r="I120" s="4">
        <v>45667.602372685185</v>
      </c>
      <c r="J120" s="4">
        <v>45648.333333333336</v>
      </c>
      <c r="K120" s="4">
        <v>45667.60236111111</v>
      </c>
      <c r="L120">
        <v>0</v>
      </c>
      <c r="M120">
        <v>0</v>
      </c>
      <c r="N120" t="inlineStr">
        <is>
          <t>NzQxMzM4ODg5NzkxNDY2NzAwOTpkZDRlMTY3ZS1hMDUzLTQ2ZmUtYmUzZi0wNjE4MWQ4ZGQ4MWE6ODMxODFlOTQzOTBhYmNjYTU0N2QyNWYxMWRkNWQxYmM6MQ==</t>
        </is>
      </c>
      <c r="O120" t="inlineStr">
        <is>
          <t>1</t>
        </is>
      </c>
      <c r="P120" t="inlineStr">
        <is>
          <t>或签任务</t>
        </is>
      </c>
      <c r="Q120" t="inlineStr">
        <is>
          <t>1</t>
        </is>
      </c>
      <c r="R120" t="inlineStr">
        <is>
          <t>龚政涛</t>
        </is>
      </c>
      <c r="S120" s="4"/>
      <c r="T120" s="3" t="str">
        <f>=HYPERLINK("https://applink.feishu.cn/client/todo/task_list?guid=4d92b9af-66d1-4cd7-95d1-4b753a64ca6b", "跃入迷城")</f>
        <v>跃入迷城</v>
      </c>
      <c r="U120" t="inlineStr">
        <is>
          <t>4d92b9af-66d1-4cd7-95d1-4b753a64ca6b</t>
        </is>
      </c>
      <c r="V120" t="inlineStr">
        <is>
          <t>dd4e167e-a053-46fe-be3f-06181d8dd81a</t>
        </is>
      </c>
      <c r="W120"/>
      <c r="X120"/>
      <c r="Y120"/>
      <c r="Z120" t="inlineStr">
        <is>
          <t>0.0.3</t>
        </is>
      </c>
      <c r="AA120" t="inlineStr">
        <is>
          <t>项目管理</t>
        </is>
      </c>
      <c r="AB120" t="inlineStr">
        <is>
          <t>已完成</t>
        </is>
      </c>
      <c r="AC120" t="inlineStr">
        <is>
          <t>P2 - Nice to Have</t>
        </is>
      </c>
      <c r="AD120"/>
      <c r="AE120"/>
    </row>
    <row r="121" ht="25.5" customHeight="1">
      <c r="A121" s="3" t="str">
        <f>=HYPERLINK("https://applink.feishu.cn/client/todo/detail?guid=b81d8e8d-6069-4ddd-a09e-9f9f0d6ab868&amp;suite_entity_num=t100247", "需要一份比较简单的AI功能文档，说明各个模块的作用以及便于策划修改数值")</f>
        <v>需要一份比较简单的AI功能文档，说明各个模块的作用以及便于策划修改数值</v>
      </c>
      <c r="B121"/>
      <c r="C121" t="inlineStr">
        <is>
          <t>默认分组</t>
        </is>
      </c>
      <c r="D121"/>
      <c r="E121"/>
      <c r="F121" t="inlineStr">
        <is>
          <t>李少秋</t>
        </is>
      </c>
      <c r="G121" t="inlineStr">
        <is>
          <t>龚政涛</t>
        </is>
      </c>
      <c r="H121" s="4">
        <v>45596.60582175926</v>
      </c>
      <c r="I121" s="4">
        <v>45603.65756944445</v>
      </c>
      <c r="J121" s="4">
        <v>45598.333333333336</v>
      </c>
      <c r="K121" s="4">
        <v>45603.65758101852</v>
      </c>
      <c r="L121">
        <v>0</v>
      </c>
      <c r="M121">
        <v>0</v>
      </c>
      <c r="N121" t="inlineStr">
        <is>
          <t>NzQxMzM4ODg5NzkxNDY2NzAwOTpiODFkOGU4ZC02MDY5LTRkZGQtYTA5ZS05ZjlmMGQ2YWI4Njg6MzY5ZDEzYjYwNTU3NDBlM2NlNjFkMDNiOGU4OWQzN2I6MQ==</t>
        </is>
      </c>
      <c r="O121" t="inlineStr">
        <is>
          <t>1</t>
        </is>
      </c>
      <c r="P121" t="inlineStr">
        <is>
          <t>或签任务</t>
        </is>
      </c>
      <c r="Q121" t="inlineStr">
        <is>
          <t>0</t>
        </is>
      </c>
      <c r="R121" t="inlineStr">
        <is>
          <t>龚政涛,李少秋</t>
        </is>
      </c>
      <c r="S121" s="4">
        <v>45596.333333333336</v>
      </c>
      <c r="T121" s="3" t="str">
        <f>=HYPERLINK("https://applink.feishu.cn/client/todo/task_list?guid=4d92b9af-66d1-4cd7-95d1-4b753a64ca6b", "跃入迷城")</f>
        <v>跃入迷城</v>
      </c>
      <c r="U121" t="inlineStr">
        <is>
          <t>4d92b9af-66d1-4cd7-95d1-4b753a64ca6b</t>
        </is>
      </c>
      <c r="V121" t="inlineStr">
        <is>
          <t>b81d8e8d-6069-4ddd-a09e-9f9f0d6ab868</t>
        </is>
      </c>
      <c r="W121"/>
      <c r="X121"/>
      <c r="Y121"/>
      <c r="Z121" t="inlineStr">
        <is>
          <t>0.0.3</t>
        </is>
      </c>
      <c r="AA121" t="inlineStr">
        <is>
          <t>AI</t>
        </is>
      </c>
      <c r="AB121" t="inlineStr">
        <is>
          <t>已完成</t>
        </is>
      </c>
      <c r="AC121" t="inlineStr">
        <is>
          <t>P2 - Nice to Have</t>
        </is>
      </c>
      <c r="AD121"/>
      <c r="AE121"/>
    </row>
    <row r="122" ht="25.5" customHeight="1">
      <c r="A122" s="3" t="str">
        <f>=HYPERLINK("https://applink.feishu.cn/client/todo/detail?guid=8c12367f-9466-499c-9fac-a145678a14e9&amp;suite_entity_num=t100262", "翻滚方向以键盘优先，其次是鼠标指针方向，再次是角色面朝方向")</f>
        <v>翻滚方向以键盘优先，其次是鼠标指针方向，再次是角色面朝方向</v>
      </c>
      <c r="B122"/>
      <c r="C122" t="inlineStr">
        <is>
          <t>默认分组</t>
        </is>
      </c>
      <c r="D122"/>
      <c r="E122"/>
      <c r="F122" t="inlineStr">
        <is>
          <t>Decay</t>
        </is>
      </c>
      <c r="G122" t="inlineStr">
        <is>
          <t>龚政涛</t>
        </is>
      </c>
      <c r="H122" s="4">
        <v>45608.485810185186</v>
      </c>
      <c r="I122" s="4">
        <v>45709.446377314816</v>
      </c>
      <c r="J122" s="4"/>
      <c r="K122" s="4">
        <v>45709.44646990741</v>
      </c>
      <c r="L122">
        <v>0</v>
      </c>
      <c r="M122">
        <v>3</v>
      </c>
      <c r="N122" t="inlineStr">
        <is>
          <t>NzQxMzM4ODg5NzkxNDY2NzAwOTo4YzEyMzY3Zi05NDY2LTQ5OWMtOWZhYy1hMTQ1Njc4YTE0ZTk6YTA1MWVjNzA0YTc3NjhmNGQ4M2IxNTVlMWY1ODg4MmY6MQ==</t>
        </is>
      </c>
      <c r="O122" t="inlineStr">
        <is>
          <t>1</t>
        </is>
      </c>
      <c r="P122" t="inlineStr">
        <is>
          <t>或签任务</t>
        </is>
      </c>
      <c r="Q122" t="inlineStr">
        <is>
          <t>0</t>
        </is>
      </c>
      <c r="R122" t="inlineStr">
        <is>
          <t>龚政涛,Decay</t>
        </is>
      </c>
      <c r="S122" s="4"/>
      <c r="T122" s="3" t="str">
        <f>=HYPERLINK("https://applink.feishu.cn/client/todo/task_list?guid=4d92b9af-66d1-4cd7-95d1-4b753a64ca6b", "跃入迷城")</f>
        <v>跃入迷城</v>
      </c>
      <c r="U122" t="inlineStr">
        <is>
          <t>4d92b9af-66d1-4cd7-95d1-4b753a64ca6b</t>
        </is>
      </c>
      <c r="V122" t="inlineStr">
        <is>
          <t>8c12367f-9466-499c-9fac-a145678a14e9</t>
        </is>
      </c>
      <c r="W122"/>
      <c r="X122"/>
      <c r="Y122"/>
      <c r="Z122" t="inlineStr">
        <is>
          <t>0.0.3</t>
        </is>
      </c>
      <c r="AA122" t="inlineStr">
        <is>
          <t>操作</t>
        </is>
      </c>
      <c r="AB122" t="inlineStr">
        <is>
          <t>已完成</t>
        </is>
      </c>
      <c r="AC122" t="inlineStr">
        <is>
          <t>P1 - Bigger the Better</t>
        </is>
      </c>
      <c r="AD122"/>
      <c r="AE122"/>
    </row>
    <row r="123" ht="25.5" customHeight="1">
      <c r="A123" s="3" t="str">
        <f>=HYPERLINK("https://applink.feishu.cn/client/todo/detail?guid=c6411907-150b-4518-9015-fa7660a60b0b&amp;suite_entity_num=t100268", "武器无需切换，按下对应按键自动触发攻击")</f>
        <v>武器无需切换，按下对应按键自动触发攻击</v>
      </c>
      <c r="B123"/>
      <c r="C123" t="inlineStr">
        <is>
          <t>默认分组</t>
        </is>
      </c>
      <c r="D123"/>
      <c r="E123"/>
      <c r="F123" t="inlineStr">
        <is>
          <t>Decay</t>
        </is>
      </c>
      <c r="G123" t="inlineStr">
        <is>
          <t>龚政涛</t>
        </is>
      </c>
      <c r="H123" s="4">
        <v>45611.658634259256</v>
      </c>
      <c r="I123" s="4">
        <v>45611.6593287037</v>
      </c>
      <c r="J123" s="4"/>
      <c r="K123" s="4">
        <v>45611.6593287037</v>
      </c>
      <c r="L123">
        <v>0</v>
      </c>
      <c r="M123">
        <v>0</v>
      </c>
      <c r="N123" t="inlineStr">
        <is>
          <t>NzQxMzM4ODg5NzkxNDY2NzAwOTpjNjQxMTkwNy0xNTBiLTQ1MTgtOTAxNS1mYTc2NjBhNjBiMGI6MjQ0MGJjMTliZmUwZTQ1ZDQzMDVlNTIxMGYwNGY2MzU6MQ==</t>
        </is>
      </c>
      <c r="O123" t="inlineStr">
        <is>
          <t>1</t>
        </is>
      </c>
      <c r="P123" t="inlineStr">
        <is>
          <t>或签任务</t>
        </is>
      </c>
      <c r="Q123" t="inlineStr">
        <is>
          <t>0</t>
        </is>
      </c>
      <c r="R123" t="inlineStr">
        <is>
          <t>龚政涛,Decay</t>
        </is>
      </c>
      <c r="S123" s="4"/>
      <c r="T123" s="3" t="str">
        <f>=HYPERLINK("https://applink.feishu.cn/client/todo/task_list?guid=4d92b9af-66d1-4cd7-95d1-4b753a64ca6b", "跃入迷城")</f>
        <v>跃入迷城</v>
      </c>
      <c r="U123" t="inlineStr">
        <is>
          <t>4d92b9af-66d1-4cd7-95d1-4b753a64ca6b</t>
        </is>
      </c>
      <c r="V123" t="inlineStr">
        <is>
          <t>c6411907-150b-4518-9015-fa7660a60b0b</t>
        </is>
      </c>
      <c r="W123"/>
      <c r="X123"/>
      <c r="Y123"/>
      <c r="Z123" t="inlineStr">
        <is>
          <t>0.0.3</t>
        </is>
      </c>
      <c r="AA123" t="inlineStr">
        <is>
          <t>操作</t>
        </is>
      </c>
      <c r="AB123" t="inlineStr">
        <is>
          <t>已完成</t>
        </is>
      </c>
      <c r="AC123" t="inlineStr">
        <is>
          <t>P2 - Nice to Have</t>
        </is>
      </c>
      <c r="AD123"/>
      <c r="AE123"/>
    </row>
    <row r="124" ht="25.5" customHeight="1">
      <c r="A124" s="3" t="str">
        <f>=HYPERLINK("https://applink.feishu.cn/client/todo/detail?guid=acf47932-f63a-4291-a56e-e212373f2071&amp;suite_entity_num=t100269", "副手武器（近战）攻击完以后，会维持在近战武器在手的状态，这个时候玩家如果按下[R]应该要能切回主手武器换子弹")</f>
        <v>副手武器（近战）攻击完以后，会维持在近战武器在手的状态，这个时候玩家如果按下[R]应该要能切回主手武器换子弹</v>
      </c>
      <c r="B124"/>
      <c r="C124" t="inlineStr">
        <is>
          <t>默认分组</t>
        </is>
      </c>
      <c r="D124"/>
      <c r="E124"/>
      <c r="F124" t="inlineStr">
        <is>
          <t>Decay</t>
        </is>
      </c>
      <c r="G124" t="inlineStr">
        <is>
          <t>龚政涛</t>
        </is>
      </c>
      <c r="H124" s="4">
        <v>45611.65991898148</v>
      </c>
      <c r="I124" s="4">
        <v>45636.757199074076</v>
      </c>
      <c r="J124" s="4">
        <v>45624.333333333336</v>
      </c>
      <c r="K124" s="4">
        <v>45636.757199074076</v>
      </c>
      <c r="L124">
        <v>0</v>
      </c>
      <c r="M124">
        <v>1</v>
      </c>
      <c r="N124" t="inlineStr">
        <is>
          <t>NzQxMzM4ODg5NzkxNDY2NzAwOTphY2Y0NzkzMi1mNjNhLTQyOTEtYTU2ZS1lMjEyMzczZjIwNzE6MjhhZjFlNzFlYWZlOWIzNzE0MzBmNDg3YmEwZDQ2ZWE6MQ==</t>
        </is>
      </c>
      <c r="O124" t="inlineStr">
        <is>
          <t>1</t>
        </is>
      </c>
      <c r="P124" t="inlineStr">
        <is>
          <t>或签任务</t>
        </is>
      </c>
      <c r="Q124" t="inlineStr">
        <is>
          <t>0</t>
        </is>
      </c>
      <c r="R124" t="inlineStr">
        <is>
          <t>龚政涛,Decay</t>
        </is>
      </c>
      <c r="S124" s="4">
        <v>45624.333333333336</v>
      </c>
      <c r="T124" s="3" t="str">
        <f>=HYPERLINK("https://applink.feishu.cn/client/todo/task_list?guid=4d92b9af-66d1-4cd7-95d1-4b753a64ca6b", "跃入迷城")</f>
        <v>跃入迷城</v>
      </c>
      <c r="U124" t="inlineStr">
        <is>
          <t>4d92b9af-66d1-4cd7-95d1-4b753a64ca6b</t>
        </is>
      </c>
      <c r="V124" t="inlineStr">
        <is>
          <t>acf47932-f63a-4291-a56e-e212373f2071</t>
        </is>
      </c>
      <c r="W124"/>
      <c r="X124"/>
      <c r="Y124"/>
      <c r="Z124" t="inlineStr">
        <is>
          <t>0.0.3</t>
        </is>
      </c>
      <c r="AA124" t="inlineStr">
        <is>
          <t>操作</t>
        </is>
      </c>
      <c r="AB124" t="inlineStr">
        <is>
          <t>已废弃</t>
        </is>
      </c>
      <c r="AC124" t="inlineStr">
        <is>
          <t>P2 - Nice to Have</t>
        </is>
      </c>
      <c r="AD124"/>
      <c r="AE124"/>
    </row>
    <row r="125" ht="25.5" customHeight="1">
      <c r="A125" s="3" t="str">
        <f>=HYPERLINK("https://applink.feishu.cn/client/todo/detail?guid=8afe2722-5d52-4918-95d7-075060799c44&amp;suite_entity_num=t100270", "需要2个新的攻击提示TASK")</f>
        <v>需要2个新的攻击提示TASK</v>
      </c>
      <c r="B125"/>
      <c r="C125" t="inlineStr">
        <is>
          <t>默认分组</t>
        </is>
      </c>
      <c r="D125"/>
      <c r="E125"/>
      <c r="F125" t="inlineStr">
        <is>
          <t>李少秋,Decay</t>
        </is>
      </c>
      <c r="G125" t="inlineStr">
        <is>
          <t>龚政涛</t>
        </is>
      </c>
      <c r="H125" s="4">
        <v>45611.70277777778</v>
      </c>
      <c r="I125" s="4">
        <v>45624.6540625</v>
      </c>
      <c r="J125" s="4"/>
      <c r="K125" s="4">
        <v>45624.65408564815</v>
      </c>
      <c r="L125">
        <v>0</v>
      </c>
      <c r="M125">
        <v>1</v>
      </c>
      <c r="N125" t="inlineStr">
        <is>
          <t>NzQxMzM4ODg5NzkxNDY2NzAwOTo4YWZlMjcyMi01ZDUyLTQ5MTgtOTVkNy0wNzUwNjA3OTljNDQ6NTZlNzY4ZDM4MDA0YWRhMzliNDliZjAzMGFiYWRkNmQ6MQ==</t>
        </is>
      </c>
      <c r="O125" t="inlineStr">
        <is>
          <t>1</t>
        </is>
      </c>
      <c r="P125" t="inlineStr">
        <is>
          <t>或签任务</t>
        </is>
      </c>
      <c r="Q125" t="inlineStr">
        <is>
          <t>0</t>
        </is>
      </c>
      <c r="R125" t="inlineStr">
        <is>
          <t>龚政涛,李少秋,Decay</t>
        </is>
      </c>
      <c r="S125" s="4"/>
      <c r="T125" s="3" t="str">
        <f>=HYPERLINK("https://applink.feishu.cn/client/todo/task_list?guid=4d92b9af-66d1-4cd7-95d1-4b753a64ca6b", "跃入迷城")</f>
        <v>跃入迷城</v>
      </c>
      <c r="U125" t="inlineStr">
        <is>
          <t>4d92b9af-66d1-4cd7-95d1-4b753a64ca6b</t>
        </is>
      </c>
      <c r="V125" t="inlineStr">
        <is>
          <t>8afe2722-5d52-4918-95d7-075060799c44</t>
        </is>
      </c>
      <c r="W125"/>
      <c r="X125"/>
      <c r="Y125"/>
      <c r="Z125" t="inlineStr">
        <is>
          <t>0.0.3</t>
        </is>
      </c>
      <c r="AA125" t="inlineStr">
        <is>
          <t>AI</t>
        </is>
      </c>
      <c r="AB125" t="inlineStr">
        <is>
          <t>已废弃</t>
        </is>
      </c>
      <c r="AC125" t="inlineStr">
        <is>
          <t>P0 - Must (not) Have</t>
        </is>
      </c>
      <c r="AD125"/>
      <c r="AE125"/>
    </row>
    <row r="126" ht="25.5" customHeight="1">
      <c r="A126" s="3" t="str">
        <f>=HYPERLINK("https://applink.feishu.cn/client/todo/detail?guid=0af33d13-6c50-4d5e-a671-c2f26db0aa70&amp;suite_entity_num=t100274", "目前群聚控制下的敌人会把队友尸体考虑进寻路，导致移动卡顿，希望忽略")</f>
        <v>目前群聚控制下的敌人会把队友尸体考虑进寻路，导致移动卡顿，希望忽略</v>
      </c>
      <c r="B126"/>
      <c r="C126" t="inlineStr">
        <is>
          <t>默认分组</t>
        </is>
      </c>
      <c r="D126"/>
      <c r="E126"/>
      <c r="F126" t="inlineStr">
        <is>
          <t>李少秋</t>
        </is>
      </c>
      <c r="G126" t="inlineStr">
        <is>
          <t>龚政涛</t>
        </is>
      </c>
      <c r="H126" s="4">
        <v>45611.70474537037</v>
      </c>
      <c r="I126" s="4">
        <v>45622.685694444444</v>
      </c>
      <c r="J126" s="4">
        <v>45618.333333333336</v>
      </c>
      <c r="K126" s="4">
        <v>45622.68570601852</v>
      </c>
      <c r="L126">
        <v>0</v>
      </c>
      <c r="M126">
        <v>1</v>
      </c>
      <c r="N126" t="inlineStr">
        <is>
          <t>NzQxMzM4ODg5NzkxNDY2NzAwOTowYWYzM2QxMy02YzUwLTRkNWUtYTY3MS1jMmYyNmRiMGFhNzA6MzdlYzE1NjUzMmFjMWNhMDU1ZDUxNDk5YmExZDM3OGQ6MQ==</t>
        </is>
      </c>
      <c r="O126" t="inlineStr">
        <is>
          <t>1</t>
        </is>
      </c>
      <c r="P126" t="inlineStr">
        <is>
          <t>或签任务</t>
        </is>
      </c>
      <c r="Q126" t="inlineStr">
        <is>
          <t>0</t>
        </is>
      </c>
      <c r="R126" t="inlineStr">
        <is>
          <t>龚政涛,李少秋</t>
        </is>
      </c>
      <c r="S126" s="4">
        <v>45614.333333333336</v>
      </c>
      <c r="T126" s="3" t="str">
        <f>=HYPERLINK("https://applink.feishu.cn/client/todo/task_list?guid=4d92b9af-66d1-4cd7-95d1-4b753a64ca6b", "跃入迷城")</f>
        <v>跃入迷城</v>
      </c>
      <c r="U126" t="inlineStr">
        <is>
          <t>4d92b9af-66d1-4cd7-95d1-4b753a64ca6b</t>
        </is>
      </c>
      <c r="V126" t="inlineStr">
        <is>
          <t>0af33d13-6c50-4d5e-a671-c2f26db0aa70</t>
        </is>
      </c>
      <c r="W126"/>
      <c r="X126"/>
      <c r="Y126"/>
      <c r="Z126" t="inlineStr">
        <is>
          <t>0.0.3</t>
        </is>
      </c>
      <c r="AA126" t="inlineStr">
        <is>
          <t>AI</t>
        </is>
      </c>
      <c r="AB126" t="inlineStr">
        <is>
          <t>已完成</t>
        </is>
      </c>
      <c r="AC126" t="inlineStr">
        <is>
          <t>P1 - Bigger the Better</t>
        </is>
      </c>
      <c r="AD126"/>
      <c r="AE126"/>
    </row>
    <row r="127" ht="25.5" customHeight="1">
      <c r="A127" s="3" t="str">
        <f>=HYPERLINK("https://applink.feishu.cn/client/todo/detail?guid=3d408555-3c4a-43a2-8fc3-972b4a0b850b&amp;suite_entity_num=t100275", "构建硬直系统")</f>
        <v>构建硬直系统</v>
      </c>
      <c r="B127"/>
      <c r="C127" t="inlineStr">
        <is>
          <t>默认分组</t>
        </is>
      </c>
      <c r="D127"/>
      <c r="E127"/>
      <c r="F127" t="inlineStr">
        <is>
          <t>Decay</t>
        </is>
      </c>
      <c r="G127" t="inlineStr">
        <is>
          <t>龚政涛</t>
        </is>
      </c>
      <c r="H127" s="4">
        <v>45614.47928240741</v>
      </c>
      <c r="I127" s="4">
        <v>45630.63851851852</v>
      </c>
      <c r="J127" s="4">
        <v>45630.333333333336</v>
      </c>
      <c r="K127" s="4">
        <v>45630.63853009259</v>
      </c>
      <c r="L127">
        <v>0</v>
      </c>
      <c r="M127">
        <v>1</v>
      </c>
      <c r="N127" t="inlineStr">
        <is>
          <t>NzQxMzM4ODg5NzkxNDY2NzAwOTozZDQwODU1NS0zYzRhLTQzYTItOGZjMy05NzJiNGEwYjg1MGI6ZTlkYTU3Yzk1ZDYzZTkxZTdlMzg1MTljNzQxNzJjNGU6MQ==</t>
        </is>
      </c>
      <c r="O127" t="inlineStr">
        <is>
          <t>1</t>
        </is>
      </c>
      <c r="P127" t="inlineStr">
        <is>
          <t>或签任务</t>
        </is>
      </c>
      <c r="Q127" t="inlineStr">
        <is>
          <t>0</t>
        </is>
      </c>
      <c r="R127" t="inlineStr">
        <is>
          <t>龚政涛,Decay</t>
        </is>
      </c>
      <c r="S127" s="4">
        <v>45623.333333333336</v>
      </c>
      <c r="T127" s="3" t="str">
        <f>=HYPERLINK("https://applink.feishu.cn/client/todo/task_list?guid=4d92b9af-66d1-4cd7-95d1-4b753a64ca6b", "跃入迷城")</f>
        <v>跃入迷城</v>
      </c>
      <c r="U127" t="inlineStr">
        <is>
          <t>4d92b9af-66d1-4cd7-95d1-4b753a64ca6b</t>
        </is>
      </c>
      <c r="V127" t="inlineStr">
        <is>
          <t>3d408555-3c4a-43a2-8fc3-972b4a0b850b</t>
        </is>
      </c>
      <c r="W127"/>
      <c r="X127"/>
      <c r="Y127"/>
      <c r="Z127" t="inlineStr">
        <is>
          <t>0.0.3</t>
        </is>
      </c>
      <c r="AA127" t="inlineStr">
        <is>
          <t>角色</t>
        </is>
      </c>
      <c r="AB127" t="inlineStr">
        <is>
          <t>已完成</t>
        </is>
      </c>
      <c r="AC127" t="inlineStr">
        <is>
          <t>P1 - Bigger the Better</t>
        </is>
      </c>
      <c r="AD127"/>
      <c r="AE127"/>
    </row>
    <row r="128" ht="25.5" customHeight="1">
      <c r="A128" s="3" t="str">
        <f>=HYPERLINK("https://applink.feishu.cn/client/todo/detail?guid=efe88d5f-a407-41fc-a6e6-92ed093b6f01&amp;suite_entity_num=t100281", "BTService_SetMoveSpeed")</f>
        <v>BTService_SetMoveSpeed</v>
      </c>
      <c r="B128"/>
      <c r="C128" t="inlineStr">
        <is>
          <t>默认分组</t>
        </is>
      </c>
      <c r="D128"/>
      <c r="E128"/>
      <c r="F128" t="inlineStr">
        <is>
          <t>李少秋</t>
        </is>
      </c>
      <c r="G128" t="inlineStr">
        <is>
          <t>龚政涛</t>
        </is>
      </c>
      <c r="H128" s="4">
        <v>45614.50916666666</v>
      </c>
      <c r="I128" s="4">
        <v>45622.68587962963</v>
      </c>
      <c r="J128" s="4">
        <v>45625.333333333336</v>
      </c>
      <c r="K128" s="4">
        <v>45622.68586805555</v>
      </c>
      <c r="L128">
        <v>0</v>
      </c>
      <c r="M128">
        <v>0</v>
      </c>
      <c r="N128" t="inlineStr">
        <is>
          <t>NzQxMzM4ODg5NzkxNDY2NzAwOTplZmU4OGQ1Zi1hNDA3LTQxZmMtYTZlNi05MmVkMDkzYjZmMDE6YmJlNGY4NDI3YmFhMTg1ZDJmZDg0OGI2YWNjNTg4MDA6MQ==</t>
        </is>
      </c>
      <c r="O128" t="inlineStr">
        <is>
          <t>1</t>
        </is>
      </c>
      <c r="P128" t="inlineStr">
        <is>
          <t>或签任务</t>
        </is>
      </c>
      <c r="Q128" t="inlineStr">
        <is>
          <t>0</t>
        </is>
      </c>
      <c r="R128" t="inlineStr">
        <is>
          <t>龚政涛,李少秋</t>
        </is>
      </c>
      <c r="S128" s="4">
        <v>45623.333333333336</v>
      </c>
      <c r="T128" s="3" t="str">
        <f>=HYPERLINK("https://applink.feishu.cn/client/todo/task_list?guid=4d92b9af-66d1-4cd7-95d1-4b753a64ca6b", "跃入迷城")</f>
        <v>跃入迷城</v>
      </c>
      <c r="U128" t="inlineStr">
        <is>
          <t>4d92b9af-66d1-4cd7-95d1-4b753a64ca6b</t>
        </is>
      </c>
      <c r="V128" t="inlineStr">
        <is>
          <t>efe88d5f-a407-41fc-a6e6-92ed093b6f01</t>
        </is>
      </c>
      <c r="W128"/>
      <c r="X128"/>
      <c r="Y128"/>
      <c r="Z128" t="inlineStr">
        <is>
          <t>0.0.3</t>
        </is>
      </c>
      <c r="AA128" t="inlineStr">
        <is>
          <t>AI</t>
        </is>
      </c>
      <c r="AB128" t="inlineStr">
        <is>
          <t>已完成</t>
        </is>
      </c>
      <c r="AC128" t="inlineStr">
        <is>
          <t>P2 - Nice to Have</t>
        </is>
      </c>
      <c r="AD128"/>
      <c r="AE128"/>
    </row>
    <row r="129" ht="25.5" customHeight="1">
      <c r="A129" s="3" t="str">
        <f>=HYPERLINK("https://applink.feishu.cn/client/todo/detail?guid=c758cfe2-92ba-4f69-81e7-e5ea50e2bf82&amp;suite_entity_num=t100277", "[131]的IsInDistance永远触发（这是个FALSE条件，意味着下面的TASK永远不会运行）无论我是否开启SquareDistance")</f>
        <v>[131]的IsInDistance永远触发（这是个FALSE条件，意味着下面的TASK永远不会运行）无论我是否开启SquareDistance</v>
      </c>
      <c r="B129"/>
      <c r="C129" t="inlineStr">
        <is>
          <t>默认分组</t>
        </is>
      </c>
      <c r="D129"/>
      <c r="E129"/>
      <c r="F129" t="inlineStr">
        <is>
          <t>李少秋</t>
        </is>
      </c>
      <c r="G129" t="inlineStr">
        <is>
          <t>龚政涛</t>
        </is>
      </c>
      <c r="H129" s="4">
        <v>45614.507002314815</v>
      </c>
      <c r="I129" s="4">
        <v>45614.657060185185</v>
      </c>
      <c r="J129" s="4"/>
      <c r="K129" s="4">
        <v>45614.65744212963</v>
      </c>
      <c r="L129">
        <v>0</v>
      </c>
      <c r="M129">
        <v>1</v>
      </c>
      <c r="N129" t="inlineStr">
        <is>
          <t>NzQxMzM4ODg5NzkxNDY2NzAwOTpjNzU4Y2ZlMi05MmJhLTRmNjktODFlNy1lNWVhNTBlMmJmODI6ODlmMWIyNDljNzY5ZmUxNDU1OGQwMDQyOThiMmQwZDg6MQ==</t>
        </is>
      </c>
      <c r="O129" t="inlineStr">
        <is>
          <t>1</t>
        </is>
      </c>
      <c r="P129" t="inlineStr">
        <is>
          <t>或签任务</t>
        </is>
      </c>
      <c r="Q129" t="inlineStr">
        <is>
          <t>0</t>
        </is>
      </c>
      <c r="R129" t="inlineStr">
        <is>
          <t>龚政涛,李少秋</t>
        </is>
      </c>
      <c r="S129" s="4"/>
      <c r="T129" s="3" t="str">
        <f>=HYPERLINK("https://applink.feishu.cn/client/todo/task_list?guid=4d92b9af-66d1-4cd7-95d1-4b753a64ca6b", "跃入迷城")</f>
        <v>跃入迷城</v>
      </c>
      <c r="U129" t="inlineStr">
        <is>
          <t>4d92b9af-66d1-4cd7-95d1-4b753a64ca6b</t>
        </is>
      </c>
      <c r="V129" t="inlineStr">
        <is>
          <t>c758cfe2-92ba-4f69-81e7-e5ea50e2bf82</t>
        </is>
      </c>
      <c r="W129"/>
      <c r="X129"/>
      <c r="Y129"/>
      <c r="Z129" t="inlineStr">
        <is>
          <t>0.0.3</t>
        </is>
      </c>
      <c r="AA129" t="inlineStr">
        <is>
          <t>AI</t>
        </is>
      </c>
      <c r="AB129" t="inlineStr">
        <is>
          <t>已废弃</t>
        </is>
      </c>
      <c r="AC129" t="inlineStr">
        <is>
          <t>P0 - Must (not) Have</t>
        </is>
      </c>
      <c r="AD129"/>
      <c r="AE129"/>
    </row>
    <row r="130" ht="25.5" customHeight="1">
      <c r="A130" s="3" t="str">
        <f>=HYPERLINK("https://applink.feishu.cn/client/todo/detail?guid=bf92e215-1276-40d7-af1d-891757094165&amp;suite_entity_num=t100279", "BTT_GetOptoLocation，用于非战斗、有视野的“战术移动”选址")</f>
        <v>BTT_GetOptoLocation，用于非战斗、有视野的“战术移动”选址</v>
      </c>
      <c r="B130"/>
      <c r="C130" t="inlineStr">
        <is>
          <t>默认分组</t>
        </is>
      </c>
      <c r="D130"/>
      <c r="E130"/>
      <c r="F130" t="inlineStr">
        <is>
          <t>李少秋</t>
        </is>
      </c>
      <c r="G130" t="inlineStr">
        <is>
          <t>龚政涛</t>
        </is>
      </c>
      <c r="H130" s="4">
        <v>45614.50914351852</v>
      </c>
      <c r="I130" s="4">
        <v>45617.45228009259</v>
      </c>
      <c r="J130" s="4"/>
      <c r="K130" s="4">
        <v>45733.70945601852</v>
      </c>
      <c r="L130">
        <v>0</v>
      </c>
      <c r="M130">
        <v>0</v>
      </c>
      <c r="N130" t="inlineStr">
        <is>
          <t>NzQxMzM4ODg5NzkxNDY2NzAwOTpiZjkyZTIxNS0xMjc2LTQwZDctYWYxZC04OTE3NTcwOTQxNjU6N2Q3MWY2YzIwMzFlYjJhNDk0MGIxNWRmZWNmNGJlOTk6MQ==</t>
        </is>
      </c>
      <c r="O130" t="inlineStr">
        <is>
          <t>1</t>
        </is>
      </c>
      <c r="P130" t="inlineStr">
        <is>
          <t>或签任务</t>
        </is>
      </c>
      <c r="Q130" t="inlineStr">
        <is>
          <t>0</t>
        </is>
      </c>
      <c r="R130" t="inlineStr">
        <is>
          <t>龚政涛,李少秋</t>
        </is>
      </c>
      <c r="S130" s="4"/>
      <c r="T130" s="3" t="str">
        <f>=HYPERLINK("https://applink.feishu.cn/client/todo/task_list?guid=4d92b9af-66d1-4cd7-95d1-4b753a64ca6b", "跃入迷城")</f>
        <v>跃入迷城</v>
      </c>
      <c r="U130" t="inlineStr">
        <is>
          <t>4d92b9af-66d1-4cd7-95d1-4b753a64ca6b</t>
        </is>
      </c>
      <c r="V130" t="inlineStr">
        <is>
          <t>bf92e215-1276-40d7-af1d-891757094165</t>
        </is>
      </c>
      <c r="W130"/>
      <c r="X130"/>
      <c r="Y130"/>
      <c r="Z130" t="inlineStr">
        <is>
          <t>0.0.3</t>
        </is>
      </c>
      <c r="AA130" t="inlineStr">
        <is>
          <t>AI</t>
        </is>
      </c>
      <c r="AB130" t="inlineStr">
        <is>
          <t>已完成</t>
        </is>
      </c>
      <c r="AC130" t="inlineStr">
        <is>
          <t>P1 - Bigger the Better</t>
        </is>
      </c>
      <c r="AD130"/>
      <c r="AE130"/>
    </row>
    <row r="131" ht="25.5" customHeight="1">
      <c r="A131" s="3" t="str">
        <f>=HYPERLINK("https://applink.feishu.cn/client/todo/detail?guid=a35df0af-b298-47a0-9122-20878e61ba19&amp;suite_entity_num=t100278", "所有的OnPerceptionUpdate（[140、[147]以及我没有截图到的[151]）都无法正确Abort后续TASK，我理解AIC现在会慢慢转过去看玩家，但Perception Abort应该会先生效然后触发[131]的Search？")</f>
        <v>所有的OnPerceptionUpdate（[140、[147]以及我没有截图到的[151]）都无法正确Abort后续TASK，我理解AIC现在会慢慢转过去看玩家，但Perception Abort应该会先生效然后触发[131]的Search？</v>
      </c>
      <c r="B131"/>
      <c r="C131" t="inlineStr">
        <is>
          <t>默认分组</t>
        </is>
      </c>
      <c r="D131"/>
      <c r="E131"/>
      <c r="F131" t="inlineStr">
        <is>
          <t>李少秋</t>
        </is>
      </c>
      <c r="G131" t="inlineStr">
        <is>
          <t>龚政涛</t>
        </is>
      </c>
      <c r="H131" s="4">
        <v>45614.50701388889</v>
      </c>
      <c r="I131" s="4">
        <v>45614.657060185185</v>
      </c>
      <c r="J131" s="4"/>
      <c r="K131" s="4">
        <v>45614.65759259259</v>
      </c>
      <c r="L131">
        <v>0</v>
      </c>
      <c r="M131">
        <v>1</v>
      </c>
      <c r="N131" t="inlineStr">
        <is>
          <t>NzQxMzM4ODg5NzkxNDY2NzAwOTphMzVkZjBhZi1iMjk4LTQ3YTAtOTEyMi0yMDg3OGU2MWJhMTk6ODBmNmU2NWIzOTYzZWE4ZWNiYWE5NzRiMjg0NzI2NDU6MQ==</t>
        </is>
      </c>
      <c r="O131" t="inlineStr">
        <is>
          <t>1</t>
        </is>
      </c>
      <c r="P131" t="inlineStr">
        <is>
          <t>或签任务</t>
        </is>
      </c>
      <c r="Q131" t="inlineStr">
        <is>
          <t>0</t>
        </is>
      </c>
      <c r="R131" t="inlineStr">
        <is>
          <t>龚政涛,李少秋</t>
        </is>
      </c>
      <c r="S131" s="4"/>
      <c r="T131" s="3" t="str">
        <f>=HYPERLINK("https://applink.feishu.cn/client/todo/task_list?guid=4d92b9af-66d1-4cd7-95d1-4b753a64ca6b", "跃入迷城")</f>
        <v>跃入迷城</v>
      </c>
      <c r="U131" t="inlineStr">
        <is>
          <t>4d92b9af-66d1-4cd7-95d1-4b753a64ca6b</t>
        </is>
      </c>
      <c r="V131" t="inlineStr">
        <is>
          <t>a35df0af-b298-47a0-9122-20878e61ba19</t>
        </is>
      </c>
      <c r="W131"/>
      <c r="X131"/>
      <c r="Y131"/>
      <c r="Z131" t="inlineStr">
        <is>
          <t>0.0.3</t>
        </is>
      </c>
      <c r="AA131" t="inlineStr">
        <is>
          <t>AI</t>
        </is>
      </c>
      <c r="AB131" t="inlineStr">
        <is>
          <t>已废弃</t>
        </is>
      </c>
      <c r="AC131" t="inlineStr">
        <is>
          <t>P0 - Must (not) Have</t>
        </is>
      </c>
      <c r="AD131"/>
      <c r="AE131"/>
    </row>
    <row r="132" ht="25.5" customHeight="1">
      <c r="A132" s="3" t="str">
        <f>=HYPERLINK("https://applink.feishu.cn/client/todo/detail?guid=3b2ce12e-7176-4040-8b47-7e0eb366a873&amp;suite_entity_num=t100282", "TacticalMoveDistance，用于在有视野、非攻击状态下的战术移动，设置移动半径")</f>
        <v>TacticalMoveDistance，用于在有视野、非攻击状态下的战术移动，设置移动半径</v>
      </c>
      <c r="B132"/>
      <c r="C132" t="inlineStr">
        <is>
          <t>默认分组</t>
        </is>
      </c>
      <c r="D132"/>
      <c r="E132"/>
      <c r="F132" t="inlineStr">
        <is>
          <t>李少秋</t>
        </is>
      </c>
      <c r="G132" t="inlineStr">
        <is>
          <t>龚政涛</t>
        </is>
      </c>
      <c r="H132" s="4">
        <v>45614.50917824074</v>
      </c>
      <c r="I132" s="4">
        <v>45622.685636574075</v>
      </c>
      <c r="J132" s="4">
        <v>45618.333333333336</v>
      </c>
      <c r="K132" s="4">
        <v>45622.685636574075</v>
      </c>
      <c r="L132">
        <v>0</v>
      </c>
      <c r="M132">
        <v>0</v>
      </c>
      <c r="N132" t="inlineStr">
        <is>
          <t>NzQxMzM4ODg5NzkxNDY2NzAwOTozYjJjZTEyZS03MTc2LTQwNDAtOGI0Ny03ZTBlYjM2NmE4NzM6YmYwZTU5ZTFjNGM3ZjM3MDM0NWFmMjA0MGUxZWZkYzA6MQ==</t>
        </is>
      </c>
      <c r="O132" t="inlineStr">
        <is>
          <t>1</t>
        </is>
      </c>
      <c r="P132" t="inlineStr">
        <is>
          <t>或签任务</t>
        </is>
      </c>
      <c r="Q132" t="inlineStr">
        <is>
          <t>0</t>
        </is>
      </c>
      <c r="R132" t="inlineStr">
        <is>
          <t>李少秋,龚政涛</t>
        </is>
      </c>
      <c r="S132" s="4">
        <v>45614.333333333336</v>
      </c>
      <c r="T132" s="3" t="str">
        <f>=HYPERLINK("https://applink.feishu.cn/client/todo/task_list?guid=4d92b9af-66d1-4cd7-95d1-4b753a64ca6b", "跃入迷城")</f>
        <v>跃入迷城</v>
      </c>
      <c r="U132" t="inlineStr">
        <is>
          <t>4d92b9af-66d1-4cd7-95d1-4b753a64ca6b</t>
        </is>
      </c>
      <c r="V132" t="inlineStr">
        <is>
          <t>3b2ce12e-7176-4040-8b47-7e0eb366a873</t>
        </is>
      </c>
      <c r="W132"/>
      <c r="X132"/>
      <c r="Y132"/>
      <c r="Z132" t="inlineStr">
        <is>
          <t>0.0.3</t>
        </is>
      </c>
      <c r="AA132" t="inlineStr">
        <is>
          <t>AI</t>
        </is>
      </c>
      <c r="AB132" t="inlineStr">
        <is>
          <t>已完成</t>
        </is>
      </c>
      <c r="AC132" t="inlineStr">
        <is>
          <t>P1 - Bigger the Better</t>
        </is>
      </c>
      <c r="AD132"/>
      <c r="AE132"/>
    </row>
    <row r="133" ht="25.5" customHeight="1">
      <c r="A133" s="3" t="str">
        <f>=HYPERLINK("https://applink.feishu.cn/client/todo/detail?guid=7b0d2674-f9af-4c14-9c9f-a7a34660323c&amp;suite_entity_num=t100280", "BTT_SetCurrentLocation，用于获取当前AI的站立位置，很方便")</f>
        <v>BTT_SetCurrentLocation，用于获取当前AI的站立位置，很方便</v>
      </c>
      <c r="B133"/>
      <c r="C133" t="inlineStr">
        <is>
          <t>默认分组</t>
        </is>
      </c>
      <c r="D133"/>
      <c r="E133"/>
      <c r="F133" t="inlineStr">
        <is>
          <t>李少秋</t>
        </is>
      </c>
      <c r="G133" t="inlineStr">
        <is>
          <t>龚政涛</t>
        </is>
      </c>
      <c r="H133" s="4">
        <v>45614.50916666666</v>
      </c>
      <c r="I133" s="4">
        <v>45617.453935185185</v>
      </c>
      <c r="J133" s="4"/>
      <c r="K133" s="4">
        <v>45733.70949074074</v>
      </c>
      <c r="L133">
        <v>0</v>
      </c>
      <c r="M133">
        <v>0</v>
      </c>
      <c r="N133" t="inlineStr">
        <is>
          <t>NzQxMzM4ODg5NzkxNDY2NzAwOTo3YjBkMjY3NC1mOWFmLTRjMTQtOWM5Zi1hN2EzNDY2MDMyM2M6ZDIyMzBkMDI0YjQ0MjhkMzU5NzliYmQzNzA4MmFhN2U6MQ==</t>
        </is>
      </c>
      <c r="O133" t="inlineStr">
        <is>
          <t>1</t>
        </is>
      </c>
      <c r="P133" t="inlineStr">
        <is>
          <t>或签任务</t>
        </is>
      </c>
      <c r="Q133" t="inlineStr">
        <is>
          <t>0</t>
        </is>
      </c>
      <c r="R133" t="inlineStr">
        <is>
          <t>李少秋,龚政涛</t>
        </is>
      </c>
      <c r="S133" s="4"/>
      <c r="T133" s="3" t="str">
        <f>=HYPERLINK("https://applink.feishu.cn/client/todo/task_list?guid=4d92b9af-66d1-4cd7-95d1-4b753a64ca6b", "跃入迷城")</f>
        <v>跃入迷城</v>
      </c>
      <c r="U133" t="inlineStr">
        <is>
          <t>4d92b9af-66d1-4cd7-95d1-4b753a64ca6b</t>
        </is>
      </c>
      <c r="V133" t="inlineStr">
        <is>
          <t>7b0d2674-f9af-4c14-9c9f-a7a34660323c</t>
        </is>
      </c>
      <c r="W133"/>
      <c r="X133"/>
      <c r="Y133"/>
      <c r="Z133" t="inlineStr">
        <is>
          <t>0.0.3</t>
        </is>
      </c>
      <c r="AA133" t="inlineStr">
        <is>
          <t>AI</t>
        </is>
      </c>
      <c r="AB133" t="inlineStr">
        <is>
          <t>已完成</t>
        </is>
      </c>
      <c r="AC133" t="inlineStr">
        <is>
          <t>P1 - Bigger the Better</t>
        </is>
      </c>
      <c r="AD133"/>
      <c r="AE133"/>
    </row>
    <row r="134" ht="25.5" customHeight="1">
      <c r="A134" s="3" t="str">
        <f>=HYPERLINK("https://applink.feishu.cn/client/todo/detail?guid=43c433ee-f65b-444e-819b-a5bd5554bbe0&amp;suite_entity_num=t100276", "HasCurrentSight在[7]和[93]位置时，为FALSE时不能Abort后续TASK，但在[139]位置就可以")</f>
        <v>HasCurrentSight在[7]和[93]位置时，为FALSE时不能Abort后续TASK，但在[139]位置就可以</v>
      </c>
      <c r="B134"/>
      <c r="C134" t="inlineStr">
        <is>
          <t>默认分组</t>
        </is>
      </c>
      <c r="D134"/>
      <c r="E134"/>
      <c r="F134" t="inlineStr">
        <is>
          <t>李少秋</t>
        </is>
      </c>
      <c r="G134" t="inlineStr">
        <is>
          <t>龚政涛</t>
        </is>
      </c>
      <c r="H134" s="4">
        <v>45614.50699074074</v>
      </c>
      <c r="I134" s="4">
        <v>45614.65707175926</v>
      </c>
      <c r="J134" s="4"/>
      <c r="K134" s="4">
        <v>45614.65712962963</v>
      </c>
      <c r="L134">
        <v>0</v>
      </c>
      <c r="M134">
        <v>1</v>
      </c>
      <c r="N134" t="inlineStr">
        <is>
          <t>NzQxMzM4ODg5NzkxNDY2NzAwOTo0M2M0MzNlZS1mNjViLTQ0NGUtODE5Yi1hNWJkNTU1NGJiZTA6NWVlYzVlZDc3ZGFjZmFkOGFkNWFmMjRmYWQ5MDEyZWY6MQ==</t>
        </is>
      </c>
      <c r="O134" t="inlineStr">
        <is>
          <t>1</t>
        </is>
      </c>
      <c r="P134" t="inlineStr">
        <is>
          <t>或签任务</t>
        </is>
      </c>
      <c r="Q134" t="inlineStr">
        <is>
          <t>0</t>
        </is>
      </c>
      <c r="R134" t="inlineStr">
        <is>
          <t>龚政涛,李少秋</t>
        </is>
      </c>
      <c r="S134" s="4"/>
      <c r="T134" s="3" t="str">
        <f>=HYPERLINK("https://applink.feishu.cn/client/todo/task_list?guid=4d92b9af-66d1-4cd7-95d1-4b753a64ca6b", "跃入迷城")</f>
        <v>跃入迷城</v>
      </c>
      <c r="U134" t="inlineStr">
        <is>
          <t>4d92b9af-66d1-4cd7-95d1-4b753a64ca6b</t>
        </is>
      </c>
      <c r="V134" t="inlineStr">
        <is>
          <t>43c433ee-f65b-444e-819b-a5bd5554bbe0</t>
        </is>
      </c>
      <c r="W134"/>
      <c r="X134"/>
      <c r="Y134"/>
      <c r="Z134" t="inlineStr">
        <is>
          <t>0.0.3</t>
        </is>
      </c>
      <c r="AA134" t="inlineStr">
        <is>
          <t>AI</t>
        </is>
      </c>
      <c r="AB134" t="inlineStr">
        <is>
          <t>已废弃</t>
        </is>
      </c>
      <c r="AC134" t="inlineStr">
        <is>
          <t>P0 - Must (not) Have</t>
        </is>
      </c>
      <c r="AD134"/>
      <c r="AE134"/>
    </row>
    <row r="135" ht="25.5" customHeight="1">
      <c r="A135" s="3" t="str">
        <f>=HYPERLINK("https://applink.feishu.cn/client/todo/detail?guid=c570c5e2-5d7e-4368-b224-6544039dacb7&amp;suite_entity_num=t100283", "SearchDistance，用于丢失玩家视野后的Search，指目标地点的接受半径（somehow MoveTo的AcceptanceRadius不生效）")</f>
        <v>SearchDistance，用于丢失玩家视野后的Search，指目标地点的接受半径（somehow MoveTo的AcceptanceRadius不生效）</v>
      </c>
      <c r="B135"/>
      <c r="C135" t="inlineStr">
        <is>
          <t>默认分组</t>
        </is>
      </c>
      <c r="D135"/>
      <c r="E135"/>
      <c r="F135" t="inlineStr">
        <is>
          <t>李少秋</t>
        </is>
      </c>
      <c r="G135" t="inlineStr">
        <is>
          <t>龚政涛</t>
        </is>
      </c>
      <c r="H135" s="4">
        <v>45614.509201388886</v>
      </c>
      <c r="I135" s="4">
        <v>45622.685578703706</v>
      </c>
      <c r="J135" s="4">
        <v>45618.333333333336</v>
      </c>
      <c r="K135" s="4">
        <v>45622.68560185185</v>
      </c>
      <c r="L135">
        <v>0</v>
      </c>
      <c r="M135">
        <v>0</v>
      </c>
      <c r="N135" t="inlineStr">
        <is>
          <t>NzQxMzM4ODg5NzkxNDY2NzAwOTpjNTcwYzVlMi01ZDdlLTQzNjgtYjIyNC02NTQ0MDM5ZGFjYjc6NWRhYWRlYTlhYTkzNjNjMWMzM2NhMWQ1Yjc4NTJjNTY6MQ==</t>
        </is>
      </c>
      <c r="O135" t="inlineStr">
        <is>
          <t>1</t>
        </is>
      </c>
      <c r="P135" t="inlineStr">
        <is>
          <t>或签任务</t>
        </is>
      </c>
      <c r="Q135" t="inlineStr">
        <is>
          <t>0</t>
        </is>
      </c>
      <c r="R135" t="inlineStr">
        <is>
          <t>龚政涛,李少秋</t>
        </is>
      </c>
      <c r="S135" s="4">
        <v>45614.333333333336</v>
      </c>
      <c r="T135" s="3" t="str">
        <f>=HYPERLINK("https://applink.feishu.cn/client/todo/task_list?guid=4d92b9af-66d1-4cd7-95d1-4b753a64ca6b", "跃入迷城")</f>
        <v>跃入迷城</v>
      </c>
      <c r="U135" t="inlineStr">
        <is>
          <t>4d92b9af-66d1-4cd7-95d1-4b753a64ca6b</t>
        </is>
      </c>
      <c r="V135" t="inlineStr">
        <is>
          <t>c570c5e2-5d7e-4368-b224-6544039dacb7</t>
        </is>
      </c>
      <c r="W135"/>
      <c r="X135"/>
      <c r="Y135"/>
      <c r="Z135" t="inlineStr">
        <is>
          <t>0.0.3</t>
        </is>
      </c>
      <c r="AA135" t="inlineStr">
        <is>
          <t>AI</t>
        </is>
      </c>
      <c r="AB135" t="inlineStr">
        <is>
          <t>已完成</t>
        </is>
      </c>
      <c r="AC135" t="inlineStr">
        <is>
          <t>P2 - Nice to Have</t>
        </is>
      </c>
      <c r="AD135"/>
      <c r="AE135"/>
    </row>
    <row r="136" ht="25.5" customHeight="1">
      <c r="A136" s="3" t="str">
        <f>=HYPERLINK("https://applink.feishu.cn/client/todo/detail?guid=017eb1fa-318e-49b5-a6f9-6c406aa66785&amp;suite_entity_num=t100301", "替换近战攻击单/双手剑动画")</f>
        <v>替换近战攻击单/双手剑动画</v>
      </c>
      <c r="B136"/>
      <c r="C136" t="inlineStr">
        <is>
          <t>默认分组</t>
        </is>
      </c>
      <c r="D136"/>
      <c r="E136"/>
      <c r="F136" t="inlineStr">
        <is>
          <t>Decay</t>
        </is>
      </c>
      <c r="G136" t="inlineStr">
        <is>
          <t>龚政涛</t>
        </is>
      </c>
      <c r="H136" s="4">
        <v>45618.595659722225</v>
      </c>
      <c r="I136" s="4">
        <v>45631.72336805556</v>
      </c>
      <c r="J136" s="4">
        <v>45632.333333333336</v>
      </c>
      <c r="K136" s="4">
        <v>45631.72337962963</v>
      </c>
      <c r="L136">
        <v>0</v>
      </c>
      <c r="M136">
        <v>1</v>
      </c>
      <c r="N136" t="inlineStr">
        <is>
          <t>NzQxMzM4ODg5NzkxNDY2NzAwOTowMTdlYjFmYS0zMThlLTQ5YjUtYTZmOS02YzQwNmFhNjY3ODU6OGRmMWNiZjFmYzA3OGQ5YjY5MDViMmIyY2Y0OTQ1Y2M6MQ==</t>
        </is>
      </c>
      <c r="O136" t="inlineStr">
        <is>
          <t>1</t>
        </is>
      </c>
      <c r="P136" t="inlineStr">
        <is>
          <t>或签任务</t>
        </is>
      </c>
      <c r="Q136" t="inlineStr">
        <is>
          <t>0</t>
        </is>
      </c>
      <c r="R136" t="inlineStr">
        <is>
          <t>Decay,龚政涛</t>
        </is>
      </c>
      <c r="S136" s="4">
        <v>45632.333333333336</v>
      </c>
      <c r="T136" s="3" t="str">
        <f>=HYPERLINK("https://applink.feishu.cn/client/todo/task_list?guid=4d92b9af-66d1-4cd7-95d1-4b753a64ca6b", "跃入迷城")</f>
        <v>跃入迷城</v>
      </c>
      <c r="U136" t="inlineStr">
        <is>
          <t>4d92b9af-66d1-4cd7-95d1-4b753a64ca6b</t>
        </is>
      </c>
      <c r="V136" t="inlineStr">
        <is>
          <t>017eb1fa-318e-49b5-a6f9-6c406aa66785</t>
        </is>
      </c>
      <c r="W136"/>
      <c r="X136"/>
      <c r="Y136"/>
      <c r="Z136" t="inlineStr">
        <is>
          <t>0.0.3</t>
        </is>
      </c>
      <c r="AA136" t="inlineStr">
        <is>
          <t>动画</t>
        </is>
      </c>
      <c r="AB136" t="inlineStr">
        <is>
          <t>已完成</t>
        </is>
      </c>
      <c r="AC136" t="inlineStr">
        <is>
          <t>P2 - Nice to Have</t>
        </is>
      </c>
      <c r="AD136"/>
      <c r="AE136"/>
    </row>
    <row r="137" ht="25.5" customHeight="1">
      <c r="A137" s="3" t="str">
        <f>=HYPERLINK("https://applink.feishu.cn/client/todo/detail?guid=fdbd5d29-5344-4fff-924d-14be59ff3447&amp;suite_entity_num=t100299", "看了下GetOptimalCombatLocation这个task有问题，结果是个向量不是点，所以目标点会一直设在无效的地方，Nav本身没问题")</f>
        <v>看了下GetOptimalCombatLocation这个task有问题，结果是个向量不是点，所以目标点会一直设在无效的地方，Nav本身没问题</v>
      </c>
      <c r="B137"/>
      <c r="C137" t="inlineStr">
        <is>
          <t>默认分组</t>
        </is>
      </c>
      <c r="D137"/>
      <c r="E137"/>
      <c r="F137" t="inlineStr">
        <is>
          <t>李少秋</t>
        </is>
      </c>
      <c r="G137" t="inlineStr">
        <is>
          <t>龚政涛</t>
        </is>
      </c>
      <c r="H137" s="4">
        <v>45618.5746875</v>
      </c>
      <c r="I137" s="4">
        <v>45622.68578703704</v>
      </c>
      <c r="J137" s="4">
        <v>45619.333333333336</v>
      </c>
      <c r="K137" s="4">
        <v>45622.68578703704</v>
      </c>
      <c r="L137">
        <v>0</v>
      </c>
      <c r="M137">
        <v>0</v>
      </c>
      <c r="N137" t="inlineStr">
        <is>
          <t>NzQxMzM4ODg5NzkxNDY2NzAwOTpmZGJkNWQyOS01MzQ0LTRmZmYtOTI0ZC0xNGJlNTlmZjM0NDc6N2ZkMjkzZGRlMDU4MTkyNDBmMmQwMWRlYzE3NDY0ZDg6MQ==</t>
        </is>
      </c>
      <c r="O137" t="inlineStr">
        <is>
          <t>1</t>
        </is>
      </c>
      <c r="P137" t="inlineStr">
        <is>
          <t>或签任务</t>
        </is>
      </c>
      <c r="Q137" t="inlineStr">
        <is>
          <t>0</t>
        </is>
      </c>
      <c r="R137" t="inlineStr">
        <is>
          <t>龚政涛,李少秋</t>
        </is>
      </c>
      <c r="S137" s="4">
        <v>45618.333333333336</v>
      </c>
      <c r="T137" s="3" t="str">
        <f>=HYPERLINK("https://applink.feishu.cn/client/todo/task_list?guid=4d92b9af-66d1-4cd7-95d1-4b753a64ca6b", "跃入迷城")</f>
        <v>跃入迷城</v>
      </c>
      <c r="U137" t="inlineStr">
        <is>
          <t>4d92b9af-66d1-4cd7-95d1-4b753a64ca6b</t>
        </is>
      </c>
      <c r="V137" t="inlineStr">
        <is>
          <t>fdbd5d29-5344-4fff-924d-14be59ff3447</t>
        </is>
      </c>
      <c r="W137"/>
      <c r="X137"/>
      <c r="Y137"/>
      <c r="Z137" t="inlineStr">
        <is>
          <t>0.0.3</t>
        </is>
      </c>
      <c r="AA137" t="inlineStr">
        <is>
          <t>AI</t>
        </is>
      </c>
      <c r="AB137" t="inlineStr">
        <is>
          <t>已完成</t>
        </is>
      </c>
      <c r="AC137" t="inlineStr">
        <is>
          <t>P0 - Must (not) Have</t>
        </is>
      </c>
      <c r="AD137"/>
      <c r="AE137"/>
    </row>
    <row r="138" ht="25.5" customHeight="1">
      <c r="A138" s="3" t="str">
        <f>=HYPERLINK("https://applink.feishu.cn/client/todo/detail?guid=6d7c899f-7808-4d43-90e3-2d1c028478fe&amp;suite_entity_num=t100296", "添加镜头抖动系统{CameraShakeEvent}")</f>
        <v>添加镜头抖动系统{CameraShakeEvent}</v>
      </c>
      <c r="B138"/>
      <c r="C138" t="inlineStr">
        <is>
          <t>默认分组</t>
        </is>
      </c>
      <c r="D138"/>
      <c r="E138"/>
      <c r="F138" t="inlineStr">
        <is>
          <t>Decay</t>
        </is>
      </c>
      <c r="G138" t="inlineStr">
        <is>
          <t>龚政涛</t>
        </is>
      </c>
      <c r="H138" s="4">
        <v>45615.512604166666</v>
      </c>
      <c r="I138" s="4">
        <v>45758.631585648145</v>
      </c>
      <c r="J138" s="4">
        <v>45623.333333333336</v>
      </c>
      <c r="K138" s="4">
        <v>45758.6316087963</v>
      </c>
      <c r="L138">
        <v>0</v>
      </c>
      <c r="M138">
        <v>7</v>
      </c>
      <c r="N138" t="inlineStr">
        <is>
          <t>NzQxMzM4ODg5NzkxNDY2NzAwOTo2ZDdjODk5Zi03ODA4LTRkNDMtOTBlMy0yZDFjMDI4NDc4ZmU6ZjcxMTBmNWZlNzZmNDIxNGNmNDc1YTA1YzUwYTFlZmQ6MQ==</t>
        </is>
      </c>
      <c r="O138" t="inlineStr">
        <is>
          <t>1</t>
        </is>
      </c>
      <c r="P138" t="inlineStr">
        <is>
          <t>或签任务</t>
        </is>
      </c>
      <c r="Q138" t="inlineStr">
        <is>
          <t>0</t>
        </is>
      </c>
      <c r="R138" t="inlineStr">
        <is>
          <t>龚政涛,Decay</t>
        </is>
      </c>
      <c r="S138" s="4">
        <v>45618.333333333336</v>
      </c>
      <c r="T138" s="3" t="str">
        <f>=HYPERLINK("https://applink.feishu.cn/client/todo/task_list?guid=4d92b9af-66d1-4cd7-95d1-4b753a64ca6b", "跃入迷城")</f>
        <v>跃入迷城</v>
      </c>
      <c r="U138" t="inlineStr">
        <is>
          <t>4d92b9af-66d1-4cd7-95d1-4b753a64ca6b</t>
        </is>
      </c>
      <c r="V138" t="inlineStr">
        <is>
          <t>6d7c899f-7808-4d43-90e3-2d1c028478fe</t>
        </is>
      </c>
      <c r="W138"/>
      <c r="X138"/>
      <c r="Y138"/>
      <c r="Z138" t="inlineStr">
        <is>
          <t>0.0.3</t>
        </is>
      </c>
      <c r="AA138" t="inlineStr">
        <is>
          <t>镜头</t>
        </is>
      </c>
      <c r="AB138" t="inlineStr">
        <is>
          <t>未开始</t>
        </is>
      </c>
      <c r="AC138" t="inlineStr">
        <is>
          <t>P2 - Nice to Have</t>
        </is>
      </c>
      <c r="AD138"/>
      <c r="AE138"/>
    </row>
    <row r="139" ht="25.5" customHeight="1">
      <c r="A139" s="3" t="str">
        <f>=HYPERLINK("https://applink.feishu.cn/client/todo/detail?guid=14801e43-46f3-48d5-bbb0-2681b1071a80&amp;suite_entity_num=t100300", "需要一个TASK用于展示攻击提示")</f>
        <v>需要一个TASK用于展示攻击提示</v>
      </c>
      <c r="B139"/>
      <c r="C139" t="inlineStr">
        <is>
          <t>默认分组</t>
        </is>
      </c>
      <c r="D139"/>
      <c r="E139"/>
      <c r="F139" t="inlineStr">
        <is>
          <t>李少秋</t>
        </is>
      </c>
      <c r="G139" t="inlineStr">
        <is>
          <t>龚政涛</t>
        </is>
      </c>
      <c r="H139" s="4">
        <v>45618.575324074074</v>
      </c>
      <c r="I139" s="4">
        <v>45636.7115162037</v>
      </c>
      <c r="J139" s="4">
        <v>45636.333333333336</v>
      </c>
      <c r="K139" s="4">
        <v>45636.71152777778</v>
      </c>
      <c r="L139">
        <v>0</v>
      </c>
      <c r="M139">
        <v>0</v>
      </c>
      <c r="N139" t="inlineStr">
        <is>
          <t>NzQxMzM4ODg5NzkxNDY2NzAwOToxNDgwMWU0My00NmYzLTQ4ZDUtYmJiMC0yNjgxYjEwNzFhODA6MzU5ZTk5ZDlkMDQ0ZDg1OTEyMzAzNTgwZDczYmM5ZTM6MQ==</t>
        </is>
      </c>
      <c r="O139" t="inlineStr">
        <is>
          <t>1</t>
        </is>
      </c>
      <c r="P139" t="inlineStr">
        <is>
          <t>或签任务</t>
        </is>
      </c>
      <c r="Q139" t="inlineStr">
        <is>
          <t>0</t>
        </is>
      </c>
      <c r="R139" t="inlineStr">
        <is>
          <t>龚政涛,李少秋</t>
        </is>
      </c>
      <c r="S139" s="4">
        <v>45628.333333333336</v>
      </c>
      <c r="T139" s="3" t="str">
        <f>=HYPERLINK("https://applink.feishu.cn/client/todo/task_list?guid=4d92b9af-66d1-4cd7-95d1-4b753a64ca6b", "跃入迷城")</f>
        <v>跃入迷城</v>
      </c>
      <c r="U139" t="inlineStr">
        <is>
          <t>4d92b9af-66d1-4cd7-95d1-4b753a64ca6b</t>
        </is>
      </c>
      <c r="V139" t="inlineStr">
        <is>
          <t>14801e43-46f3-48d5-bbb0-2681b1071a80</t>
        </is>
      </c>
      <c r="W139"/>
      <c r="X139"/>
      <c r="Y139"/>
      <c r="Z139" t="inlineStr">
        <is>
          <t>0.0.3</t>
        </is>
      </c>
      <c r="AA139" t="inlineStr">
        <is>
          <t>AI</t>
        </is>
      </c>
      <c r="AB139" t="inlineStr">
        <is>
          <t>已完成</t>
        </is>
      </c>
      <c r="AC139" t="inlineStr">
        <is>
          <t>P2 - Nice to Have</t>
        </is>
      </c>
      <c r="AD139"/>
      <c r="AE139"/>
    </row>
    <row r="140" ht="25.5" customHeight="1">
      <c r="A140" s="3" t="str">
        <f>=HYPERLINK("https://applink.feishu.cn/client/todo/detail?guid=2829eca1-a9e6-4eed-8a01-6d5c65c3e834&amp;suite_entity_num=t100303", "基于剧情大纲，完成剧情结构思维导图")</f>
        <v>基于剧情大纲，完成剧情结构思维导图</v>
      </c>
      <c r="B140"/>
      <c r="C140" t="inlineStr">
        <is>
          <t>默认分组</t>
        </is>
      </c>
      <c r="D140"/>
      <c r="E140"/>
      <c r="F140" t="inlineStr">
        <is>
          <t>肇国亨</t>
        </is>
      </c>
      <c r="G140" t="inlineStr">
        <is>
          <t>龚政涛</t>
        </is>
      </c>
      <c r="H140" s="4">
        <v>45622.64173611111</v>
      </c>
      <c r="I140" s="4">
        <v>45950.40788194445</v>
      </c>
      <c r="J140" s="4"/>
      <c r="K140" s="4">
        <v>45950.40788194445</v>
      </c>
      <c r="L140">
        <v>0</v>
      </c>
      <c r="M140">
        <v>0</v>
      </c>
      <c r="N140" t="inlineStr">
        <is>
          <t>NzQxMzM4ODg5NzkxNDY2NzAwOToyODI5ZWNhMS1hOWU2LTRlZWQtOGEwMS02ZDVjNjVjM2U4MzQ6NjRkZWMyMjU5MzQ0M2I1ZDM1OTgyYmE1OWYyZTc4YjU6MQ==</t>
        </is>
      </c>
      <c r="O140" t="inlineStr">
        <is>
          <t>1</t>
        </is>
      </c>
      <c r="P140" t="inlineStr">
        <is>
          <t>或签任务</t>
        </is>
      </c>
      <c r="Q140" t="inlineStr">
        <is>
          <t>0</t>
        </is>
      </c>
      <c r="R140" t="inlineStr">
        <is>
          <t>龚政涛,Jade,Serein,肇国亨</t>
        </is>
      </c>
      <c r="S140" s="4"/>
      <c r="T140" s="3" t="str">
        <f>=HYPERLINK("https://applink.feishu.cn/client/todo/task_list?guid=4d92b9af-66d1-4cd7-95d1-4b753a64ca6b", "跃入迷城")</f>
        <v>跃入迷城</v>
      </c>
      <c r="U140" t="inlineStr">
        <is>
          <t>4d92b9af-66d1-4cd7-95d1-4b753a64ca6b</t>
        </is>
      </c>
      <c r="V140" t="inlineStr">
        <is>
          <t>2829eca1-a9e6-4eed-8a01-6d5c65c3e834</t>
        </is>
      </c>
      <c r="W140"/>
      <c r="X140"/>
      <c r="Y140"/>
      <c r="Z140" t="inlineStr">
        <is>
          <t>0.0.5</t>
        </is>
      </c>
      <c r="AA140" t="inlineStr">
        <is>
          <t>剧本</t>
        </is>
      </c>
      <c r="AB140" t="inlineStr">
        <is>
          <t>已完成</t>
        </is>
      </c>
      <c r="AC140" t="inlineStr">
        <is>
          <t>P1 - Bigger the Better</t>
        </is>
      </c>
      <c r="AD140" t="inlineStr">
        <is>
          <t>✍️故事</t>
        </is>
      </c>
      <c r="AE140"/>
    </row>
    <row r="141" ht="25.5" customHeight="1">
      <c r="A141" s="3" t="str">
        <f>=HYPERLINK("https://applink.feishu.cn/client/todo/detail?guid=8cb5a1cb-2203-4882-8c1d-3fd5e9d26678&amp;suite_entity_num=t100246", "撰写主线剧情大纲")</f>
        <v>撰写主线剧情大纲</v>
      </c>
      <c r="B141"/>
      <c r="C141" t="inlineStr">
        <is>
          <t>默认分组</t>
        </is>
      </c>
      <c r="D141"/>
      <c r="E141"/>
      <c r="F141" t="inlineStr">
        <is>
          <t>Serein,龚政涛,Jade</t>
        </is>
      </c>
      <c r="G141" t="inlineStr">
        <is>
          <t>龚政涛</t>
        </is>
      </c>
      <c r="H141" s="4">
        <v>45596.588217592594</v>
      </c>
      <c r="I141" s="4">
        <v>45672.994305555556</v>
      </c>
      <c r="J141" s="4">
        <v>45635.333333333336</v>
      </c>
      <c r="K141" s="4">
        <v>45672.99431712963</v>
      </c>
      <c r="L141">
        <v>0</v>
      </c>
      <c r="M141">
        <v>0</v>
      </c>
      <c r="N141" t="inlineStr">
        <is>
          <t>NzQxMzM4ODg5NzkxNDY2NzAwOTo4Y2I1YTFjYi0yMjAzLTQ4ODItOGMxZC0zZmQ1ZTlkMjY2Nzg6NzMyMjEyMDVlNzFjNjI0NDFjMDYyZGU4ZmY2NzRiOTY6MQ==</t>
        </is>
      </c>
      <c r="O141" t="inlineStr">
        <is>
          <t>1</t>
        </is>
      </c>
      <c r="P141" t="inlineStr">
        <is>
          <t>或签任务</t>
        </is>
      </c>
      <c r="Q141" t="inlineStr">
        <is>
          <t>0</t>
        </is>
      </c>
      <c r="R141" t="inlineStr">
        <is>
          <t>Serein,Serein,Jade,龚政涛</t>
        </is>
      </c>
      <c r="S141" s="4">
        <v>45621.333333333336</v>
      </c>
      <c r="T141" s="3" t="str">
        <f>=HYPERLINK("https://applink.feishu.cn/client/todo/task_list?guid=4d92b9af-66d1-4cd7-95d1-4b753a64ca6b", "跃入迷城")</f>
        <v>跃入迷城</v>
      </c>
      <c r="U141" t="inlineStr">
        <is>
          <t>4d92b9af-66d1-4cd7-95d1-4b753a64ca6b</t>
        </is>
      </c>
      <c r="V141" t="inlineStr">
        <is>
          <t>8cb5a1cb-2203-4882-8c1d-3fd5e9d26678</t>
        </is>
      </c>
      <c r="W141"/>
      <c r="X141"/>
      <c r="Y141"/>
      <c r="Z141" t="inlineStr">
        <is>
          <t>0.0.3</t>
        </is>
      </c>
      <c r="AA141" t="inlineStr">
        <is>
          <t>剧本</t>
        </is>
      </c>
      <c r="AB141" t="inlineStr">
        <is>
          <t>已完成</t>
        </is>
      </c>
      <c r="AC141" t="inlineStr">
        <is>
          <t>P0 - Must (not) Have</t>
        </is>
      </c>
      <c r="AD141"/>
      <c r="AE141"/>
    </row>
    <row r="142" ht="25.5" customHeight="1">
      <c r="A142" s="3" t="str">
        <f>=HYPERLINK("https://applink.feishu.cn/client/todo/detail?guid=d56fb988-d5e5-43ce-8898-683d5a8e4691&amp;suite_entity_num=t100302", "完善主要支线剧情大纲")</f>
        <v>完善主要支线剧情大纲</v>
      </c>
      <c r="B142"/>
      <c r="C142" t="inlineStr">
        <is>
          <t>默认分组</t>
        </is>
      </c>
      <c r="D142"/>
      <c r="E142"/>
      <c r="F142" t="inlineStr">
        <is>
          <t>龚政涛,Serein,Jade</t>
        </is>
      </c>
      <c r="G142" t="inlineStr">
        <is>
          <t>龚政涛</t>
        </is>
      </c>
      <c r="H142" s="4">
        <v>45622.64163194445</v>
      </c>
      <c r="I142" s="4">
        <v>45672.99431712963</v>
      </c>
      <c r="J142" s="4">
        <v>45635.333333333336</v>
      </c>
      <c r="K142" s="4">
        <v>45672.99431712963</v>
      </c>
      <c r="L142">
        <v>0</v>
      </c>
      <c r="M142">
        <v>0</v>
      </c>
      <c r="N142" t="inlineStr">
        <is>
          <t>NzQxMzM4ODg5NzkxNDY2NzAwOTpkNTZmYjk4OC1kNWU1LTQzY2UtODg5OC02ODNkNWE4ZTQ2OTE6NGFjM2Y0NmYzODMxMjZiNDEwM2IyM2ZkZGZkYjY3YWQ6MQ==</t>
        </is>
      </c>
      <c r="O142" t="inlineStr">
        <is>
          <t>1</t>
        </is>
      </c>
      <c r="P142" t="inlineStr">
        <is>
          <t>或签任务</t>
        </is>
      </c>
      <c r="Q142" t="inlineStr">
        <is>
          <t>0</t>
        </is>
      </c>
      <c r="R142" t="inlineStr">
        <is>
          <t>龚政涛,Serein,Jade</t>
        </is>
      </c>
      <c r="S142" s="4">
        <v>45621.333333333336</v>
      </c>
      <c r="T142" s="3" t="str">
        <f>=HYPERLINK("https://applink.feishu.cn/client/todo/task_list?guid=4d92b9af-66d1-4cd7-95d1-4b753a64ca6b", "跃入迷城")</f>
        <v>跃入迷城</v>
      </c>
      <c r="U142" t="inlineStr">
        <is>
          <t>4d92b9af-66d1-4cd7-95d1-4b753a64ca6b</t>
        </is>
      </c>
      <c r="V142" t="inlineStr">
        <is>
          <t>d56fb988-d5e5-43ce-8898-683d5a8e4691</t>
        </is>
      </c>
      <c r="W142"/>
      <c r="X142"/>
      <c r="Y142"/>
      <c r="Z142" t="inlineStr">
        <is>
          <t>0.0.3</t>
        </is>
      </c>
      <c r="AA142" t="inlineStr">
        <is>
          <t>剧本</t>
        </is>
      </c>
      <c r="AB142" t="inlineStr">
        <is>
          <t>已完成</t>
        </is>
      </c>
      <c r="AC142" t="inlineStr">
        <is>
          <t>P0 - Must (not) Have</t>
        </is>
      </c>
      <c r="AD142"/>
      <c r="AE142"/>
    </row>
    <row r="143" ht="25.5" customHeight="1">
      <c r="A143" s="3" t="str">
        <f>=HYPERLINK("https://applink.feishu.cn/client/todo/detail?guid=3cf10c40-e2e3-49ba-a28e-ab007c8a02f3&amp;suite_entity_num=t100307", "需要玩家角色受击打提示")</f>
        <v>需要玩家角色受击打提示</v>
      </c>
      <c r="B143" t="inlineStr">
        <is>
          <t>玩家角色受击打闪红；敌人闪白；不由TASK实现，在Character的受击事件用VFX实现</t>
        </is>
      </c>
      <c r="C143" t="inlineStr">
        <is>
          <t>默认分组</t>
        </is>
      </c>
      <c r="D143"/>
      <c r="E143"/>
      <c r="F143" t="inlineStr">
        <is>
          <t>Decay</t>
        </is>
      </c>
      <c r="G143" t="inlineStr">
        <is>
          <t>龚政涛</t>
        </is>
      </c>
      <c r="H143" s="4">
        <v>45624.65299768518</v>
      </c>
      <c r="I143" s="4">
        <v>45639.611863425926</v>
      </c>
      <c r="J143" s="4">
        <v>45643.333333333336</v>
      </c>
      <c r="K143" s="4">
        <v>45874.40719907408</v>
      </c>
      <c r="L143">
        <v>0</v>
      </c>
      <c r="M143">
        <v>2</v>
      </c>
      <c r="N143" t="inlineStr">
        <is>
          <t>NzQxMzM4ODg5NzkxNDY2NzAwOTozY2YxMGM0MC1lMmUzLTQ5YmEtYTI4ZS1hYjAwN2M4YTAyZjM6NTc4YWJmNzllNGY0ZTUwMjlkOWI1NWY0ODQ4MjVkNTM6MQ==</t>
        </is>
      </c>
      <c r="O143" t="inlineStr">
        <is>
          <t>1</t>
        </is>
      </c>
      <c r="P143" t="inlineStr">
        <is>
          <t>或签任务</t>
        </is>
      </c>
      <c r="Q143" t="inlineStr">
        <is>
          <t>0</t>
        </is>
      </c>
      <c r="R143" t="inlineStr">
        <is>
          <t>龚政涛,Decay,李少秋</t>
        </is>
      </c>
      <c r="S143" s="4">
        <v>45638.333333333336</v>
      </c>
      <c r="T143" s="3" t="str">
        <f>=HYPERLINK("https://applink.feishu.cn/client/todo/task_list?guid=4d92b9af-66d1-4cd7-95d1-4b753a64ca6b", "跃入迷城")</f>
        <v>跃入迷城</v>
      </c>
      <c r="U143" t="inlineStr">
        <is>
          <t>4d92b9af-66d1-4cd7-95d1-4b753a64ca6b</t>
        </is>
      </c>
      <c r="V143" t="inlineStr">
        <is>
          <t>3cf10c40-e2e3-49ba-a28e-ab007c8a02f3</t>
        </is>
      </c>
      <c r="W143"/>
      <c r="X143"/>
      <c r="Y143"/>
      <c r="Z143" t="inlineStr">
        <is>
          <t>0.0.5</t>
        </is>
      </c>
      <c r="AA143" t="inlineStr">
        <is>
          <t>AI</t>
        </is>
      </c>
      <c r="AB143" t="inlineStr">
        <is>
          <t>未开始</t>
        </is>
      </c>
      <c r="AC143" t="inlineStr">
        <is>
          <t>P2 - Nice to Have</t>
        </is>
      </c>
      <c r="AD143" t="inlineStr">
        <is>
          <t>🛠️技术</t>
        </is>
      </c>
      <c r="AE143"/>
    </row>
    <row r="144" ht="25.5" customHeight="1">
      <c r="A144" s="3" t="str">
        <f>=HYPERLINK("https://applink.feishu.cn/client/todo/detail?guid=6aa95f49-cebb-4133-a975-71289b18d00e&amp;suite_entity_num=t100324", "Arena功能3：可以在DT中配置每一波敌人的基础属性补正值")</f>
        <v>Arena功能3：可以在DT中配置每一波敌人的基础属性补正值</v>
      </c>
      <c r="B144"/>
      <c r="C144" t="inlineStr">
        <is>
          <t>默认分组</t>
        </is>
      </c>
      <c r="D144"/>
      <c r="E144"/>
      <c r="F144" t="inlineStr">
        <is>
          <t>Decay</t>
        </is>
      </c>
      <c r="G144" t="inlineStr">
        <is>
          <t>龚政涛</t>
        </is>
      </c>
      <c r="H144" s="4">
        <v>45631.74506944444</v>
      </c>
      <c r="I144" s="4">
        <v>45709.45725694444</v>
      </c>
      <c r="J144" s="4">
        <v>45651.333333333336</v>
      </c>
      <c r="K144" s="4">
        <v>45709.45719907407</v>
      </c>
      <c r="L144">
        <v>0</v>
      </c>
      <c r="M144">
        <v>7</v>
      </c>
      <c r="N144" t="inlineStr">
        <is>
          <t>NzQxMzM4ODg5NzkxNDY2NzAwOTo2YWE5NWY0OS1jZWJiLTQxMzMtYTk3NS03MTI4OWIxOGQwMGU6ZjE3NGE0NDExM2QzZjY5MmZkNzhjODIzNzdlOTQ0MDU6MQ==</t>
        </is>
      </c>
      <c r="O144" t="inlineStr">
        <is>
          <t>1</t>
        </is>
      </c>
      <c r="P144" t="inlineStr">
        <is>
          <t>或签任务</t>
        </is>
      </c>
      <c r="Q144" t="inlineStr">
        <is>
          <t>0</t>
        </is>
      </c>
      <c r="R144" t="inlineStr">
        <is>
          <t>龚政涛,Decay</t>
        </is>
      </c>
      <c r="S144" s="4">
        <v>45651.333333333336</v>
      </c>
      <c r="T144" s="3" t="str">
        <f>=HYPERLINK("https://applink.feishu.cn/client/todo/task_list?guid=4d92b9af-66d1-4cd7-95d1-4b753a64ca6b", "跃入迷城")</f>
        <v>跃入迷城</v>
      </c>
      <c r="U144" t="inlineStr">
        <is>
          <t>4d92b9af-66d1-4cd7-95d1-4b753a64ca6b</t>
        </is>
      </c>
      <c r="V144" t="inlineStr">
        <is>
          <t>6aa95f49-cebb-4133-a975-71289b18d00e</t>
        </is>
      </c>
      <c r="W144" t="inlineStr">
        <is>
          <t>17e7dc52-aee4-4ae8-bc75-9409e985bc27</t>
        </is>
      </c>
      <c r="X144" t="inlineStr">
        <is>
          <t>d87c4f2c-d4ca-40d2-b43a-ebf7f05729c8</t>
        </is>
      </c>
      <c r="Y144"/>
      <c r="Z144" t="inlineStr">
        <is>
          <t>0.0.3</t>
        </is>
      </c>
      <c r="AA144" t="inlineStr">
        <is>
          <t>关卡</t>
        </is>
      </c>
      <c r="AB144" t="inlineStr">
        <is>
          <t>已完成</t>
        </is>
      </c>
      <c r="AC144" t="inlineStr">
        <is>
          <t>P1 - Bigger the Better</t>
        </is>
      </c>
      <c r="AD144"/>
      <c r="AE144"/>
    </row>
    <row r="145" ht="25.5" customHeight="1">
      <c r="A145" s="3" t="str">
        <f>=HYPERLINK("https://applink.feishu.cn/client/todo/detail?guid=dfacf3c8-a4c4-42cf-9639-d3d5637f1f64&amp;suite_entity_num=t100305", "需要一个自动门，或者对现有的Slider Door类增加功能，用于处理电梯门Start")</f>
        <v>需要一个自动门，或者对现有的Slider Door类增加功能，用于处理电梯门Start</v>
      </c>
      <c r="B145"/>
      <c r="C145" t="inlineStr">
        <is>
          <t>默认分组</t>
        </is>
      </c>
      <c r="D145"/>
      <c r="E145"/>
      <c r="F145"/>
      <c r="G145" t="inlineStr">
        <is>
          <t>龚政涛</t>
        </is>
      </c>
      <c r="H145" s="4">
        <v>45623.63212962963</v>
      </c>
      <c r="I145" s="4">
        <v>45673.03238425926</v>
      </c>
      <c r="J145" s="4">
        <v>45654.333333333336</v>
      </c>
      <c r="K145" s="4">
        <v>45673.03238425926</v>
      </c>
      <c r="L145">
        <v>0</v>
      </c>
      <c r="M145">
        <v>1</v>
      </c>
      <c r="N145" t="inlineStr">
        <is>
          <t>NzQxMzM4ODg5NzkxNDY2NzAwOTpkZmFjZjNjOC1hNGM0LTQyY2YtOTYzOS1kM2Q1NjM3ZjFmNjQ6NzY3MjFjZWMxNWEyNTZhZDdhYzBkODdkMmY4MDA1YjQ6MQ==</t>
        </is>
      </c>
      <c r="O145" t="inlineStr">
        <is>
          <t>1</t>
        </is>
      </c>
      <c r="P145" t="inlineStr">
        <is>
          <t>或签任务</t>
        </is>
      </c>
      <c r="Q145" t="inlineStr">
        <is>
          <t>0</t>
        </is>
      </c>
      <c r="R145" t="inlineStr">
        <is>
          <t>龚政涛</t>
        </is>
      </c>
      <c r="S145" s="4">
        <v>45654.333333333336</v>
      </c>
      <c r="T145" s="3" t="str">
        <f>=HYPERLINK("https://applink.feishu.cn/client/todo/task_list?guid=4d92b9af-66d1-4cd7-95d1-4b753a64ca6b", "跃入迷城")</f>
        <v>跃入迷城</v>
      </c>
      <c r="U145" t="inlineStr">
        <is>
          <t>4d92b9af-66d1-4cd7-95d1-4b753a64ca6b</t>
        </is>
      </c>
      <c r="V145" t="inlineStr">
        <is>
          <t>dfacf3c8-a4c4-42cf-9639-d3d5637f1f64</t>
        </is>
      </c>
      <c r="W145"/>
      <c r="X145" t="inlineStr">
        <is>
          <t>f6f4340b-1ca3-406b-94ad-45fbad88dbcd</t>
        </is>
      </c>
      <c r="Y145"/>
      <c r="Z145" t="inlineStr">
        <is>
          <t>0.0.3</t>
        </is>
      </c>
      <c r="AA145" t="inlineStr">
        <is>
          <t>关卡</t>
        </is>
      </c>
      <c r="AB145" t="inlineStr">
        <is>
          <t>已废弃</t>
        </is>
      </c>
      <c r="AC145" t="inlineStr">
        <is>
          <t>P2 - Nice to Have</t>
        </is>
      </c>
      <c r="AD145"/>
      <c r="AE145"/>
    </row>
    <row r="146" ht="25.5" customHeight="1">
      <c r="A146" s="3" t="str">
        <f>=HYPERLINK("https://applink.feishu.cn/client/todo/detail?guid=f6f4340b-1ca3-406b-94ad-45fbad88dbcd&amp;suite_entity_num=t100304", "增加一个自动开关功能，并增加TAG，通过TAG判断自动开关对于哪类对象生效")</f>
        <v>增加一个自动开关功能，并增加TAG，通过TAG判断自动开关对于哪类对象生效</v>
      </c>
      <c r="B146"/>
      <c r="C146" t="inlineStr">
        <is>
          <t>默认分组</t>
        </is>
      </c>
      <c r="D146"/>
      <c r="E146"/>
      <c r="F146"/>
      <c r="G146" t="inlineStr">
        <is>
          <t>龚政涛</t>
        </is>
      </c>
      <c r="H146" s="4">
        <v>45623.59295138889</v>
      </c>
      <c r="I146" s="4">
        <v>45651.62416666667</v>
      </c>
      <c r="J146" s="4">
        <v>45655.333333333336</v>
      </c>
      <c r="K146" s="4">
        <v>45651.62416666667</v>
      </c>
      <c r="L146">
        <v>0</v>
      </c>
      <c r="M146">
        <v>0</v>
      </c>
      <c r="N146" t="inlineStr">
        <is>
          <t>NzQxMzM4ODg5NzkxNDY2NzAwOTpmNmY0MzQwYi0xY2EzLTQwNmItOTRhZC00NWZiYWQ4OGRiY2Q6OTEyODcwZTM3ZTc5ZTQ4MTE3NzExNTRjZTE5ZjhhOTk6MQ==</t>
        </is>
      </c>
      <c r="O146" t="inlineStr">
        <is>
          <t>1</t>
        </is>
      </c>
      <c r="P146" t="inlineStr">
        <is>
          <t>或签任务</t>
        </is>
      </c>
      <c r="Q146" t="inlineStr">
        <is>
          <t>0</t>
        </is>
      </c>
      <c r="R146" t="inlineStr">
        <is>
          <t>龚政涛</t>
        </is>
      </c>
      <c r="S146" s="4">
        <v>45655.333333333336</v>
      </c>
      <c r="T146" s="3" t="str">
        <f>=HYPERLINK("https://applink.feishu.cn/client/todo/task_list?guid=4d92b9af-66d1-4cd7-95d1-4b753a64ca6b", "跃入迷城")</f>
        <v>跃入迷城</v>
      </c>
      <c r="U146" t="inlineStr">
        <is>
          <t>4d92b9af-66d1-4cd7-95d1-4b753a64ca6b</t>
        </is>
      </c>
      <c r="V146" t="inlineStr">
        <is>
          <t>f6f4340b-1ca3-406b-94ad-45fbad88dbcd</t>
        </is>
      </c>
      <c r="W146" t="inlineStr">
        <is>
          <t>dfacf3c8-a4c4-42cf-9639-d3d5637f1f64</t>
        </is>
      </c>
      <c r="X146" t="inlineStr">
        <is>
          <t>a96b7467-7e54-4e4f-9aa0-1f96d5e1fc7d</t>
        </is>
      </c>
      <c r="Y146"/>
      <c r="Z146" t="inlineStr">
        <is>
          <t>0.0.3</t>
        </is>
      </c>
      <c r="AA146" t="inlineStr">
        <is>
          <t>关卡</t>
        </is>
      </c>
      <c r="AB146" t="inlineStr">
        <is>
          <t>已废弃</t>
        </is>
      </c>
      <c r="AC146" t="inlineStr">
        <is>
          <t>P1 - Bigger the Better</t>
        </is>
      </c>
      <c r="AD146"/>
      <c r="AE146"/>
    </row>
    <row r="147" ht="25.5" customHeight="1">
      <c r="A147" s="3" t="str">
        <f>=HYPERLINK("https://applink.feishu.cn/client/todo/detail?guid=6c74bb46-691b-4ff6-9df6-d894d753041d&amp;suite_entity_num=t100322", "Arena功能1：可以预先在场景中配置多波次敌人")</f>
        <v>Arena功能1：可以预先在场景中配置多波次敌人</v>
      </c>
      <c r="B147"/>
      <c r="C147" t="inlineStr">
        <is>
          <t>默认分组</t>
        </is>
      </c>
      <c r="D147"/>
      <c r="E147"/>
      <c r="F147" t="inlineStr">
        <is>
          <t>Decay</t>
        </is>
      </c>
      <c r="G147" t="inlineStr">
        <is>
          <t>龚政涛</t>
        </is>
      </c>
      <c r="H147" s="4">
        <v>45631.745046296295</v>
      </c>
      <c r="I147" s="4">
        <v>45651.624340277776</v>
      </c>
      <c r="J147" s="4">
        <v>45649.333333333336</v>
      </c>
      <c r="K147" s="4">
        <v>45651.62435185185</v>
      </c>
      <c r="L147">
        <v>0</v>
      </c>
      <c r="M147">
        <v>0</v>
      </c>
      <c r="N147" t="inlineStr">
        <is>
          <t>NzQxMzM4ODg5NzkxNDY2NzAwOTo2Yzc0YmI0Ni02OTFiLTRmZjYtOWRmNi1kODk0ZDc1MzA0MWQ6OGMyMWEzM2YzZGQ2OTk3MGMzZTdmY2UxMmUxYTdjZDk6MQ==</t>
        </is>
      </c>
      <c r="O147" t="inlineStr">
        <is>
          <t>1</t>
        </is>
      </c>
      <c r="P147" t="inlineStr">
        <is>
          <t>或签任务</t>
        </is>
      </c>
      <c r="Q147" t="inlineStr">
        <is>
          <t>0</t>
        </is>
      </c>
      <c r="R147" t="inlineStr">
        <is>
          <t>龚政涛,Decay</t>
        </is>
      </c>
      <c r="S147" s="4">
        <v>45649.333333333336</v>
      </c>
      <c r="T147" s="3" t="str">
        <f>=HYPERLINK("https://applink.feishu.cn/client/todo/task_list?guid=4d92b9af-66d1-4cd7-95d1-4b753a64ca6b", "跃入迷城")</f>
        <v>跃入迷城</v>
      </c>
      <c r="U147" t="inlineStr">
        <is>
          <t>4d92b9af-66d1-4cd7-95d1-4b753a64ca6b</t>
        </is>
      </c>
      <c r="V147" t="inlineStr">
        <is>
          <t>6c74bb46-691b-4ff6-9df6-d894d753041d</t>
        </is>
      </c>
      <c r="W147"/>
      <c r="X147" t="inlineStr">
        <is>
          <t>17e7dc52-aee4-4ae8-bc75-9409e985bc27</t>
        </is>
      </c>
      <c r="Y147"/>
      <c r="Z147" t="inlineStr">
        <is>
          <t>0.0.3</t>
        </is>
      </c>
      <c r="AA147" t="inlineStr">
        <is>
          <t>关卡</t>
        </is>
      </c>
      <c r="AB147" t="inlineStr">
        <is>
          <t>已完成</t>
        </is>
      </c>
      <c r="AC147" t="inlineStr">
        <is>
          <t>P1 - Bigger the Better</t>
        </is>
      </c>
      <c r="AD147"/>
      <c r="AE147"/>
    </row>
    <row r="148" ht="25.5" customHeight="1">
      <c r="A148" s="3" t="str">
        <f>=HYPERLINK("https://applink.feishu.cn/client/todo/detail?guid=17e7dc52-aee4-4ae8-bc75-9409e985bc27&amp;suite_entity_num=t100323", "Arena功能2：一波敌人清空后，刷新下一波敌人，在UI显示剩余敌人")</f>
        <v>Arena功能2：一波敌人清空后，刷新下一波敌人，在UI显示剩余敌人</v>
      </c>
      <c r="B148"/>
      <c r="C148" t="inlineStr">
        <is>
          <t>默认分组</t>
        </is>
      </c>
      <c r="D148"/>
      <c r="E148"/>
      <c r="F148" t="inlineStr">
        <is>
          <t>Decay</t>
        </is>
      </c>
      <c r="G148" t="inlineStr">
        <is>
          <t>龚政涛</t>
        </is>
      </c>
      <c r="H148" s="4">
        <v>45631.74505787037</v>
      </c>
      <c r="I148" s="4">
        <v>45651.624293981484</v>
      </c>
      <c r="J148" s="4">
        <v>45650.333333333336</v>
      </c>
      <c r="K148" s="4">
        <v>45651.624293981484</v>
      </c>
      <c r="L148">
        <v>0</v>
      </c>
      <c r="M148">
        <v>0</v>
      </c>
      <c r="N148" t="inlineStr">
        <is>
          <t>NzQxMzM4ODg5NzkxNDY2NzAwOToxN2U3ZGM1Mi1hZWU0LTRhZTgtYmM3NS05NDA5ZTk4NWJjMjc6ZTUxOWFjZWNmYTI0OTVkYTUyOTcyNjliMWM3MDkzZjI6MQ==</t>
        </is>
      </c>
      <c r="O148" t="inlineStr">
        <is>
          <t>1</t>
        </is>
      </c>
      <c r="P148" t="inlineStr">
        <is>
          <t>或签任务</t>
        </is>
      </c>
      <c r="Q148" t="inlineStr">
        <is>
          <t>0</t>
        </is>
      </c>
      <c r="R148" t="inlineStr">
        <is>
          <t>龚政涛,Decay</t>
        </is>
      </c>
      <c r="S148" s="4">
        <v>45650.333333333336</v>
      </c>
      <c r="T148" s="3" t="str">
        <f>=HYPERLINK("https://applink.feishu.cn/client/todo/task_list?guid=4d92b9af-66d1-4cd7-95d1-4b753a64ca6b", "跃入迷城")</f>
        <v>跃入迷城</v>
      </c>
      <c r="U148" t="inlineStr">
        <is>
          <t>4d92b9af-66d1-4cd7-95d1-4b753a64ca6b</t>
        </is>
      </c>
      <c r="V148" t="inlineStr">
        <is>
          <t>17e7dc52-aee4-4ae8-bc75-9409e985bc27</t>
        </is>
      </c>
      <c r="W148" t="inlineStr">
        <is>
          <t>6c74bb46-691b-4ff6-9df6-d894d753041d</t>
        </is>
      </c>
      <c r="X148" t="inlineStr">
        <is>
          <t>6aa95f49-cebb-4133-a975-71289b18d00e</t>
        </is>
      </c>
      <c r="Y148"/>
      <c r="Z148" t="inlineStr">
        <is>
          <t>0.0.3</t>
        </is>
      </c>
      <c r="AA148" t="inlineStr">
        <is>
          <t>关卡</t>
        </is>
      </c>
      <c r="AB148" t="inlineStr">
        <is>
          <t>已完成</t>
        </is>
      </c>
      <c r="AC148" t="inlineStr">
        <is>
          <t>P0 - Must (not) Have</t>
        </is>
      </c>
      <c r="AD148"/>
      <c r="AE148"/>
    </row>
    <row r="149" ht="25.5" customHeight="1">
      <c r="A149" s="3" t="str">
        <f>=HYPERLINK("https://applink.feishu.cn/client/todo/detail?guid=5e11e8dd-b650-43c2-a5f3-6000d940f5a5&amp;suite_entity_num=t100328", "在配置了多个EnemyMap到Level后，一波敌人清空后，自动刷新下一波敌人")</f>
        <v>在配置了多个EnemyMap到Level后，一波敌人清空后，自动刷新下一波敌人</v>
      </c>
      <c r="B149"/>
      <c r="C149" t="inlineStr">
        <is>
          <t>默认分组</t>
        </is>
      </c>
      <c r="D149"/>
      <c r="E149"/>
      <c r="F149" t="inlineStr">
        <is>
          <t>Decay</t>
        </is>
      </c>
      <c r="G149" t="inlineStr">
        <is>
          <t>龚政涛</t>
        </is>
      </c>
      <c r="H149" s="4">
        <v>45631.745162037034</v>
      </c>
      <c r="I149" s="4">
        <v>45649.47516203704</v>
      </c>
      <c r="J149" s="4"/>
      <c r="K149" s="4">
        <v>45649.47515046296</v>
      </c>
      <c r="L149">
        <v>0</v>
      </c>
      <c r="M149">
        <v>0</v>
      </c>
      <c r="N149" t="inlineStr">
        <is>
          <t>NzQxMzM4ODg5NzkxNDY2NzAwOTo1ZTExZThkZC1iNjUwLTQzYzItYTVmMy02MDAwZDk0MGY1YTU6YTkzMjJkZWE4NmE5ZmRiMWU0MWRiNTU4MDM0ZDk0YzU6MQ==</t>
        </is>
      </c>
      <c r="O149" t="inlineStr">
        <is>
          <t>1</t>
        </is>
      </c>
      <c r="P149" t="inlineStr">
        <is>
          <t>或签任务</t>
        </is>
      </c>
      <c r="Q149" t="inlineStr">
        <is>
          <t>0</t>
        </is>
      </c>
      <c r="R149" t="inlineStr">
        <is>
          <t>龚政涛,Decay</t>
        </is>
      </c>
      <c r="S149" s="4"/>
      <c r="T149" s="3" t="str">
        <f>=HYPERLINK("https://applink.feishu.cn/client/todo/task_list?guid=4d92b9af-66d1-4cd7-95d1-4b753a64ca6b", "跃入迷城")</f>
        <v>跃入迷城</v>
      </c>
      <c r="U149" t="inlineStr">
        <is>
          <t>4d92b9af-66d1-4cd7-95d1-4b753a64ca6b</t>
        </is>
      </c>
      <c r="V149" t="inlineStr">
        <is>
          <t>5e11e8dd-b650-43c2-a5f3-6000d940f5a5</t>
        </is>
      </c>
      <c r="W149"/>
      <c r="X149"/>
      <c r="Y149"/>
      <c r="Z149" t="inlineStr">
        <is>
          <t>0.0.3</t>
        </is>
      </c>
      <c r="AA149" t="inlineStr">
        <is>
          <t>关卡</t>
        </is>
      </c>
      <c r="AB149" t="inlineStr">
        <is>
          <t>已完成</t>
        </is>
      </c>
      <c r="AC149"/>
      <c r="AD149"/>
      <c r="AE149"/>
    </row>
    <row r="150" ht="25.5" customHeight="1">
      <c r="A150" s="3" t="str">
        <f>=HYPERLINK("https://applink.feishu.cn/client/todo/detail?guid=d87c4f2c-d4ca-40d2-b43a-ebf7f05729c8&amp;suite_entity_num=t100325", "Arena功能4：在每一关结束后锁定（能看出来就行）")</f>
        <v>Arena功能4：在每一关结束后锁定（能看出来就行）</v>
      </c>
      <c r="B150"/>
      <c r="C150" t="inlineStr">
        <is>
          <t>默认分组</t>
        </is>
      </c>
      <c r="D150"/>
      <c r="E150"/>
      <c r="F150" t="inlineStr">
        <is>
          <t>Decay</t>
        </is>
      </c>
      <c r="G150" t="inlineStr">
        <is>
          <t>龚政涛</t>
        </is>
      </c>
      <c r="H150" s="4">
        <v>45631.745092592595</v>
      </c>
      <c r="I150" s="4">
        <v>45673.032685185186</v>
      </c>
      <c r="J150" s="4">
        <v>45652.333333333336</v>
      </c>
      <c r="K150" s="4">
        <v>45673.032685185186</v>
      </c>
      <c r="L150">
        <v>0</v>
      </c>
      <c r="M150">
        <v>0</v>
      </c>
      <c r="N150" t="inlineStr">
        <is>
          <t>NzQxMzM4ODg5NzkxNDY2NzAwOTpkODdjNGYyYy1kNGNhLTQwZDItYjQzYS1lYmY3ZjA1NzI5Yzg6YzZkNzE4MzUwMTRmNThkYzM1YmRkYTk0NWQ4ZDg1MzY6MQ==</t>
        </is>
      </c>
      <c r="O150" t="inlineStr">
        <is>
          <t>1</t>
        </is>
      </c>
      <c r="P150" t="inlineStr">
        <is>
          <t>或签任务</t>
        </is>
      </c>
      <c r="Q150" t="inlineStr">
        <is>
          <t>0</t>
        </is>
      </c>
      <c r="R150" t="inlineStr">
        <is>
          <t>龚政涛,Decay</t>
        </is>
      </c>
      <c r="S150" s="4">
        <v>45652.333333333336</v>
      </c>
      <c r="T150" s="3" t="str">
        <f>=HYPERLINK("https://applink.feishu.cn/client/todo/task_list?guid=4d92b9af-66d1-4cd7-95d1-4b753a64ca6b", "跃入迷城")</f>
        <v>跃入迷城</v>
      </c>
      <c r="U150" t="inlineStr">
        <is>
          <t>4d92b9af-66d1-4cd7-95d1-4b753a64ca6b</t>
        </is>
      </c>
      <c r="V150" t="inlineStr">
        <is>
          <t>d87c4f2c-d4ca-40d2-b43a-ebf7f05729c8</t>
        </is>
      </c>
      <c r="W150" t="inlineStr">
        <is>
          <t>6aa95f49-cebb-4133-a975-71289b18d00e</t>
        </is>
      </c>
      <c r="X150" t="inlineStr">
        <is>
          <t>c223a11a-25c1-486f-b7f5-dbaf4e8ca1ae</t>
        </is>
      </c>
      <c r="Y150"/>
      <c r="Z150" t="inlineStr">
        <is>
          <t>0.0.3</t>
        </is>
      </c>
      <c r="AA150" t="inlineStr">
        <is>
          <t>关卡</t>
        </is>
      </c>
      <c r="AB150" t="inlineStr">
        <is>
          <t>已完成</t>
        </is>
      </c>
      <c r="AC150" t="inlineStr">
        <is>
          <t>P0 - Must (not) Have</t>
        </is>
      </c>
      <c r="AD150"/>
      <c r="AE150"/>
    </row>
    <row r="151" ht="25.5" customHeight="1">
      <c r="A151" s="3" t="str">
        <f>=HYPERLINK("https://applink.feishu.cn/client/todo/detail?guid=72023289-e1b5-4997-83b9-553523fcda53&amp;suite_entity_num=t100329", "允许为每一波敌人配置出生点")</f>
        <v>允许为每一波敌人配置出生点</v>
      </c>
      <c r="B151"/>
      <c r="C151" t="inlineStr">
        <is>
          <t>默认分组</t>
        </is>
      </c>
      <c r="D151"/>
      <c r="E151"/>
      <c r="F151"/>
      <c r="G151" t="inlineStr">
        <is>
          <t>龚政涛</t>
        </is>
      </c>
      <c r="H151" s="4">
        <v>45631.74518518519</v>
      </c>
      <c r="I151" s="4">
        <v>45649.475</v>
      </c>
      <c r="J151" s="4"/>
      <c r="K151" s="4">
        <v>45649.47497685185</v>
      </c>
      <c r="L151">
        <v>0</v>
      </c>
      <c r="M151">
        <v>0</v>
      </c>
      <c r="N151" t="inlineStr">
        <is>
          <t>NzQxMzM4ODg5NzkxNDY2NzAwOTo3MjAyMzI4OS1lMWI1LTQ5OTctODNiOS01NTM1MjNmY2RhNTM6OTg1MTA0MzI4ZDBmOGY3MGE4YzY2ZGUzNjA2ZjE5ODQ6MQ==</t>
        </is>
      </c>
      <c r="O151" t="inlineStr">
        <is>
          <t>1</t>
        </is>
      </c>
      <c r="P151" t="inlineStr">
        <is>
          <t>或签任务</t>
        </is>
      </c>
      <c r="Q151" t="inlineStr">
        <is>
          <t>0</t>
        </is>
      </c>
      <c r="R151" t="inlineStr">
        <is>
          <t>龚政涛</t>
        </is>
      </c>
      <c r="S151" s="4"/>
      <c r="T151" s="3" t="str">
        <f>=HYPERLINK("https://applink.feishu.cn/client/todo/task_list?guid=4d92b9af-66d1-4cd7-95d1-4b753a64ca6b", "跃入迷城")</f>
        <v>跃入迷城</v>
      </c>
      <c r="U151" t="inlineStr">
        <is>
          <t>4d92b9af-66d1-4cd7-95d1-4b753a64ca6b</t>
        </is>
      </c>
      <c r="V151" t="inlineStr">
        <is>
          <t>72023289-e1b5-4997-83b9-553523fcda53</t>
        </is>
      </c>
      <c r="W151"/>
      <c r="X151"/>
      <c r="Y151"/>
      <c r="Z151" t="inlineStr">
        <is>
          <t>0.0.3</t>
        </is>
      </c>
      <c r="AA151" t="inlineStr">
        <is>
          <t>关卡</t>
        </is>
      </c>
      <c r="AB151" t="inlineStr">
        <is>
          <t>已完成</t>
        </is>
      </c>
      <c r="AC151"/>
      <c r="AD151"/>
      <c r="AE151"/>
    </row>
    <row r="152" ht="25.5" customHeight="1">
      <c r="A152" s="3" t="str">
        <f>=HYPERLINK("https://applink.feishu.cn/client/todo/detail?guid=a96b7467-7e54-4e4f-9aa0-1f96d5e1fc7d&amp;suite_entity_num=t100327", "在LevelManager增加一个功能，指定某个SubMap只加载到某个具体Level")</f>
        <v>在LevelManager增加一个功能，指定某个SubMap只加载到某个具体Level</v>
      </c>
      <c r="B152"/>
      <c r="C152" t="inlineStr">
        <is>
          <t>默认分组</t>
        </is>
      </c>
      <c r="D152"/>
      <c r="E152"/>
      <c r="F152" t="inlineStr">
        <is>
          <t>Decay</t>
        </is>
      </c>
      <c r="G152" t="inlineStr">
        <is>
          <t>龚政涛</t>
        </is>
      </c>
      <c r="H152" s="4">
        <v>45631.74512731482</v>
      </c>
      <c r="I152" s="4">
        <v>45719.51645833333</v>
      </c>
      <c r="J152" s="4">
        <v>45684.333333333336</v>
      </c>
      <c r="K152" s="4">
        <v>45719.51646990741</v>
      </c>
      <c r="L152">
        <v>0</v>
      </c>
      <c r="M152">
        <v>0</v>
      </c>
      <c r="N152" t="inlineStr">
        <is>
          <t>NzQxMzM4ODg5NzkxNDY2NzAwOTphOTZiNzQ2Ny03ZTU0LTRlNGYtOWFhMC0xZjk2ZDVlMWZjN2Q6NTg5OGJlZTVlM2E1ZGFjNTc1MmE3MjZmYTA0MWJiYjM6MQ==</t>
        </is>
      </c>
      <c r="O152" t="inlineStr">
        <is>
          <t>1</t>
        </is>
      </c>
      <c r="P152" t="inlineStr">
        <is>
          <t>或签任务</t>
        </is>
      </c>
      <c r="Q152" t="inlineStr">
        <is>
          <t>0</t>
        </is>
      </c>
      <c r="R152" t="inlineStr">
        <is>
          <t>龚政涛,Decay</t>
        </is>
      </c>
      <c r="S152" s="4">
        <v>45684.333333333336</v>
      </c>
      <c r="T152" s="3" t="str">
        <f>=HYPERLINK("https://applink.feishu.cn/client/todo/task_list?guid=4d92b9af-66d1-4cd7-95d1-4b753a64ca6b", "跃入迷城")</f>
        <v>跃入迷城</v>
      </c>
      <c r="U152" t="inlineStr">
        <is>
          <t>4d92b9af-66d1-4cd7-95d1-4b753a64ca6b</t>
        </is>
      </c>
      <c r="V152" t="inlineStr">
        <is>
          <t>a96b7467-7e54-4e4f-9aa0-1f96d5e1fc7d</t>
        </is>
      </c>
      <c r="W152" t="inlineStr">
        <is>
          <t>f6f4340b-1ca3-406b-94ad-45fbad88dbcd</t>
        </is>
      </c>
      <c r="X152"/>
      <c r="Y152"/>
      <c r="Z152" t="inlineStr">
        <is>
          <t>0.0.3</t>
        </is>
      </c>
      <c r="AA152" t="inlineStr">
        <is>
          <t>关卡</t>
        </is>
      </c>
      <c r="AB152" t="inlineStr">
        <is>
          <t>已完成</t>
        </is>
      </c>
      <c r="AC152" t="inlineStr">
        <is>
          <t>P2 - Nice to Have</t>
        </is>
      </c>
      <c r="AD152"/>
      <c r="AE152"/>
    </row>
    <row r="153" ht="25.5" customHeight="1">
      <c r="A153" s="3" t="str">
        <f>=HYPERLINK("https://applink.feishu.cn/client/todo/detail?guid=c223a11a-25c1-486f-b7f5-dbaf4e8ca1ae&amp;suite_entity_num=t100326", "Arena功能5：每一关开始时，随机解锁{x}个奖励机器")</f>
        <v>Arena功能5：每一关开始时，随机解锁{x}个奖励机器</v>
      </c>
      <c r="B153"/>
      <c r="C153" t="inlineStr">
        <is>
          <t>默认分组</t>
        </is>
      </c>
      <c r="D153"/>
      <c r="E153"/>
      <c r="F153" t="inlineStr">
        <is>
          <t>Decay</t>
        </is>
      </c>
      <c r="G153" t="inlineStr">
        <is>
          <t>龚政涛</t>
        </is>
      </c>
      <c r="H153" s="4">
        <v>45631.745104166665</v>
      </c>
      <c r="I153" s="4">
        <v>45673.03265046296</v>
      </c>
      <c r="J153" s="4">
        <v>45653.333333333336</v>
      </c>
      <c r="K153" s="4">
        <v>45673.03265046296</v>
      </c>
      <c r="L153">
        <v>0</v>
      </c>
      <c r="M153">
        <v>1</v>
      </c>
      <c r="N153" t="inlineStr">
        <is>
          <t>NzQxMzM4ODg5NzkxNDY2NzAwOTpjMjIzYTExYS0yNWMxLTQ4NmYtYjdmNS1kYmFmNGU4Y2ExYWU6MGM3ODczZjJiYTAwNWZmM2RlMzU0NTVhYTEyNDA2OGI6MQ==</t>
        </is>
      </c>
      <c r="O153" t="inlineStr">
        <is>
          <t>1</t>
        </is>
      </c>
      <c r="P153" t="inlineStr">
        <is>
          <t>或签任务</t>
        </is>
      </c>
      <c r="Q153" t="inlineStr">
        <is>
          <t>0</t>
        </is>
      </c>
      <c r="R153" t="inlineStr">
        <is>
          <t>龚政涛,Decay</t>
        </is>
      </c>
      <c r="S153" s="4">
        <v>45653.333333333336</v>
      </c>
      <c r="T153" s="3" t="str">
        <f>=HYPERLINK("https://applink.feishu.cn/client/todo/task_list?guid=4d92b9af-66d1-4cd7-95d1-4b753a64ca6b", "跃入迷城")</f>
        <v>跃入迷城</v>
      </c>
      <c r="U153" t="inlineStr">
        <is>
          <t>4d92b9af-66d1-4cd7-95d1-4b753a64ca6b</t>
        </is>
      </c>
      <c r="V153" t="inlineStr">
        <is>
          <t>c223a11a-25c1-486f-b7f5-dbaf4e8ca1ae</t>
        </is>
      </c>
      <c r="W153" t="inlineStr">
        <is>
          <t>d87c4f2c-d4ca-40d2-b43a-ebf7f05729c8</t>
        </is>
      </c>
      <c r="X153"/>
      <c r="Y153"/>
      <c r="Z153" t="inlineStr">
        <is>
          <t>0.0.3</t>
        </is>
      </c>
      <c r="AA153" t="inlineStr">
        <is>
          <t>关卡</t>
        </is>
      </c>
      <c r="AB153" t="inlineStr">
        <is>
          <t>已完成</t>
        </is>
      </c>
      <c r="AC153" t="inlineStr">
        <is>
          <t>P1 - Bigger the Better</t>
        </is>
      </c>
      <c r="AD153"/>
      <c r="AE153"/>
    </row>
    <row r="154" ht="25.5" customHeight="1">
      <c r="A154" s="3" t="str">
        <f>=HYPERLINK("https://applink.feishu.cn/client/todo/detail?guid=8bb5f932-ebbd-4498-8995-3e142b1551a2&amp;suite_entity_num=t100315", "追加能量条，用于释放技能，不会自动回复")</f>
        <v>追加能量条，用于释放技能，不会自动回复</v>
      </c>
      <c r="B154"/>
      <c r="C154" t="inlineStr">
        <is>
          <t>默认分组</t>
        </is>
      </c>
      <c r="D154"/>
      <c r="E154"/>
      <c r="F154" t="inlineStr">
        <is>
          <t>Decay</t>
        </is>
      </c>
      <c r="G154" t="inlineStr">
        <is>
          <t>龚政涛</t>
        </is>
      </c>
      <c r="H154" s="4">
        <v>45631.72478009259</v>
      </c>
      <c r="I154" s="4"/>
      <c r="J154" s="4"/>
      <c r="K154" s="4">
        <v>45890.47834490741</v>
      </c>
      <c r="L154">
        <v>0</v>
      </c>
      <c r="M154">
        <v>0</v>
      </c>
      <c r="N154" t="inlineStr">
        <is>
          <t>NzQxMzM4ODg5NzkxNDY2NzAwOTo4YmI1ZjkzMi1lYmJkLTQ0OTgtODk5NS0zZTE0MmIxNTUxYTI6ZGRiNWE3NDFhYjQ2OTVmYWVhMWRkODcxN2FjMDg4ZDk6MQ==</t>
        </is>
      </c>
      <c r="O154" t="inlineStr">
        <is>
          <t>0</t>
        </is>
      </c>
      <c r="P154" t="inlineStr">
        <is>
          <t>或签任务</t>
        </is>
      </c>
      <c r="Q154" t="inlineStr">
        <is>
          <t>0</t>
        </is>
      </c>
      <c r="R154" t="inlineStr">
        <is>
          <t>龚政涛,Decay</t>
        </is>
      </c>
      <c r="S154" s="4"/>
      <c r="T154" s="3" t="str">
        <f>=HYPERLINK("https://applink.feishu.cn/client/todo/task_list?guid=4d92b9af-66d1-4cd7-95d1-4b753a64ca6b", "跃入迷城")</f>
        <v>跃入迷城</v>
      </c>
      <c r="U154" t="inlineStr">
        <is>
          <t>4d92b9af-66d1-4cd7-95d1-4b753a64ca6b</t>
        </is>
      </c>
      <c r="V154" t="inlineStr">
        <is>
          <t>8bb5f932-ebbd-4498-8995-3e142b1551a2</t>
        </is>
      </c>
      <c r="W154"/>
      <c r="X154"/>
      <c r="Y154"/>
      <c r="Z154" t="inlineStr">
        <is>
          <t>0.1.0</t>
        </is>
      </c>
      <c r="AA154" t="inlineStr">
        <is>
          <t>装备</t>
        </is>
      </c>
      <c r="AB154"/>
      <c r="AC154" t="inlineStr">
        <is>
          <t>P2 - Nice to Have</t>
        </is>
      </c>
      <c r="AD154"/>
      <c r="AE154"/>
    </row>
    <row r="155" ht="25.5" customHeight="1">
      <c r="A155" s="3" t="str">
        <f>=HYPERLINK("https://applink.feishu.cn/client/todo/detail?guid=7270cdcf-b587-4492-8f70-36d02cc7332d&amp;suite_entity_num=t100317", "调整武器打印机，每次奖励只给1个武器")</f>
        <v>调整武器打印机，每次奖励只给1个武器</v>
      </c>
      <c r="B155"/>
      <c r="C155" t="inlineStr">
        <is>
          <t>默认分组</t>
        </is>
      </c>
      <c r="D155"/>
      <c r="E155"/>
      <c r="F155" t="inlineStr">
        <is>
          <t>Decay</t>
        </is>
      </c>
      <c r="G155" t="inlineStr">
        <is>
          <t>龚政涛</t>
        </is>
      </c>
      <c r="H155" s="4">
        <v>45631.72515046296</v>
      </c>
      <c r="I155" s="4">
        <v>45666.76013888889</v>
      </c>
      <c r="J155" s="4">
        <v>45657.333333333336</v>
      </c>
      <c r="K155" s="4">
        <v>45672.989016203705</v>
      </c>
      <c r="L155">
        <v>0</v>
      </c>
      <c r="M155">
        <v>1</v>
      </c>
      <c r="N155" t="inlineStr">
        <is>
          <t>NzQxMzM4ODg5NzkxNDY2NzAwOTo3MjcwY2RjZi1iNTg3LTQ0OTItOGY3MC0zNmQwMmNjNzMzMmQ6MjE1MzZlMjY5ZjAyZDhkZmM1OGQ5MDQ4OTA2NmJiMTY6MQ==</t>
        </is>
      </c>
      <c r="O155" t="inlineStr">
        <is>
          <t>1</t>
        </is>
      </c>
      <c r="P155" t="inlineStr">
        <is>
          <t>或签任务</t>
        </is>
      </c>
      <c r="Q155" t="inlineStr">
        <is>
          <t>0</t>
        </is>
      </c>
      <c r="R155" t="inlineStr">
        <is>
          <t>龚政涛,Decay,苏祺恒,Zoey</t>
        </is>
      </c>
      <c r="S155" s="4">
        <v>45657.333333333336</v>
      </c>
      <c r="T155" s="3" t="str">
        <f>=HYPERLINK("https://applink.feishu.cn/client/todo/task_list?guid=4d92b9af-66d1-4cd7-95d1-4b753a64ca6b", "跃入迷城")</f>
        <v>跃入迷城</v>
      </c>
      <c r="U155" t="inlineStr">
        <is>
          <t>4d92b9af-66d1-4cd7-95d1-4b753a64ca6b</t>
        </is>
      </c>
      <c r="V155" t="inlineStr">
        <is>
          <t>7270cdcf-b587-4492-8f70-36d02cc7332d</t>
        </is>
      </c>
      <c r="W155" t="inlineStr">
        <is>
          <t>1303bb57-6ddf-45ff-9c04-8b5bba334cce</t>
        </is>
      </c>
      <c r="X155"/>
      <c r="Y155"/>
      <c r="Z155" t="inlineStr">
        <is>
          <t>0.0.3</t>
        </is>
      </c>
      <c r="AA155" t="inlineStr">
        <is>
          <t>装备</t>
        </is>
      </c>
      <c r="AB155" t="inlineStr">
        <is>
          <t>已完成</t>
        </is>
      </c>
      <c r="AC155"/>
      <c r="AD155"/>
      <c r="AE155"/>
    </row>
    <row r="156" ht="25.5" customHeight="1">
      <c r="A156" s="3" t="str">
        <f>=HYPERLINK("https://applink.feishu.cn/client/todo/detail?guid=54c65fc6-76c8-4b6c-ae78-8f53c30defd5&amp;suite_entity_num=t100316", "只限制左键、右键的输入各固定一把武器，不限制武器类型")</f>
        <v>只限制左键、右键的输入各固定一把武器，不限制武器类型</v>
      </c>
      <c r="B156"/>
      <c r="C156" t="inlineStr">
        <is>
          <t>默认分组</t>
        </is>
      </c>
      <c r="D156"/>
      <c r="E156"/>
      <c r="F156" t="inlineStr">
        <is>
          <t>Decay</t>
        </is>
      </c>
      <c r="G156" t="inlineStr">
        <is>
          <t>龚政涛</t>
        </is>
      </c>
      <c r="H156" s="4">
        <v>45631.72484953704</v>
      </c>
      <c r="I156" s="4">
        <v>45651.622395833336</v>
      </c>
      <c r="J156" s="4">
        <v>45637.333333333336</v>
      </c>
      <c r="K156" s="4">
        <v>45651.62238425926</v>
      </c>
      <c r="L156">
        <v>0</v>
      </c>
      <c r="M156">
        <v>0</v>
      </c>
      <c r="N156" t="inlineStr">
        <is>
          <t>NzQxMzM4ODg5NzkxNDY2NzAwOTo1NGM2NWZjNi03NmM4LTRiNmMtYWU3OC04ZjUzYzMwZGVmZDU6ODAzNGUzNDc0YzE2OWEwNTBkMzI4ZjA3Y2RjMDFlMDM6MQ==</t>
        </is>
      </c>
      <c r="O156" t="inlineStr">
        <is>
          <t>1</t>
        </is>
      </c>
      <c r="P156" t="inlineStr">
        <is>
          <t>或签任务</t>
        </is>
      </c>
      <c r="Q156" t="inlineStr">
        <is>
          <t>0</t>
        </is>
      </c>
      <c r="R156" t="inlineStr">
        <is>
          <t>龚政涛,Decay</t>
        </is>
      </c>
      <c r="S156" s="4">
        <v>45637.333333333336</v>
      </c>
      <c r="T156" s="3" t="str">
        <f>=HYPERLINK("https://applink.feishu.cn/client/todo/task_list?guid=4d92b9af-66d1-4cd7-95d1-4b753a64ca6b", "跃入迷城")</f>
        <v>跃入迷城</v>
      </c>
      <c r="U156" t="inlineStr">
        <is>
          <t>4d92b9af-66d1-4cd7-95d1-4b753a64ca6b</t>
        </is>
      </c>
      <c r="V156" t="inlineStr">
        <is>
          <t>54c65fc6-76c8-4b6c-ae78-8f53c30defd5</t>
        </is>
      </c>
      <c r="W156"/>
      <c r="X156" t="inlineStr">
        <is>
          <t>5b862813-1274-482d-af27-cb2d931ac113</t>
        </is>
      </c>
      <c r="Y156"/>
      <c r="Z156" t="inlineStr">
        <is>
          <t>0.0.3</t>
        </is>
      </c>
      <c r="AA156" t="inlineStr">
        <is>
          <t>装备</t>
        </is>
      </c>
      <c r="AB156" t="inlineStr">
        <is>
          <t>已完成</t>
        </is>
      </c>
      <c r="AC156"/>
      <c r="AD156"/>
      <c r="AE156"/>
    </row>
    <row r="157" ht="25.5" customHeight="1">
      <c r="A157" s="3" t="str">
        <f>=HYPERLINK("https://applink.feishu.cn/client/todo/detail?guid=5b862813-1274-482d-af27-cb2d931ac113&amp;suite_entity_num=t100331", "武器可以切换（滚轮）")</f>
        <v>武器可以切换（滚轮）</v>
      </c>
      <c r="B157"/>
      <c r="C157" t="inlineStr">
        <is>
          <t>默认分组</t>
        </is>
      </c>
      <c r="D157"/>
      <c r="E157"/>
      <c r="F157" t="inlineStr">
        <is>
          <t>Decay</t>
        </is>
      </c>
      <c r="G157" t="inlineStr">
        <is>
          <t>龚政涛</t>
        </is>
      </c>
      <c r="H157" s="4">
        <v>45635.67601851852</v>
      </c>
      <c r="I157" s="4">
        <v>45649.47415509259</v>
      </c>
      <c r="J157" s="4">
        <v>45638.333333333336</v>
      </c>
      <c r="K157" s="4">
        <v>45649.47414351852</v>
      </c>
      <c r="L157">
        <v>0</v>
      </c>
      <c r="M157">
        <v>0</v>
      </c>
      <c r="N157" t="inlineStr">
        <is>
          <t>NzQxMzM4ODg5NzkxNDY2NzAwOTo1Yjg2MjgxMy0xMjc0LTQ4MmQtYWYyNy1jYjJkOTMxYWMxMTM6OTBiZDdlMTk2N2UwZGVkZjY0NDMyYTlkZTM4YWY4ODg6MQ==</t>
        </is>
      </c>
      <c r="O157" t="inlineStr">
        <is>
          <t>1</t>
        </is>
      </c>
      <c r="P157" t="inlineStr">
        <is>
          <t>或签任务</t>
        </is>
      </c>
      <c r="Q157" t="inlineStr">
        <is>
          <t>0</t>
        </is>
      </c>
      <c r="R157" t="inlineStr">
        <is>
          <t>龚政涛,Decay</t>
        </is>
      </c>
      <c r="S157" s="4">
        <v>45638.333333333336</v>
      </c>
      <c r="T157" s="3" t="str">
        <f>=HYPERLINK("https://applink.feishu.cn/client/todo/task_list?guid=4d92b9af-66d1-4cd7-95d1-4b753a64ca6b", "跃入迷城")</f>
        <v>跃入迷城</v>
      </c>
      <c r="U157" t="inlineStr">
        <is>
          <t>4d92b9af-66d1-4cd7-95d1-4b753a64ca6b</t>
        </is>
      </c>
      <c r="V157" t="inlineStr">
        <is>
          <t>5b862813-1274-482d-af27-cb2d931ac113</t>
        </is>
      </c>
      <c r="W157" t="inlineStr">
        <is>
          <t>54c65fc6-76c8-4b6c-ae78-8f53c30defd5</t>
        </is>
      </c>
      <c r="X157"/>
      <c r="Y157"/>
      <c r="Z157" t="inlineStr">
        <is>
          <t>0.0.3</t>
        </is>
      </c>
      <c r="AA157" t="inlineStr">
        <is>
          <t>装备</t>
        </is>
      </c>
      <c r="AB157" t="inlineStr">
        <is>
          <t>已完成</t>
        </is>
      </c>
      <c r="AC157"/>
      <c r="AD157"/>
      <c r="AE157"/>
    </row>
    <row r="158" ht="25.5" customHeight="1">
      <c r="A158" s="3" t="str">
        <f>=HYPERLINK("https://applink.feishu.cn/client/todo/detail?guid=b7145d11-a426-485c-831c-277999644545&amp;suite_entity_num=t100334", "换弹期间翻滚时，换弹的进度应该继续保留")</f>
        <v>换弹期间翻滚时，换弹的进度应该继续保留</v>
      </c>
      <c r="B158"/>
      <c r="C158" t="inlineStr">
        <is>
          <t>默认分组</t>
        </is>
      </c>
      <c r="D158"/>
      <c r="E158"/>
      <c r="F158" t="inlineStr">
        <is>
          <t>Decay</t>
        </is>
      </c>
      <c r="G158" t="inlineStr">
        <is>
          <t>龚政涛</t>
        </is>
      </c>
      <c r="H158" s="4">
        <v>45636.711805555555</v>
      </c>
      <c r="I158" s="4">
        <v>45649.4741087963</v>
      </c>
      <c r="J158" s="4">
        <v>45638.333333333336</v>
      </c>
      <c r="K158" s="4">
        <v>45649.4741087963</v>
      </c>
      <c r="L158">
        <v>0</v>
      </c>
      <c r="M158">
        <v>0</v>
      </c>
      <c r="N158" t="inlineStr">
        <is>
          <t>NzQxMzM4ODg5NzkxNDY2NzAwOTpiNzE0NWQxMS1hNDI2LTQ4NWMtODMxYy0yNzc5OTk2NDQ1NDU6Y2M4ZTE3NzgyM2E2YTIxNTBmNjM3MWUzOGQwNzM1YTQ6MQ==</t>
        </is>
      </c>
      <c r="O158" t="inlineStr">
        <is>
          <t>1</t>
        </is>
      </c>
      <c r="P158" t="inlineStr">
        <is>
          <t>或签任务</t>
        </is>
      </c>
      <c r="Q158" t="inlineStr">
        <is>
          <t>0</t>
        </is>
      </c>
      <c r="R158" t="inlineStr">
        <is>
          <t>龚政涛,Decay</t>
        </is>
      </c>
      <c r="S158" s="4">
        <v>45638.333333333336</v>
      </c>
      <c r="T158" s="3" t="str">
        <f>=HYPERLINK("https://applink.feishu.cn/client/todo/task_list?guid=4d92b9af-66d1-4cd7-95d1-4b753a64ca6b", "跃入迷城")</f>
        <v>跃入迷城</v>
      </c>
      <c r="U158" t="inlineStr">
        <is>
          <t>4d92b9af-66d1-4cd7-95d1-4b753a64ca6b</t>
        </is>
      </c>
      <c r="V158" t="inlineStr">
        <is>
          <t>b7145d11-a426-485c-831c-277999644545</t>
        </is>
      </c>
      <c r="W158"/>
      <c r="X158"/>
      <c r="Y158"/>
      <c r="Z158" t="inlineStr">
        <is>
          <t>0.0.3</t>
        </is>
      </c>
      <c r="AA158" t="inlineStr">
        <is>
          <t>装备</t>
        </is>
      </c>
      <c r="AB158" t="inlineStr">
        <is>
          <t>已完成</t>
        </is>
      </c>
      <c r="AC158"/>
      <c r="AD158"/>
      <c r="AE158"/>
    </row>
    <row r="159" ht="25.5" customHeight="1">
      <c r="A159" s="3" t="str">
        <f>=HYPERLINK("https://applink.feishu.cn/client/todo/detail?guid=bee29d78-d7b5-4fd6-ad09-cb7ff2abcacc&amp;suite_entity_num=t100333", "制作“株连”系列技能进行测试")</f>
        <v>制作“株连”系列技能进行测试</v>
      </c>
      <c r="B159"/>
      <c r="C159" t="inlineStr">
        <is>
          <t>默认分组</t>
        </is>
      </c>
      <c r="D159"/>
      <c r="E159"/>
      <c r="F159" t="inlineStr">
        <is>
          <t>Decay</t>
        </is>
      </c>
      <c r="G159" t="inlineStr">
        <is>
          <t>龚政涛</t>
        </is>
      </c>
      <c r="H159" s="4">
        <v>45636.710381944446</v>
      </c>
      <c r="I159" s="4">
        <v>45672.64840277778</v>
      </c>
      <c r="J159" s="4">
        <v>45656.333333333336</v>
      </c>
      <c r="K159" s="4">
        <v>45672.6484375</v>
      </c>
      <c r="L159">
        <v>0</v>
      </c>
      <c r="M159">
        <v>4</v>
      </c>
      <c r="N159" t="inlineStr">
        <is>
          <t>NzQxMzM4ODg5NzkxNDY2NzAwOTpiZWUyOWQ3OC1kN2I1LTRmZDYtYWQwOS1jYjdmZjJhYmNhY2M6OTEyNjAxNWM5MTAzYjU5ODQxZjhkNDI3ZDEyMDI2YWY6MQ==</t>
        </is>
      </c>
      <c r="O159" t="inlineStr">
        <is>
          <t>1</t>
        </is>
      </c>
      <c r="P159" t="inlineStr">
        <is>
          <t>或签任务</t>
        </is>
      </c>
      <c r="Q159" t="inlineStr">
        <is>
          <t>0</t>
        </is>
      </c>
      <c r="R159" t="inlineStr">
        <is>
          <t>龚政涛,Decay</t>
        </is>
      </c>
      <c r="S159" s="4">
        <v>45652.333333333336</v>
      </c>
      <c r="T159" s="3" t="str">
        <f>=HYPERLINK("https://applink.feishu.cn/client/todo/task_list?guid=4d92b9af-66d1-4cd7-95d1-4b753a64ca6b", "跃入迷城")</f>
        <v>跃入迷城</v>
      </c>
      <c r="U159" t="inlineStr">
        <is>
          <t>4d92b9af-66d1-4cd7-95d1-4b753a64ca6b</t>
        </is>
      </c>
      <c r="V159" t="inlineStr">
        <is>
          <t>bee29d78-d7b5-4fd6-ad09-cb7ff2abcacc</t>
        </is>
      </c>
      <c r="W159"/>
      <c r="X159"/>
      <c r="Y159"/>
      <c r="Z159" t="inlineStr">
        <is>
          <t>0.0.3</t>
        </is>
      </c>
      <c r="AA159" t="inlineStr">
        <is>
          <t>装备</t>
        </is>
      </c>
      <c r="AB159" t="inlineStr">
        <is>
          <t>已完成</t>
        </is>
      </c>
      <c r="AC159"/>
      <c r="AD159"/>
      <c r="AE159"/>
    </row>
    <row r="160" ht="25.5" customHeight="1">
      <c r="A160" s="3" t="str">
        <f>=HYPERLINK("https://applink.feishu.cn/client/todo/detail?guid=66116a6e-444a-4595-b591-d9f4819d4fed&amp;suite_entity_num=t100336", "制作武器技能：电磁护盾")</f>
        <v>制作武器技能：电磁护盾</v>
      </c>
      <c r="B160"/>
      <c r="C160" t="inlineStr">
        <is>
          <t>默认分组</t>
        </is>
      </c>
      <c r="D160"/>
      <c r="E160"/>
      <c r="F160" t="inlineStr">
        <is>
          <t>Decay</t>
        </is>
      </c>
      <c r="G160" t="inlineStr">
        <is>
          <t>龚政涛</t>
        </is>
      </c>
      <c r="H160" s="4">
        <v>45636.71240740741</v>
      </c>
      <c r="I160" s="4">
        <v>45672.988599537035</v>
      </c>
      <c r="J160" s="4">
        <v>45647.333333333336</v>
      </c>
      <c r="K160" s="4">
        <v>45672.988599537035</v>
      </c>
      <c r="L160">
        <v>0</v>
      </c>
      <c r="M160">
        <v>1</v>
      </c>
      <c r="N160" t="inlineStr">
        <is>
          <t>NzQxMzM4ODg5NzkxNDY2NzAwOTo2NjExNmE2ZS00NDRhLTQ1OTUtYjU5MS1kOWY0ODE5ZDRmZWQ6MTI3Yjc1NmE2MTVjNGFlNWM2OTM5MmM5MGI3NGQ0MWE6MQ==</t>
        </is>
      </c>
      <c r="O160" t="inlineStr">
        <is>
          <t>1</t>
        </is>
      </c>
      <c r="P160" t="inlineStr">
        <is>
          <t>或签任务</t>
        </is>
      </c>
      <c r="Q160" t="inlineStr">
        <is>
          <t>0</t>
        </is>
      </c>
      <c r="R160" t="inlineStr">
        <is>
          <t>龚政涛,Decay</t>
        </is>
      </c>
      <c r="S160" s="4">
        <v>45647.333333333336</v>
      </c>
      <c r="T160" s="3" t="str">
        <f>=HYPERLINK("https://applink.feishu.cn/client/todo/task_list?guid=4d92b9af-66d1-4cd7-95d1-4b753a64ca6b", "跃入迷城")</f>
        <v>跃入迷城</v>
      </c>
      <c r="U160" t="inlineStr">
        <is>
          <t>4d92b9af-66d1-4cd7-95d1-4b753a64ca6b</t>
        </is>
      </c>
      <c r="V160" t="inlineStr">
        <is>
          <t>66116a6e-444a-4595-b591-d9f4819d4fed</t>
        </is>
      </c>
      <c r="W160"/>
      <c r="X160"/>
      <c r="Y160"/>
      <c r="Z160" t="inlineStr">
        <is>
          <t>0.0.3</t>
        </is>
      </c>
      <c r="AA160" t="inlineStr">
        <is>
          <t>装备</t>
        </is>
      </c>
      <c r="AB160" t="inlineStr">
        <is>
          <t>已废弃</t>
        </is>
      </c>
      <c r="AC160"/>
      <c r="AD160"/>
      <c r="AE160"/>
    </row>
    <row r="161" ht="25.5" customHeight="1">
      <c r="A161" s="3" t="str">
        <f>=HYPERLINK("https://applink.feishu.cn/client/todo/detail?guid=1303bb57-6ddf-45ff-9c04-8b5bba334cce&amp;suite_entity_num=t100332", "技能与键位：{Q/E}对应主武器、{G}对应其他功能（主动技能，由智脑提供）")</f>
        <v>技能与键位：{Q/E}对应主武器、{G}对应其他功能（主动技能，由智脑提供）</v>
      </c>
      <c r="B161"/>
      <c r="C161" t="inlineStr">
        <is>
          <t>默认分组</t>
        </is>
      </c>
      <c r="D161"/>
      <c r="E161"/>
      <c r="F161" t="inlineStr">
        <is>
          <t>Decay</t>
        </is>
      </c>
      <c r="G161" t="inlineStr">
        <is>
          <t>龚政涛</t>
        </is>
      </c>
      <c r="H161" s="4">
        <v>45635.67606481481</v>
      </c>
      <c r="I161" s="4">
        <v>45812.47497685185</v>
      </c>
      <c r="J161" s="4">
        <v>45656.333333333336</v>
      </c>
      <c r="K161" s="4">
        <v>45868.037094907406</v>
      </c>
      <c r="L161">
        <v>0</v>
      </c>
      <c r="M161">
        <v>2</v>
      </c>
      <c r="N161" t="inlineStr">
        <is>
          <t>NzQxMzM4ODg5NzkxNDY2NzAwOToxMzAzYmI1Ny02ZGRmLTQ1ZmYtOWMwNC04YjViYmEzMzRjY2U6M2FlMjY1YzQ2ZDg3ZmRmMGFiNWJlMDNiZmE2Y2MxM2U6MQ==</t>
        </is>
      </c>
      <c r="O161" t="inlineStr">
        <is>
          <t>1</t>
        </is>
      </c>
      <c r="P161" t="inlineStr">
        <is>
          <t>或签任务</t>
        </is>
      </c>
      <c r="Q161" t="inlineStr">
        <is>
          <t>0</t>
        </is>
      </c>
      <c r="R161" t="inlineStr">
        <is>
          <t>龚政涛,Decay</t>
        </is>
      </c>
      <c r="S161" s="4">
        <v>45656.333333333336</v>
      </c>
      <c r="T161" s="3" t="str">
        <f>=HYPERLINK("https://applink.feishu.cn/client/todo/task_list?guid=4d92b9af-66d1-4cd7-95d1-4b753a64ca6b", "跃入迷城")</f>
        <v>跃入迷城</v>
      </c>
      <c r="U161" t="inlineStr">
        <is>
          <t>4d92b9af-66d1-4cd7-95d1-4b753a64ca6b</t>
        </is>
      </c>
      <c r="V161" t="inlineStr">
        <is>
          <t>1303bb57-6ddf-45ff-9c04-8b5bba334cce</t>
        </is>
      </c>
      <c r="W161"/>
      <c r="X161" t="inlineStr">
        <is>
          <t>7270cdcf-b587-4492-8f70-36d02cc7332d</t>
        </is>
      </c>
      <c r="Y161"/>
      <c r="Z161" t="inlineStr">
        <is>
          <t>0.0.5</t>
        </is>
      </c>
      <c r="AA161" t="inlineStr">
        <is>
          <t>操作</t>
        </is>
      </c>
      <c r="AB161" t="inlineStr">
        <is>
          <t>已完成</t>
        </is>
      </c>
      <c r="AC161" t="inlineStr">
        <is>
          <t>P1 - Bigger the Better</t>
        </is>
      </c>
      <c r="AD161" t="inlineStr">
        <is>
          <t>🎮玩法</t>
        </is>
      </c>
      <c r="AE161"/>
    </row>
    <row r="162" ht="25.5" customHeight="1">
      <c r="A162" s="3" t="str">
        <f>=HYPERLINK("https://applink.feishu.cn/client/todo/detail?guid=a88c8c2f-6b64-46e5-a052-202df4d893dc&amp;suite_entity_num=t100335", "制作武器技能：麻痹射击")</f>
        <v>制作武器技能：麻痹射击</v>
      </c>
      <c r="B162"/>
      <c r="C162" t="inlineStr">
        <is>
          <t>默认分组</t>
        </is>
      </c>
      <c r="D162"/>
      <c r="E162"/>
      <c r="F162" t="inlineStr">
        <is>
          <t>Decay</t>
        </is>
      </c>
      <c r="G162" t="inlineStr">
        <is>
          <t>龚政涛</t>
        </is>
      </c>
      <c r="H162" s="4">
        <v>45636.71221064815</v>
      </c>
      <c r="I162" s="4">
        <v>45664.673263888886</v>
      </c>
      <c r="J162" s="4">
        <v>45647.333333333336</v>
      </c>
      <c r="K162" s="4">
        <v>45664.67329861111</v>
      </c>
      <c r="L162">
        <v>0</v>
      </c>
      <c r="M162">
        <v>2</v>
      </c>
      <c r="N162" t="inlineStr">
        <is>
          <t>NzQxMzM4ODg5NzkxNDY2NzAwOTphODhjOGMyZi02YjY0LTQ2ZTUtYTA1Mi0yMDJkZjRkODkzZGM6YzIwNTg2OTA4MDZjZTE2MzU4ODZlMDg1NzJiZGFlMDA6MQ==</t>
        </is>
      </c>
      <c r="O162" t="inlineStr">
        <is>
          <t>1</t>
        </is>
      </c>
      <c r="P162" t="inlineStr">
        <is>
          <t>或签任务</t>
        </is>
      </c>
      <c r="Q162" t="inlineStr">
        <is>
          <t>0</t>
        </is>
      </c>
      <c r="R162" t="inlineStr">
        <is>
          <t>龚政涛,Decay</t>
        </is>
      </c>
      <c r="S162" s="4">
        <v>45647.333333333336</v>
      </c>
      <c r="T162" s="3" t="str">
        <f>=HYPERLINK("https://applink.feishu.cn/client/todo/task_list?guid=4d92b9af-66d1-4cd7-95d1-4b753a64ca6b", "跃入迷城")</f>
        <v>跃入迷城</v>
      </c>
      <c r="U162" t="inlineStr">
        <is>
          <t>4d92b9af-66d1-4cd7-95d1-4b753a64ca6b</t>
        </is>
      </c>
      <c r="V162" t="inlineStr">
        <is>
          <t>a88c8c2f-6b64-46e5-a052-202df4d893dc</t>
        </is>
      </c>
      <c r="W162"/>
      <c r="X162"/>
      <c r="Y162"/>
      <c r="Z162" t="inlineStr">
        <is>
          <t>0.0.3</t>
        </is>
      </c>
      <c r="AA162" t="inlineStr">
        <is>
          <t>装备</t>
        </is>
      </c>
      <c r="AB162" t="inlineStr">
        <is>
          <t>已完成</t>
        </is>
      </c>
      <c r="AC162"/>
      <c r="AD162"/>
      <c r="AE162"/>
    </row>
    <row r="163" ht="25.5" customHeight="1">
      <c r="A163" s="3" t="str">
        <f>=HYPERLINK("https://applink.feishu.cn/client/todo/detail?guid=63b812e0-5b27-43c6-8bcc-0a98ad35a407&amp;suite_entity_num=t100337", "基于护甲值的硬直变动：有护甲的单位韧性等级 + 1")</f>
        <v>基于护甲值的硬直变动：有护甲的单位韧性等级 + 1</v>
      </c>
      <c r="B163"/>
      <c r="C163" t="inlineStr">
        <is>
          <t>默认分组</t>
        </is>
      </c>
      <c r="D163"/>
      <c r="E163"/>
      <c r="F163" t="inlineStr">
        <is>
          <t>Decay</t>
        </is>
      </c>
      <c r="G163" t="inlineStr">
        <is>
          <t>龚政涛</t>
        </is>
      </c>
      <c r="H163" s="4">
        <v>45636.756886574076</v>
      </c>
      <c r="I163" s="4">
        <v>45667.47634259259</v>
      </c>
      <c r="J163" s="4">
        <v>45651.333333333336</v>
      </c>
      <c r="K163" s="4">
        <v>45667.476331018515</v>
      </c>
      <c r="L163">
        <v>0</v>
      </c>
      <c r="M163">
        <v>0</v>
      </c>
      <c r="N163" t="inlineStr">
        <is>
          <t>NzQxMzM4ODg5NzkxNDY2NzAwOTo2M2I4MTJlMC01YjI3LTQzYzYtOGJjYy0wYTk4YWQzNWE0MDc6NzZhZjA2YmY0ZjBmMzAyZDNkZGVmNTA1ZjkyZjAzMTI6MQ==</t>
        </is>
      </c>
      <c r="O163" t="inlineStr">
        <is>
          <t>1</t>
        </is>
      </c>
      <c r="P163" t="inlineStr">
        <is>
          <t>或签任务</t>
        </is>
      </c>
      <c r="Q163" t="inlineStr">
        <is>
          <t>0</t>
        </is>
      </c>
      <c r="R163" t="inlineStr">
        <is>
          <t>龚政涛,Decay</t>
        </is>
      </c>
      <c r="S163" s="4">
        <v>45651.333333333336</v>
      </c>
      <c r="T163" s="3" t="str">
        <f>=HYPERLINK("https://applink.feishu.cn/client/todo/task_list?guid=4d92b9af-66d1-4cd7-95d1-4b753a64ca6b", "跃入迷城")</f>
        <v>跃入迷城</v>
      </c>
      <c r="U163" t="inlineStr">
        <is>
          <t>4d92b9af-66d1-4cd7-95d1-4b753a64ca6b</t>
        </is>
      </c>
      <c r="V163" t="inlineStr">
        <is>
          <t>63b812e0-5b27-43c6-8bcc-0a98ad35a407</t>
        </is>
      </c>
      <c r="W163"/>
      <c r="X163"/>
      <c r="Y163"/>
      <c r="Z163" t="inlineStr">
        <is>
          <t>0.0.3</t>
        </is>
      </c>
      <c r="AA163" t="inlineStr">
        <is>
          <t>角色</t>
        </is>
      </c>
      <c r="AB163" t="inlineStr">
        <is>
          <t>已完成</t>
        </is>
      </c>
      <c r="AC163"/>
      <c r="AD163"/>
      <c r="AE163"/>
    </row>
    <row r="164" ht="25.5" customHeight="1">
      <c r="A164" s="3" t="str">
        <f>=HYPERLINK("https://applink.feishu.cn/client/todo/detail?guid=2ecac0eb-92b1-4642-b5c4-18cf87d42550&amp;suite_entity_num=t100344", "冲击事件的新计算方法")</f>
        <v>冲击事件的新计算方法</v>
      </c>
      <c r="B164"/>
      <c r="C164" t="inlineStr">
        <is>
          <t>默认分组</t>
        </is>
      </c>
      <c r="D164"/>
      <c r="E164"/>
      <c r="F164" t="inlineStr">
        <is>
          <t>Decay</t>
        </is>
      </c>
      <c r="G164" t="inlineStr">
        <is>
          <t>龚政涛</t>
        </is>
      </c>
      <c r="H164" s="4">
        <v>45637.58841435185</v>
      </c>
      <c r="I164" s="4"/>
      <c r="J164" s="4"/>
      <c r="K164" s="4">
        <v>45709.45431712963</v>
      </c>
      <c r="L164">
        <v>0</v>
      </c>
      <c r="M164">
        <v>12</v>
      </c>
      <c r="N164" t="inlineStr">
        <is>
          <t>NzQxMzM4ODg5NzkxNDY2NzAwOToyZWNhYzBlYi05MmIxLTQ2NDItYjVjNC0xOGNmODdkNDI1NTA6MzU2YTY4Mzc3MTA3YWMyM2NlNzlkYWEzMGFhMjVlMjQ6MQ==</t>
        </is>
      </c>
      <c r="O164" t="inlineStr">
        <is>
          <t>0</t>
        </is>
      </c>
      <c r="P164" t="inlineStr">
        <is>
          <t>或签任务</t>
        </is>
      </c>
      <c r="Q164" t="inlineStr">
        <is>
          <t>0</t>
        </is>
      </c>
      <c r="R164" t="inlineStr">
        <is>
          <t>龚政涛,Decay</t>
        </is>
      </c>
      <c r="S164" s="4"/>
      <c r="T164" s="3" t="str">
        <f>=HYPERLINK("https://applink.feishu.cn/client/todo/task_list?guid=4d92b9af-66d1-4cd7-95d1-4b753a64ca6b", "跃入迷城")</f>
        <v>跃入迷城</v>
      </c>
      <c r="U164" t="inlineStr">
        <is>
          <t>4d92b9af-66d1-4cd7-95d1-4b753a64ca6b</t>
        </is>
      </c>
      <c r="V164" t="inlineStr">
        <is>
          <t>2ecac0eb-92b1-4642-b5c4-18cf87d42550</t>
        </is>
      </c>
      <c r="W164"/>
      <c r="X164"/>
      <c r="Y164"/>
      <c r="Z164" t="inlineStr">
        <is>
          <t>0.1.0</t>
        </is>
      </c>
      <c r="AA164" t="inlineStr">
        <is>
          <t>角色</t>
        </is>
      </c>
      <c r="AB164" t="inlineStr">
        <is>
          <t>未开始</t>
        </is>
      </c>
      <c r="AC164" t="inlineStr">
        <is>
          <t>P2 - Nice to Have</t>
        </is>
      </c>
      <c r="AD164"/>
      <c r="AE164"/>
    </row>
    <row r="165" ht="25.5" customHeight="1">
      <c r="A165" s="3" t="str">
        <f>=HYPERLINK("https://applink.feishu.cn/client/todo/detail?guid=f9b80afb-db3e-44f8-86f5-7bea4bbfd769&amp;suite_entity_num=t100345", "简化打印机UI并更新")</f>
        <v>简化打印机UI并更新</v>
      </c>
      <c r="B165"/>
      <c r="C165" t="inlineStr">
        <is>
          <t>默认分组</t>
        </is>
      </c>
      <c r="D165"/>
      <c r="E165"/>
      <c r="F165" t="inlineStr">
        <is>
          <t>龚政涛,Decay</t>
        </is>
      </c>
      <c r="G165" t="inlineStr">
        <is>
          <t>龚政涛</t>
        </is>
      </c>
      <c r="H165" s="4">
        <v>45637.6105787037</v>
      </c>
      <c r="I165" s="4">
        <v>45719.56721064815</v>
      </c>
      <c r="J165" s="4">
        <v>45656.333333333336</v>
      </c>
      <c r="K165" s="4">
        <v>45719.56722222222</v>
      </c>
      <c r="L165">
        <v>0</v>
      </c>
      <c r="M165">
        <v>1</v>
      </c>
      <c r="N165" t="inlineStr">
        <is>
          <t>NzQxMzM4ODg5NzkxNDY2NzAwOTpmOWI4MGFmYi1kYjNlLTQ0ZjgtODZmNS03YmVhNGJiZmQ3Njk6NzNiMmI2ZTlhOTJhZmNmNzMxMGIxMTRkNDhlMTUzM2M6MQ==</t>
        </is>
      </c>
      <c r="O165" t="inlineStr">
        <is>
          <t>1</t>
        </is>
      </c>
      <c r="P165" t="inlineStr">
        <is>
          <t>或签任务</t>
        </is>
      </c>
      <c r="Q165" t="inlineStr">
        <is>
          <t>0</t>
        </is>
      </c>
      <c r="R165" t="inlineStr">
        <is>
          <t>龚政涛,Decay</t>
        </is>
      </c>
      <c r="S165" s="4">
        <v>45656.333333333336</v>
      </c>
      <c r="T165" s="3" t="str">
        <f>=HYPERLINK("https://applink.feishu.cn/client/todo/task_list?guid=4d92b9af-66d1-4cd7-95d1-4b753a64ca6b", "跃入迷城")</f>
        <v>跃入迷城</v>
      </c>
      <c r="U165" t="inlineStr">
        <is>
          <t>4d92b9af-66d1-4cd7-95d1-4b753a64ca6b</t>
        </is>
      </c>
      <c r="V165" t="inlineStr">
        <is>
          <t>f9b80afb-db3e-44f8-86f5-7bea4bbfd769</t>
        </is>
      </c>
      <c r="W165"/>
      <c r="X165"/>
      <c r="Y165"/>
      <c r="Z165" t="inlineStr">
        <is>
          <t>0.0.3</t>
        </is>
      </c>
      <c r="AA165" t="inlineStr">
        <is>
          <t>装备</t>
        </is>
      </c>
      <c r="AB165" t="inlineStr">
        <is>
          <t>已废弃</t>
        </is>
      </c>
      <c r="AC165"/>
      <c r="AD165"/>
      <c r="AE165"/>
    </row>
    <row r="166" ht="25.5" customHeight="1">
      <c r="A166" s="3" t="str">
        <f>=HYPERLINK("https://applink.feishu.cn/client/todo/detail?guid=fc449bd8-abaa-4bcf-8b3c-ed7d5f2e9133&amp;suite_entity_num=t100346", "移除子弹种类限制")</f>
        <v>移除子弹种类限制</v>
      </c>
      <c r="B166"/>
      <c r="C166" t="inlineStr">
        <is>
          <t>默认分组</t>
        </is>
      </c>
      <c r="D166"/>
      <c r="E166"/>
      <c r="F166" t="inlineStr">
        <is>
          <t>Decay</t>
        </is>
      </c>
      <c r="G166" t="inlineStr">
        <is>
          <t>龚政涛</t>
        </is>
      </c>
      <c r="H166" s="4">
        <v>45637.62229166667</v>
      </c>
      <c r="I166" s="4">
        <v>45649.474016203705</v>
      </c>
      <c r="J166" s="4">
        <v>45637.333333333336</v>
      </c>
      <c r="K166" s="4">
        <v>45649.474016203705</v>
      </c>
      <c r="L166">
        <v>0</v>
      </c>
      <c r="M166">
        <v>0</v>
      </c>
      <c r="N166" t="inlineStr">
        <is>
          <t>NzQxMzM4ODg5NzkxNDY2NzAwOTpmYzQ0OWJkOC1hYmFhLTRiY2YtOGIzYy1lZDdkNWYyZTkxMzM6NTE3NzU1YjM5ZWFhNDNmMTZkYzQ3ZjEzNTVhNzUwMTM6MQ==</t>
        </is>
      </c>
      <c r="O166" t="inlineStr">
        <is>
          <t>1</t>
        </is>
      </c>
      <c r="P166" t="inlineStr">
        <is>
          <t>或签任务</t>
        </is>
      </c>
      <c r="Q166" t="inlineStr">
        <is>
          <t>0</t>
        </is>
      </c>
      <c r="R166" t="inlineStr">
        <is>
          <t>龚政涛,Decay</t>
        </is>
      </c>
      <c r="S166" s="4">
        <v>45637.333333333336</v>
      </c>
      <c r="T166" s="3" t="str">
        <f>=HYPERLINK("https://applink.feishu.cn/client/todo/task_list?guid=4d92b9af-66d1-4cd7-95d1-4b753a64ca6b", "跃入迷城")</f>
        <v>跃入迷城</v>
      </c>
      <c r="U166" t="inlineStr">
        <is>
          <t>4d92b9af-66d1-4cd7-95d1-4b753a64ca6b</t>
        </is>
      </c>
      <c r="V166" t="inlineStr">
        <is>
          <t>fc449bd8-abaa-4bcf-8b3c-ed7d5f2e9133</t>
        </is>
      </c>
      <c r="W166"/>
      <c r="X166"/>
      <c r="Y166"/>
      <c r="Z166" t="inlineStr">
        <is>
          <t>0.0.3</t>
        </is>
      </c>
      <c r="AA166" t="inlineStr">
        <is>
          <t>装备</t>
        </is>
      </c>
      <c r="AB166" t="inlineStr">
        <is>
          <t>已完成</t>
        </is>
      </c>
      <c r="AC166"/>
      <c r="AD166"/>
      <c r="AE166"/>
    </row>
    <row r="167" ht="25.5" customHeight="1">
      <c r="A167" s="3" t="str">
        <f>=HYPERLINK("https://applink.feishu.cn/client/todo/detail?guid=a63f96fe-bc46-45d9-b74f-0e595999d777&amp;suite_entity_num=t100347", "需要一个TASK，让AI使用武器技能")</f>
        <v>需要一个TASK，让AI使用武器技能</v>
      </c>
      <c r="B167"/>
      <c r="C167" t="inlineStr">
        <is>
          <t>默认分组</t>
        </is>
      </c>
      <c r="D167"/>
      <c r="E167"/>
      <c r="F167" t="inlineStr">
        <is>
          <t>李少秋</t>
        </is>
      </c>
      <c r="G167" t="inlineStr">
        <is>
          <t>龚政涛</t>
        </is>
      </c>
      <c r="H167" s="4">
        <v>45637.681759259256</v>
      </c>
      <c r="I167" s="4">
        <v>45639.57471064815</v>
      </c>
      <c r="J167" s="4"/>
      <c r="K167" s="4">
        <v>45727.47366898148</v>
      </c>
      <c r="L167">
        <v>0</v>
      </c>
      <c r="M167">
        <v>0</v>
      </c>
      <c r="N167" t="inlineStr">
        <is>
          <t>NzQxMzM4ODg5NzkxNDY2NzAwOTphNjNmOTZmZS1iYzQ2LTQ1ZDktYjc0Zi0wZTU5NTk5OWQ3Nzc6NzQxYTAzN2VjODFhZTljY2U3MTJkOTZmNmYzM2FhMzI6MQ==</t>
        </is>
      </c>
      <c r="O167" t="inlineStr">
        <is>
          <t>1</t>
        </is>
      </c>
      <c r="P167" t="inlineStr">
        <is>
          <t>或签任务</t>
        </is>
      </c>
      <c r="Q167" t="inlineStr">
        <is>
          <t>0</t>
        </is>
      </c>
      <c r="R167" t="inlineStr">
        <is>
          <t>李少秋,龚政涛</t>
        </is>
      </c>
      <c r="S167" s="4"/>
      <c r="T167" s="3" t="str">
        <f>=HYPERLINK("https://applink.feishu.cn/client/todo/task_list?guid=4d92b9af-66d1-4cd7-95d1-4b753a64ca6b", "跃入迷城")</f>
        <v>跃入迷城</v>
      </c>
      <c r="U167" t="inlineStr">
        <is>
          <t>4d92b9af-66d1-4cd7-95d1-4b753a64ca6b</t>
        </is>
      </c>
      <c r="V167" t="inlineStr">
        <is>
          <t>a63f96fe-bc46-45d9-b74f-0e595999d777</t>
        </is>
      </c>
      <c r="W167"/>
      <c r="X167"/>
      <c r="Y167"/>
      <c r="Z167" t="inlineStr">
        <is>
          <t>0.0.3</t>
        </is>
      </c>
      <c r="AA167" t="inlineStr">
        <is>
          <t>AI</t>
        </is>
      </c>
      <c r="AB167" t="inlineStr">
        <is>
          <t>已完成</t>
        </is>
      </c>
      <c r="AC167" t="inlineStr">
        <is>
          <t>P0 - Must (not) Have</t>
        </is>
      </c>
      <c r="AD167"/>
      <c r="AE167"/>
    </row>
    <row r="168" ht="25.5" customHeight="1">
      <c r="A168" s="3" t="str">
        <f>=HYPERLINK("https://applink.feishu.cn/client/todo/detail?guid=2aceaca3-d316-49fc-a123-b7f2a8837c77&amp;suite_entity_num=t100348", "需要一个TASK，判断移动并执行开门动作")</f>
        <v>需要一个TASK，判断移动并执行开门动作</v>
      </c>
      <c r="B168"/>
      <c r="C168" t="inlineStr">
        <is>
          <t>默认分组</t>
        </is>
      </c>
      <c r="D168"/>
      <c r="E168"/>
      <c r="F168" t="inlineStr">
        <is>
          <t>李少秋</t>
        </is>
      </c>
      <c r="G168" t="inlineStr">
        <is>
          <t>龚政涛</t>
        </is>
      </c>
      <c r="H168" s="4">
        <v>45637.68177083333</v>
      </c>
      <c r="I168" s="4">
        <v>45639.5747337963</v>
      </c>
      <c r="J168" s="4"/>
      <c r="K168" s="4">
        <v>45727.47353009259</v>
      </c>
      <c r="L168">
        <v>0</v>
      </c>
      <c r="M168">
        <v>0</v>
      </c>
      <c r="N168" t="inlineStr">
        <is>
          <t>NzQxMzM4ODg5NzkxNDY2NzAwOToyYWNlYWNhMy1kMzE2LTQ5ZmMtYTEyMy1iN2YyYTg4MzdjNzc6YjFmNTAxYTg1MjVmY2ZmODg3MzY3ZWUzNjFiODgzOWU6MQ==</t>
        </is>
      </c>
      <c r="O168" t="inlineStr">
        <is>
          <t>1</t>
        </is>
      </c>
      <c r="P168" t="inlineStr">
        <is>
          <t>或签任务</t>
        </is>
      </c>
      <c r="Q168" t="inlineStr">
        <is>
          <t>0</t>
        </is>
      </c>
      <c r="R168" t="inlineStr">
        <is>
          <t>李少秋,龚政涛</t>
        </is>
      </c>
      <c r="S168" s="4"/>
      <c r="T168" s="3" t="str">
        <f>=HYPERLINK("https://applink.feishu.cn/client/todo/task_list?guid=4d92b9af-66d1-4cd7-95d1-4b753a64ca6b", "跃入迷城")</f>
        <v>跃入迷城</v>
      </c>
      <c r="U168" t="inlineStr">
        <is>
          <t>4d92b9af-66d1-4cd7-95d1-4b753a64ca6b</t>
        </is>
      </c>
      <c r="V168" t="inlineStr">
        <is>
          <t>2aceaca3-d316-49fc-a123-b7f2a8837c77</t>
        </is>
      </c>
      <c r="W168"/>
      <c r="X168"/>
      <c r="Y168"/>
      <c r="Z168" t="inlineStr">
        <is>
          <t>0.0.3</t>
        </is>
      </c>
      <c r="AA168" t="inlineStr">
        <is>
          <t>AI</t>
        </is>
      </c>
      <c r="AB168" t="inlineStr">
        <is>
          <t>已完成</t>
        </is>
      </c>
      <c r="AC168" t="inlineStr">
        <is>
          <t>P0 - Must (not) Have</t>
        </is>
      </c>
      <c r="AD168"/>
      <c r="AE168"/>
    </row>
    <row r="169" ht="25.5" customHeight="1">
      <c r="A169" s="3" t="str">
        <f>=HYPERLINK("https://applink.feishu.cn/client/todo/detail?guid=e748bbc8-c504-4d28-8df6-b54794bbd621&amp;suite_entity_num=t100372", "异常状态系统")</f>
        <v>异常状态系统</v>
      </c>
      <c r="B169"/>
      <c r="C169" t="inlineStr">
        <is>
          <t>默认分组</t>
        </is>
      </c>
      <c r="D169"/>
      <c r="E169"/>
      <c r="F169" t="inlineStr">
        <is>
          <t>Decay</t>
        </is>
      </c>
      <c r="G169" t="inlineStr">
        <is>
          <t>Decay</t>
        </is>
      </c>
      <c r="H169" s="4">
        <v>45649.72248842593</v>
      </c>
      <c r="I169" s="4">
        <v>45667.60223379629</v>
      </c>
      <c r="J169" s="4"/>
      <c r="K169" s="4">
        <v>45667.602222222224</v>
      </c>
      <c r="L169">
        <v>0</v>
      </c>
      <c r="M169">
        <v>2</v>
      </c>
      <c r="N169" t="inlineStr">
        <is>
          <t>NzQxMzM4ODg5NzkxNDY2NzAwOTplNzQ4YmJjOC1jNTA0LTRkMjgtOGRmNi1iNTQ3OTRiYmQ2MjE6NDA1NzNhMDRlZGYzNGY0MzY3OGVkZGVlMmNjOTg2MWY6MQ==</t>
        </is>
      </c>
      <c r="O169" t="inlineStr">
        <is>
          <t>1</t>
        </is>
      </c>
      <c r="P169" t="inlineStr">
        <is>
          <t>或签任务</t>
        </is>
      </c>
      <c r="Q169" t="inlineStr">
        <is>
          <t>0</t>
        </is>
      </c>
      <c r="R169" t="inlineStr">
        <is>
          <t>Decay,龚政涛</t>
        </is>
      </c>
      <c r="S169" s="4"/>
      <c r="T169" s="3" t="str">
        <f>=HYPERLINK("https://applink.feishu.cn/client/todo/task_list?guid=4d92b9af-66d1-4cd7-95d1-4b753a64ca6b", "跃入迷城")</f>
        <v>跃入迷城</v>
      </c>
      <c r="U169" t="inlineStr">
        <is>
          <t>4d92b9af-66d1-4cd7-95d1-4b753a64ca6b</t>
        </is>
      </c>
      <c r="V169" t="inlineStr">
        <is>
          <t>e748bbc8-c504-4d28-8df6-b54794bbd621</t>
        </is>
      </c>
      <c r="W169"/>
      <c r="X169"/>
      <c r="Y169"/>
      <c r="Z169" t="inlineStr">
        <is>
          <t>0.0.3</t>
        </is>
      </c>
      <c r="AA169" t="inlineStr">
        <is>
          <t>程序底层</t>
        </is>
      </c>
      <c r="AB169" t="inlineStr">
        <is>
          <t>已完成</t>
        </is>
      </c>
      <c r="AC169"/>
      <c r="AD169"/>
      <c r="AE169"/>
    </row>
    <row r="170" ht="25.5" customHeight="1">
      <c r="A170" s="3" t="str">
        <f>=HYPERLINK("https://applink.feishu.cn/client/todo/detail?guid=848d3a64-ddd9-45be-9dea-1e0d7248b503&amp;suite_entity_num=t100355", "挖掘工")</f>
        <v>挖掘工</v>
      </c>
      <c r="B170"/>
      <c r="C170" t="inlineStr">
        <is>
          <t>默认分组</t>
        </is>
      </c>
      <c r="D170"/>
      <c r="E170"/>
      <c r="F170" t="inlineStr">
        <is>
          <t>李少秋</t>
        </is>
      </c>
      <c r="G170" t="inlineStr">
        <is>
          <t>龚政涛</t>
        </is>
      </c>
      <c r="H170" s="4">
        <v>45648.842256944445</v>
      </c>
      <c r="I170" s="4">
        <v>45657.30869212963</v>
      </c>
      <c r="J170" s="4">
        <v>45653.333333333336</v>
      </c>
      <c r="K170" s="4">
        <v>45733.71016203704</v>
      </c>
      <c r="L170">
        <v>0</v>
      </c>
      <c r="M170">
        <v>0</v>
      </c>
      <c r="N170" t="inlineStr">
        <is>
          <t>NzQxMzM4ODg5NzkxNDY2NzAwOTo4NDhkM2E2NC1kZGQ5LTQ1YmUtOWRlYS0xZTBkNzI0OGI1MDM6NzI5Yzg5ZTM5MzgyOGUxZGVjMjkyZGM1NTU4YzlhMWU6MQ==</t>
        </is>
      </c>
      <c r="O170" t="inlineStr">
        <is>
          <t>1</t>
        </is>
      </c>
      <c r="P170" t="inlineStr">
        <is>
          <t>或签任务</t>
        </is>
      </c>
      <c r="Q170" t="inlineStr">
        <is>
          <t>0</t>
        </is>
      </c>
      <c r="R170" t="inlineStr">
        <is>
          <t>龚政涛,李少秋</t>
        </is>
      </c>
      <c r="S170" s="4">
        <v>45653.333333333336</v>
      </c>
      <c r="T170" s="3" t="str">
        <f>=HYPERLINK("https://applink.feishu.cn/client/todo/task_list?guid=4d92b9af-66d1-4cd7-95d1-4b753a64ca6b", "跃入迷城")</f>
        <v>跃入迷城</v>
      </c>
      <c r="U170" t="inlineStr">
        <is>
          <t>4d92b9af-66d1-4cd7-95d1-4b753a64ca6b</t>
        </is>
      </c>
      <c r="V170" t="inlineStr">
        <is>
          <t>848d3a64-ddd9-45be-9dea-1e0d7248b503</t>
        </is>
      </c>
      <c r="W170"/>
      <c r="X170"/>
      <c r="Y170"/>
      <c r="Z170" t="inlineStr">
        <is>
          <t>0.0.4</t>
        </is>
      </c>
      <c r="AA170" t="inlineStr">
        <is>
          <t>AI</t>
        </is>
      </c>
      <c r="AB170" t="inlineStr">
        <is>
          <t>已完成</t>
        </is>
      </c>
      <c r="AC170" t="inlineStr">
        <is>
          <t>P0 - Must (not) Have</t>
        </is>
      </c>
      <c r="AD170"/>
      <c r="AE170"/>
    </row>
    <row r="171" ht="25.5" customHeight="1">
      <c r="A171" s="3" t="str">
        <f>=HYPERLINK("https://applink.feishu.cn/client/todo/detail?guid=29db56f9-8d80-45a4-80dd-ad7c28e41586&amp;suite_entity_num=t100364", "https://dikpa4hrtn9.feishu.cn/wiki/TVHDwqiUziiOeYkaluvcE9rdnJf- 角色制作 &lt; 🪡修改：调整了部分敌人的AI逻辑")</f>
        <v>https://dikpa4hrtn9.feishu.cn/wiki/TVHDwqiUziiOeYkaluvcE9rdnJf- 角色制作 &lt; 🪡修改：调整了部分敌人的AI逻辑</v>
      </c>
      <c r="B171"/>
      <c r="C171" t="inlineStr">
        <is>
          <t>默认分组</t>
        </is>
      </c>
      <c r="D171"/>
      <c r="E171"/>
      <c r="F171" t="inlineStr">
        <is>
          <t>陈麒升,龚政涛,Decay</t>
        </is>
      </c>
      <c r="G171" t="inlineStr">
        <is>
          <t>龚政涛</t>
        </is>
      </c>
      <c r="H171" s="4">
        <v>45649.46299768519</v>
      </c>
      <c r="I171" s="4"/>
      <c r="J171" s="4">
        <v>45919.333333333336</v>
      </c>
      <c r="K171" s="4">
        <v>45911.40993055556</v>
      </c>
      <c r="L171">
        <v>0</v>
      </c>
      <c r="M171">
        <v>10</v>
      </c>
      <c r="N171" t="inlineStr">
        <is>
          <t>NzQxMzM4ODg5NzkxNDY2NzAwOToyOWRiNTZmOS04ZDgwLTQ1YTQtODBkZC1hZDdjMjhlNDE1ODY6NTgyYTBkYjdlN2FkOTgyZWFkY2FiYzQ2M2I0NmM1ZmM6MQ==</t>
        </is>
      </c>
      <c r="O171" t="inlineStr">
        <is>
          <t>0</t>
        </is>
      </c>
      <c r="P171" t="inlineStr">
        <is>
          <t>或签任务</t>
        </is>
      </c>
      <c r="Q171" t="inlineStr">
        <is>
          <t>0</t>
        </is>
      </c>
      <c r="R171" t="inlineStr">
        <is>
          <t>李少秋,Decay,龚政涛,陈麒升</t>
        </is>
      </c>
      <c r="S171" s="4"/>
      <c r="T171" s="3" t="str">
        <f>=HYPERLINK("https://applink.feishu.cn/client/todo/task_list?guid=4d92b9af-66d1-4cd7-95d1-4b753a64ca6b", "跃入迷城")</f>
        <v>跃入迷城</v>
      </c>
      <c r="U171" t="inlineStr">
        <is>
          <t>4d92b9af-66d1-4cd7-95d1-4b753a64ca6b</t>
        </is>
      </c>
      <c r="V171" t="inlineStr">
        <is>
          <t>29db56f9-8d80-45a4-80dd-ad7c28e41586</t>
        </is>
      </c>
      <c r="W171" t="inlineStr">
        <is>
          <t>ae288124-eca5-4bb8-9c90-824a0dbb6abf</t>
        </is>
      </c>
      <c r="X171"/>
      <c r="Y171" t="inlineStr">
        <is>
          <t>74155b8e-e39e-4605-8fff-083e0187df5a</t>
        </is>
      </c>
      <c r="Z171" t="inlineStr">
        <is>
          <t>0.0.5</t>
        </is>
      </c>
      <c r="AA171" t="inlineStr">
        <is>
          <t>AI</t>
        </is>
      </c>
      <c r="AB171" t="inlineStr">
        <is>
          <t>已拆分</t>
        </is>
      </c>
      <c r="AC171" t="inlineStr">
        <is>
          <t>P1 - Bigger the Better</t>
        </is>
      </c>
      <c r="AD171" t="inlineStr">
        <is>
          <t>🎮玩法</t>
        </is>
      </c>
      <c r="AE171"/>
    </row>
    <row r="172" ht="25.5" customHeight="1">
      <c r="A172" s="3" t="str">
        <f>=HYPERLINK("https://applink.feishu.cn/client/todo/detail?guid=a0d5820e-aa8b-4852-9d33-d29385f18d00&amp;suite_entity_num=t100356", "重装工头")</f>
        <v>重装工头</v>
      </c>
      <c r="B172"/>
      <c r="C172" t="inlineStr">
        <is>
          <t>默认分组</t>
        </is>
      </c>
      <c r="D172"/>
      <c r="E172"/>
      <c r="F172" t="inlineStr">
        <is>
          <t>李少秋</t>
        </is>
      </c>
      <c r="G172" t="inlineStr">
        <is>
          <t>龚政涛</t>
        </is>
      </c>
      <c r="H172" s="4">
        <v>45648.842673611114</v>
      </c>
      <c r="I172" s="4">
        <v>45655.664814814816</v>
      </c>
      <c r="J172" s="4">
        <v>45654.333333333336</v>
      </c>
      <c r="K172" s="4">
        <v>45733.71024305555</v>
      </c>
      <c r="L172">
        <v>0</v>
      </c>
      <c r="M172">
        <v>0</v>
      </c>
      <c r="N172" t="inlineStr">
        <is>
          <t>NzQxMzM4ODg5NzkxNDY2NzAwOTphMGQ1ODIwZS1hYThiLTQ4NTItOWQzMy1kMjkzODVmMThkMDA6ZjExM2YyZTYzZDNiN2VjYjAxMmFlZDU2NTllZmE3ZWQ6MQ==</t>
        </is>
      </c>
      <c r="O172" t="inlineStr">
        <is>
          <t>1</t>
        </is>
      </c>
      <c r="P172" t="inlineStr">
        <is>
          <t>或签任务</t>
        </is>
      </c>
      <c r="Q172" t="inlineStr">
        <is>
          <t>0</t>
        </is>
      </c>
      <c r="R172" t="inlineStr">
        <is>
          <t>龚政涛,李少秋</t>
        </is>
      </c>
      <c r="S172" s="4">
        <v>45654.333333333336</v>
      </c>
      <c r="T172" s="3" t="str">
        <f>=HYPERLINK("https://applink.feishu.cn/client/todo/task_list?guid=4d92b9af-66d1-4cd7-95d1-4b753a64ca6b", "跃入迷城")</f>
        <v>跃入迷城</v>
      </c>
      <c r="U172" t="inlineStr">
        <is>
          <t>4d92b9af-66d1-4cd7-95d1-4b753a64ca6b</t>
        </is>
      </c>
      <c r="V172" t="inlineStr">
        <is>
          <t>a0d5820e-aa8b-4852-9d33-d29385f18d00</t>
        </is>
      </c>
      <c r="W172"/>
      <c r="X172"/>
      <c r="Y172"/>
      <c r="Z172" t="inlineStr">
        <is>
          <t>0.0.4</t>
        </is>
      </c>
      <c r="AA172" t="inlineStr">
        <is>
          <t>AI</t>
        </is>
      </c>
      <c r="AB172" t="inlineStr">
        <is>
          <t>已完成</t>
        </is>
      </c>
      <c r="AC172" t="inlineStr">
        <is>
          <t>P0 - Must (not) Have</t>
        </is>
      </c>
      <c r="AD172"/>
      <c r="AE172"/>
    </row>
    <row r="173" ht="25.5" customHeight="1">
      <c r="A173" s="3" t="str">
        <f>=HYPERLINK("https://applink.feishu.cn/client/todo/detail?guid=63c4acfc-0417-4a10-bd89-8ca1870e4cc0&amp;suite_entity_num=t100375", "v0.0.4 - 迭代开始")</f>
        <v>v0.0.4 - 迭代开始</v>
      </c>
      <c r="B173"/>
      <c r="C173" t="inlineStr">
        <is>
          <t>默认分组</t>
        </is>
      </c>
      <c r="D173"/>
      <c r="E173"/>
      <c r="F173" t="inlineStr">
        <is>
          <t>龚政涛</t>
        </is>
      </c>
      <c r="G173" t="inlineStr">
        <is>
          <t>龚政涛</t>
        </is>
      </c>
      <c r="H173" s="4">
        <v>45650.522673611114</v>
      </c>
      <c r="I173" s="4">
        <v>45691.671261574076</v>
      </c>
      <c r="J173" s="4">
        <v>45656.333333333336</v>
      </c>
      <c r="K173" s="4">
        <v>45691.671261574076</v>
      </c>
      <c r="L173">
        <v>0</v>
      </c>
      <c r="M173">
        <v>0</v>
      </c>
      <c r="N173" t="inlineStr">
        <is>
          <t>NzQxMzM4ODg5NzkxNDY2NzAwOTo2M2M0YWNmYy0wNDE3LTRhMTAtYmQ4OS04Y2ExODcwZTRjYzA6OTNjNDRkMTIyMWI3NWIwNjhiOThmMzAxMmE4YTczZTU6MQ==</t>
        </is>
      </c>
      <c r="O173" t="inlineStr">
        <is>
          <t>1</t>
        </is>
      </c>
      <c r="P173" t="inlineStr">
        <is>
          <t>或签任务</t>
        </is>
      </c>
      <c r="Q173" t="inlineStr">
        <is>
          <t>1</t>
        </is>
      </c>
      <c r="R173" t="inlineStr">
        <is>
          <t>龚政涛</t>
        </is>
      </c>
      <c r="S173" s="4">
        <v>45656.333333333336</v>
      </c>
      <c r="T173" s="3" t="str">
        <f>=HYPERLINK("https://applink.feishu.cn/client/todo/task_list?guid=4d92b9af-66d1-4cd7-95d1-4b753a64ca6b", "跃入迷城")</f>
        <v>跃入迷城</v>
      </c>
      <c r="U173" t="inlineStr">
        <is>
          <t>4d92b9af-66d1-4cd7-95d1-4b753a64ca6b</t>
        </is>
      </c>
      <c r="V173" t="inlineStr">
        <is>
          <t>63c4acfc-0417-4a10-bd89-8ca1870e4cc0</t>
        </is>
      </c>
      <c r="W173"/>
      <c r="X173"/>
      <c r="Y173"/>
      <c r="Z173" t="inlineStr">
        <is>
          <t>0.0.4</t>
        </is>
      </c>
      <c r="AA173" t="inlineStr">
        <is>
          <t>项目管理</t>
        </is>
      </c>
      <c r="AB173" t="inlineStr">
        <is>
          <t>工作中</t>
        </is>
      </c>
      <c r="AC173"/>
      <c r="AD173"/>
      <c r="AE173"/>
    </row>
    <row r="174" ht="25.5" customHeight="1">
      <c r="A174" s="3" t="str">
        <f>=HYPERLINK("https://applink.feishu.cn/client/todo/detail?guid=0fc7d16c-c75a-49ce-949d-b220185488a7&amp;suite_entity_num=t100365", "慢速移动追踪+攻击")</f>
        <v>慢速移动追踪+攻击</v>
      </c>
      <c r="B174"/>
      <c r="C174" t="inlineStr">
        <is>
          <t>默认分组</t>
        </is>
      </c>
      <c r="D174"/>
      <c r="E174"/>
      <c r="F174" t="inlineStr">
        <is>
          <t>李少秋</t>
        </is>
      </c>
      <c r="G174" t="inlineStr">
        <is>
          <t>龚政涛</t>
        </is>
      </c>
      <c r="H174" s="4">
        <v>45649.47143518519</v>
      </c>
      <c r="I174" s="4">
        <v>45673.51354166667</v>
      </c>
      <c r="J174" s="4">
        <v>45651.333333333336</v>
      </c>
      <c r="K174" s="4">
        <v>45673.513553240744</v>
      </c>
      <c r="L174">
        <v>0</v>
      </c>
      <c r="M174">
        <v>0</v>
      </c>
      <c r="N174" t="inlineStr">
        <is>
          <t>NzQxMzM4ODg5NzkxNDY2NzAwOTowZmM3ZDE2Yy1jNzVhLTQ5Y2UtOTQ5ZC1iMjIwMTg1NDg4YTc6OTgxM2JiNzE3YjFhMWQ5MjQyMTg3ZTQ3MGVkOTc4NDc6MQ==</t>
        </is>
      </c>
      <c r="O174" t="inlineStr">
        <is>
          <t>1</t>
        </is>
      </c>
      <c r="P174" t="inlineStr">
        <is>
          <t>或签任务</t>
        </is>
      </c>
      <c r="Q174" t="inlineStr">
        <is>
          <t>0</t>
        </is>
      </c>
      <c r="R174" t="inlineStr">
        <is>
          <t>龚政涛,李少秋</t>
        </is>
      </c>
      <c r="S174" s="4">
        <v>45651.333333333336</v>
      </c>
      <c r="T174" s="3" t="str">
        <f>=HYPERLINK("https://applink.feishu.cn/client/todo/task_list?guid=4d92b9af-66d1-4cd7-95d1-4b753a64ca6b", "跃入迷城")</f>
        <v>跃入迷城</v>
      </c>
      <c r="U174" t="inlineStr">
        <is>
          <t>4d92b9af-66d1-4cd7-95d1-4b753a64ca6b</t>
        </is>
      </c>
      <c r="V174" t="inlineStr">
        <is>
          <t>0fc7d16c-c75a-49ce-949d-b220185488a7</t>
        </is>
      </c>
      <c r="W174"/>
      <c r="X174"/>
      <c r="Y174"/>
      <c r="Z174" t="inlineStr">
        <is>
          <t>0.0.4</t>
        </is>
      </c>
      <c r="AA174" t="inlineStr">
        <is>
          <t>AI</t>
        </is>
      </c>
      <c r="AB174" t="inlineStr">
        <is>
          <t>已完成</t>
        </is>
      </c>
      <c r="AC174"/>
      <c r="AD174"/>
      <c r="AE174"/>
    </row>
    <row r="175" ht="25.5" customHeight="1">
      <c r="A175" s="3" t="str">
        <f>=HYPERLINK("https://applink.feishu.cn/client/todo/detail?guid=669c0f17-2150-40af-80dd-74f5fa847545&amp;suite_entity_num=t100366", "敌人的攻击对队友应该不造成伤害")</f>
        <v>敌人的攻击对队友应该不造成伤害</v>
      </c>
      <c r="B175"/>
      <c r="C175" t="inlineStr">
        <is>
          <t>默认分组</t>
        </is>
      </c>
      <c r="D175"/>
      <c r="E175"/>
      <c r="F175" t="inlineStr">
        <is>
          <t>Decay</t>
        </is>
      </c>
      <c r="G175" t="inlineStr">
        <is>
          <t>龚政涛</t>
        </is>
      </c>
      <c r="H175" s="4">
        <v>45649.47145833333</v>
      </c>
      <c r="I175" s="4">
        <v>45719.55975694444</v>
      </c>
      <c r="J175" s="4">
        <v>45651.333333333336</v>
      </c>
      <c r="K175" s="4">
        <v>45719.55976851852</v>
      </c>
      <c r="L175">
        <v>0</v>
      </c>
      <c r="M175">
        <v>0</v>
      </c>
      <c r="N175" t="inlineStr">
        <is>
          <t>NzQxMzM4ODg5NzkxNDY2NzAwOTo2NjljMGYxNy0yMTUwLTQwYWYtODBkZC03NGY1ZmE4NDc1NDU6ZDM5MWRjMTk3YTZlOTQyZDRlZDI1ZWYxMmQxYmM3MjQ6MQ==</t>
        </is>
      </c>
      <c r="O175" t="inlineStr">
        <is>
          <t>1</t>
        </is>
      </c>
      <c r="P175" t="inlineStr">
        <is>
          <t>或签任务</t>
        </is>
      </c>
      <c r="Q175" t="inlineStr">
        <is>
          <t>0</t>
        </is>
      </c>
      <c r="R175" t="inlineStr">
        <is>
          <t>龚政涛,Decay</t>
        </is>
      </c>
      <c r="S175" s="4">
        <v>45651.333333333336</v>
      </c>
      <c r="T175" s="3" t="str">
        <f>=HYPERLINK("https://applink.feishu.cn/client/todo/task_list?guid=4d92b9af-66d1-4cd7-95d1-4b753a64ca6b", "跃入迷城")</f>
        <v>跃入迷城</v>
      </c>
      <c r="U175" t="inlineStr">
        <is>
          <t>4d92b9af-66d1-4cd7-95d1-4b753a64ca6b</t>
        </is>
      </c>
      <c r="V175" t="inlineStr">
        <is>
          <t>669c0f17-2150-40af-80dd-74f5fa847545</t>
        </is>
      </c>
      <c r="W175"/>
      <c r="X175"/>
      <c r="Y175"/>
      <c r="Z175" t="inlineStr">
        <is>
          <t>0.0.4</t>
        </is>
      </c>
      <c r="AA175" t="inlineStr">
        <is>
          <t>AI</t>
        </is>
      </c>
      <c r="AB175" t="inlineStr">
        <is>
          <t>已完成</t>
        </is>
      </c>
      <c r="AC175" t="inlineStr">
        <is>
          <t>P1 - Bigger the Better</t>
        </is>
      </c>
      <c r="AD175"/>
      <c r="AE175"/>
    </row>
    <row r="176" ht="25.5" customHeight="1">
      <c r="A176" s="3" t="str">
        <f>=HYPERLINK("https://applink.feishu.cn/client/todo/detail?guid=00ac2844-0a0c-423b-9110-47b0eda1af8e&amp;suite_entity_num=t100357", "机修工")</f>
        <v>机修工</v>
      </c>
      <c r="B176"/>
      <c r="C176" t="inlineStr">
        <is>
          <t>默认分组</t>
        </is>
      </c>
      <c r="D176"/>
      <c r="E176"/>
      <c r="F176" t="inlineStr">
        <is>
          <t>李少秋</t>
        </is>
      </c>
      <c r="G176" t="inlineStr">
        <is>
          <t>龚政涛</t>
        </is>
      </c>
      <c r="H176" s="4">
        <v>45648.85287037037</v>
      </c>
      <c r="I176" s="4">
        <v>45655.66484953704</v>
      </c>
      <c r="J176" s="4">
        <v>45651.333333333336</v>
      </c>
      <c r="K176" s="4">
        <v>45733.710277777776</v>
      </c>
      <c r="L176">
        <v>0</v>
      </c>
      <c r="M176">
        <v>0</v>
      </c>
      <c r="N176" t="inlineStr">
        <is>
          <t>NzQxMzM4ODg5NzkxNDY2NzAwOTowMGFjMjg0NC0wYTBjLTQyM2ItOTExMC00N2IwZWRhMWFmOGU6MjNjNGFiMjg2NGUzMjYxZmNiMmM2YzczNzhjZDFhMTg6MQ==</t>
        </is>
      </c>
      <c r="O176" t="inlineStr">
        <is>
          <t>1</t>
        </is>
      </c>
      <c r="P176" t="inlineStr">
        <is>
          <t>或签任务</t>
        </is>
      </c>
      <c r="Q176" t="inlineStr">
        <is>
          <t>0</t>
        </is>
      </c>
      <c r="R176" t="inlineStr">
        <is>
          <t>龚政涛,李少秋</t>
        </is>
      </c>
      <c r="S176" s="4">
        <v>45651.333333333336</v>
      </c>
      <c r="T176" s="3" t="str">
        <f>=HYPERLINK("https://applink.feishu.cn/client/todo/task_list?guid=4d92b9af-66d1-4cd7-95d1-4b753a64ca6b", "跃入迷城")</f>
        <v>跃入迷城</v>
      </c>
      <c r="U176" t="inlineStr">
        <is>
          <t>4d92b9af-66d1-4cd7-95d1-4b753a64ca6b</t>
        </is>
      </c>
      <c r="V176" t="inlineStr">
        <is>
          <t>00ac2844-0a0c-423b-9110-47b0eda1af8e</t>
        </is>
      </c>
      <c r="W176"/>
      <c r="X176"/>
      <c r="Y176"/>
      <c r="Z176" t="inlineStr">
        <is>
          <t>0.0.4</t>
        </is>
      </c>
      <c r="AA176" t="inlineStr">
        <is>
          <t>AI</t>
        </is>
      </c>
      <c r="AB176" t="inlineStr">
        <is>
          <t>已完成</t>
        </is>
      </c>
      <c r="AC176" t="inlineStr">
        <is>
          <t>P0 - Must (not) Have</t>
        </is>
      </c>
      <c r="AD176"/>
      <c r="AE176"/>
    </row>
    <row r="177" ht="25.5" customHeight="1">
      <c r="A177" s="3" t="str">
        <f>=HYPERLINK("https://applink.feishu.cn/client/todo/detail?guid=59388cc9-15eb-44b7-8896-d835441643e8&amp;suite_entity_num=t100362", "管线技师")</f>
        <v>管线技师</v>
      </c>
      <c r="B177"/>
      <c r="C177" t="inlineStr">
        <is>
          <t>默认分组</t>
        </is>
      </c>
      <c r="D177"/>
      <c r="E177"/>
      <c r="F177" t="inlineStr">
        <is>
          <t>李少秋</t>
        </is>
      </c>
      <c r="G177" t="inlineStr">
        <is>
          <t>龚政涛</t>
        </is>
      </c>
      <c r="H177" s="4">
        <v>45648.9831712963</v>
      </c>
      <c r="I177" s="4">
        <v>45655.66480324074</v>
      </c>
      <c r="J177" s="4">
        <v>45655.333333333336</v>
      </c>
      <c r="K177" s="4">
        <v>45733.71008101852</v>
      </c>
      <c r="L177">
        <v>0</v>
      </c>
      <c r="M177">
        <v>0</v>
      </c>
      <c r="N177" t="inlineStr">
        <is>
          <t>NzQxMzM4ODg5NzkxNDY2NzAwOTo1OTM4OGNjOS0xNWViLTQ0YjctODg5Ni1kODM1NDQxNjQzZTg6OGY3NTZhMzM4ODZhYzI2MmQxMTU0YWNiNGFjNDlhZGI6MQ==</t>
        </is>
      </c>
      <c r="O177" t="inlineStr">
        <is>
          <t>1</t>
        </is>
      </c>
      <c r="P177" t="inlineStr">
        <is>
          <t>或签任务</t>
        </is>
      </c>
      <c r="Q177" t="inlineStr">
        <is>
          <t>0</t>
        </is>
      </c>
      <c r="R177" t="inlineStr">
        <is>
          <t>龚政涛,李少秋</t>
        </is>
      </c>
      <c r="S177" s="4">
        <v>45655.333333333336</v>
      </c>
      <c r="T177" s="3" t="str">
        <f>=HYPERLINK("https://applink.feishu.cn/client/todo/task_list?guid=4d92b9af-66d1-4cd7-95d1-4b753a64ca6b", "跃入迷城")</f>
        <v>跃入迷城</v>
      </c>
      <c r="U177" t="inlineStr">
        <is>
          <t>4d92b9af-66d1-4cd7-95d1-4b753a64ca6b</t>
        </is>
      </c>
      <c r="V177" t="inlineStr">
        <is>
          <t>59388cc9-15eb-44b7-8896-d835441643e8</t>
        </is>
      </c>
      <c r="W177"/>
      <c r="X177"/>
      <c r="Y177"/>
      <c r="Z177" t="inlineStr">
        <is>
          <t>0.0.4</t>
        </is>
      </c>
      <c r="AA177" t="inlineStr">
        <is>
          <t>AI</t>
        </is>
      </c>
      <c r="AB177" t="inlineStr">
        <is>
          <t>已完成</t>
        </is>
      </c>
      <c r="AC177" t="inlineStr">
        <is>
          <t>P0 - Must (not) Have</t>
        </is>
      </c>
      <c r="AD177"/>
      <c r="AE177"/>
    </row>
    <row r="178" ht="25.5" customHeight="1">
      <c r="A178" s="3" t="str">
        <f>=HYPERLINK("https://applink.feishu.cn/client/todo/detail?guid=75fdd796-4863-448f-a6bf-8464f226f76a&amp;suite_entity_num=t100354", "钉枪工")</f>
        <v>钉枪工</v>
      </c>
      <c r="B178"/>
      <c r="C178" t="inlineStr">
        <is>
          <t>默认分组</t>
        </is>
      </c>
      <c r="D178"/>
      <c r="E178"/>
      <c r="F178" t="inlineStr">
        <is>
          <t>李少秋</t>
        </is>
      </c>
      <c r="G178" t="inlineStr">
        <is>
          <t>龚政涛</t>
        </is>
      </c>
      <c r="H178" s="4">
        <v>45648.84224537037</v>
      </c>
      <c r="I178" s="4">
        <v>45655.664826388886</v>
      </c>
      <c r="J178" s="4">
        <v>45652.333333333336</v>
      </c>
      <c r="K178" s="4">
        <v>45655.66484953704</v>
      </c>
      <c r="L178">
        <v>0</v>
      </c>
      <c r="M178">
        <v>0</v>
      </c>
      <c r="N178" t="inlineStr">
        <is>
          <t>NzQxMzM4ODg5NzkxNDY2NzAwOTo3NWZkZDc5Ni00ODYzLTQ0OGYtYTZiZi04NDY0ZjIyNmY3NmE6MDE2ODU3ODI0ZjFmMWFhYjBkZWJhNzNmY2YwNDllODA6MQ==</t>
        </is>
      </c>
      <c r="O178" t="inlineStr">
        <is>
          <t>1</t>
        </is>
      </c>
      <c r="P178" t="inlineStr">
        <is>
          <t>或签任务</t>
        </is>
      </c>
      <c r="Q178" t="inlineStr">
        <is>
          <t>0</t>
        </is>
      </c>
      <c r="R178" t="inlineStr">
        <is>
          <t>龚政涛,李少秋</t>
        </is>
      </c>
      <c r="S178" s="4">
        <v>45652.333333333336</v>
      </c>
      <c r="T178" s="3" t="str">
        <f>=HYPERLINK("https://applink.feishu.cn/client/todo/task_list?guid=4d92b9af-66d1-4cd7-95d1-4b753a64ca6b", "跃入迷城")</f>
        <v>跃入迷城</v>
      </c>
      <c r="U178" t="inlineStr">
        <is>
          <t>4d92b9af-66d1-4cd7-95d1-4b753a64ca6b</t>
        </is>
      </c>
      <c r="V178" t="inlineStr">
        <is>
          <t>75fdd796-4863-448f-a6bf-8464f226f76a</t>
        </is>
      </c>
      <c r="W178"/>
      <c r="X178"/>
      <c r="Y178"/>
      <c r="Z178" t="inlineStr">
        <is>
          <t>0.0.4</t>
        </is>
      </c>
      <c r="AA178" t="inlineStr">
        <is>
          <t>AI</t>
        </is>
      </c>
      <c r="AB178" t="inlineStr">
        <is>
          <t>未开始</t>
        </is>
      </c>
      <c r="AC178"/>
      <c r="AD178"/>
      <c r="AE178"/>
    </row>
    <row r="179" ht="25.5" customHeight="1">
      <c r="A179" s="3" t="str">
        <f>=HYPERLINK("https://applink.feishu.cn/client/todo/detail?guid=3a11feef-57d1-4c0d-8827-8ebbc666d786&amp;suite_entity_num=t100373", "尝试制作符合“苏醒之路”风格的无脸标准头尺寸模型，基于Synty素材修改")</f>
        <v>尝试制作符合“苏醒之路”风格的无脸标准头尺寸模型，基于Synty素材修改</v>
      </c>
      <c r="B179"/>
      <c r="C179" t="inlineStr">
        <is>
          <t>默认分组</t>
        </is>
      </c>
      <c r="D179"/>
      <c r="E179"/>
      <c r="F179" t="inlineStr">
        <is>
          <t>薛远临</t>
        </is>
      </c>
      <c r="G179" t="inlineStr">
        <is>
          <t>龚政涛</t>
        </is>
      </c>
      <c r="H179" s="4">
        <v>45649.9666087963</v>
      </c>
      <c r="I179" s="4">
        <v>45673.033055555556</v>
      </c>
      <c r="J179" s="4">
        <v>45652.333333333336</v>
      </c>
      <c r="K179" s="4">
        <v>45673.03309027778</v>
      </c>
      <c r="L179">
        <v>0</v>
      </c>
      <c r="M179">
        <v>1</v>
      </c>
      <c r="N179" t="inlineStr">
        <is>
          <t>NzQxMzM4ODg5NzkxNDY2NzAwOTozYTExZmVlZi01N2QxLTRjMGQtODgyNy04ZWJiYzY2NmQ3ODY6MGEyYzkzNTE3YjdlZWI4ZGZiMzYxOGZhZDlmNTYwMzI6MQ==</t>
        </is>
      </c>
      <c r="O179" t="inlineStr">
        <is>
          <t>1</t>
        </is>
      </c>
      <c r="P179" t="inlineStr">
        <is>
          <t>或签任务</t>
        </is>
      </c>
      <c r="Q179" t="inlineStr">
        <is>
          <t>0</t>
        </is>
      </c>
      <c r="R179" t="inlineStr">
        <is>
          <t>薛远临,成都TA小刘,龚政涛</t>
        </is>
      </c>
      <c r="S179" s="4">
        <v>45650.333333333336</v>
      </c>
      <c r="T179" s="3" t="str">
        <f>=HYPERLINK("https://applink.feishu.cn/client/todo/task_list?guid=4d92b9af-66d1-4cd7-95d1-4b753a64ca6b", "跃入迷城")</f>
        <v>跃入迷城</v>
      </c>
      <c r="U179" t="inlineStr">
        <is>
          <t>4d92b9af-66d1-4cd7-95d1-4b753a64ca6b</t>
        </is>
      </c>
      <c r="V179" t="inlineStr">
        <is>
          <t>3a11feef-57d1-4c0d-8827-8ebbc666d786</t>
        </is>
      </c>
      <c r="W179"/>
      <c r="X179"/>
      <c r="Y179"/>
      <c r="Z179" t="inlineStr">
        <is>
          <t>0.0.4</t>
        </is>
      </c>
      <c r="AA179" t="inlineStr">
        <is>
          <t>模型</t>
        </is>
      </c>
      <c r="AB179" t="inlineStr">
        <is>
          <t>已完成</t>
        </is>
      </c>
      <c r="AC179"/>
      <c r="AD179"/>
      <c r="AE179"/>
    </row>
    <row r="180" ht="25.5" customHeight="1">
      <c r="A180" s="3" t="str">
        <f>=HYPERLINK("https://applink.feishu.cn/client/todo/detail?guid=1bfba706-e2ef-4efe-a29f-628637704650&amp;suite_entity_num=t100359", "调整Toon/Cel Shade")</f>
        <v>调整Toon/Cel Shade</v>
      </c>
      <c r="B180"/>
      <c r="C180" t="inlineStr">
        <is>
          <t>默认分组</t>
        </is>
      </c>
      <c r="D180"/>
      <c r="E180"/>
      <c r="F180" t="inlineStr">
        <is>
          <t>成都TA小刘</t>
        </is>
      </c>
      <c r="G180" t="inlineStr">
        <is>
          <t>龚政涛</t>
        </is>
      </c>
      <c r="H180" s="4">
        <v>45648.87604166667</v>
      </c>
      <c r="I180" s="4">
        <v>45672.991689814815</v>
      </c>
      <c r="J180" s="4">
        <v>45656.333333333336</v>
      </c>
      <c r="K180" s="4">
        <v>45672.991689814815</v>
      </c>
      <c r="L180">
        <v>0</v>
      </c>
      <c r="M180">
        <v>1</v>
      </c>
      <c r="N180" t="inlineStr">
        <is>
          <t>NzQxMzM4ODg5NzkxNDY2NzAwOToxYmZiYTcwNi1lMmVmLTRlZmUtYTI5Zi02Mjg2Mzc3MDQ2NTA6YmM1NTViZjAyZTQ2ZDZhZGI0NmI5ODk0YzM1ZTk1MDg6MQ==</t>
        </is>
      </c>
      <c r="O180" t="inlineStr">
        <is>
          <t>1</t>
        </is>
      </c>
      <c r="P180" t="inlineStr">
        <is>
          <t>或签任务</t>
        </is>
      </c>
      <c r="Q180" t="inlineStr">
        <is>
          <t>0</t>
        </is>
      </c>
      <c r="R180" t="inlineStr">
        <is>
          <t>成都TA小刘,龚政涛</t>
        </is>
      </c>
      <c r="S180" s="4">
        <v>45650.333333333336</v>
      </c>
      <c r="T180" s="3" t="str">
        <f>=HYPERLINK("https://applink.feishu.cn/client/todo/task_list?guid=4d92b9af-66d1-4cd7-95d1-4b753a64ca6b", "跃入迷城")</f>
        <v>跃入迷城</v>
      </c>
      <c r="U180" t="inlineStr">
        <is>
          <t>4d92b9af-66d1-4cd7-95d1-4b753a64ca6b</t>
        </is>
      </c>
      <c r="V180" t="inlineStr">
        <is>
          <t>1bfba706-e2ef-4efe-a29f-628637704650</t>
        </is>
      </c>
      <c r="W180"/>
      <c r="X180" t="inlineStr">
        <is>
          <t>a9931c2b-7a5e-4036-8310-d1e47eaafe09</t>
        </is>
      </c>
      <c r="Y180"/>
      <c r="Z180" t="inlineStr">
        <is>
          <t>0.0.4</t>
        </is>
      </c>
      <c r="AA180" t="inlineStr">
        <is>
          <t>平面美术</t>
        </is>
      </c>
      <c r="AB180" t="inlineStr">
        <is>
          <t>已完成</t>
        </is>
      </c>
      <c r="AC180"/>
      <c r="AD180"/>
      <c r="AE180"/>
    </row>
    <row r="181" ht="25.5" customHeight="1">
      <c r="A181" s="3" t="str">
        <f>=HYPERLINK("https://applink.feishu.cn/client/todo/detail?guid=985dc0b6-dfe6-4121-8a53-ee6c8833aa67&amp;suite_entity_num=t100374", "尝试制作Voxel模型，通过程序化生成+微调")</f>
        <v>尝试制作Voxel模型，通过程序化生成+微调</v>
      </c>
      <c r="B181"/>
      <c r="C181" t="inlineStr">
        <is>
          <t>默认分组</t>
        </is>
      </c>
      <c r="D181"/>
      <c r="E181"/>
      <c r="F181"/>
      <c r="G181" t="inlineStr">
        <is>
          <t>龚政涛</t>
        </is>
      </c>
      <c r="H181" s="4">
        <v>45649.966631944444</v>
      </c>
      <c r="I181" s="4">
        <v>45660.45644675926</v>
      </c>
      <c r="J181" s="4"/>
      <c r="K181" s="4">
        <v>45664.67461805556</v>
      </c>
      <c r="L181">
        <v>0</v>
      </c>
      <c r="M181">
        <v>1</v>
      </c>
      <c r="N181" t="inlineStr">
        <is>
          <t>NzQxMzM4ODg5NzkxNDY2NzAwOTo5ODVkYzBiNi1kZmU2LTQxMjEtOGE1My1lZTZjODgzM2FhNjc6ZjcwOTI4YjM5MzU2Mjk0ZTdhMDg1ZGRlZmU0ZjMwMDg6MQ==</t>
        </is>
      </c>
      <c r="O181" t="inlineStr">
        <is>
          <t>1</t>
        </is>
      </c>
      <c r="P181" t="inlineStr">
        <is>
          <t>或签任务</t>
        </is>
      </c>
      <c r="Q181" t="inlineStr">
        <is>
          <t>0</t>
        </is>
      </c>
      <c r="R181" t="inlineStr">
        <is>
          <t>龚政涛,成都TA小刘</t>
        </is>
      </c>
      <c r="S181" s="4"/>
      <c r="T181" s="3" t="str">
        <f>=HYPERLINK("https://applink.feishu.cn/client/todo/task_list?guid=4d92b9af-66d1-4cd7-95d1-4b753a64ca6b", "跃入迷城")</f>
        <v>跃入迷城</v>
      </c>
      <c r="U181" t="inlineStr">
        <is>
          <t>4d92b9af-66d1-4cd7-95d1-4b753a64ca6b</t>
        </is>
      </c>
      <c r="V181" t="inlineStr">
        <is>
          <t>985dc0b6-dfe6-4121-8a53-ee6c8833aa67</t>
        </is>
      </c>
      <c r="W181"/>
      <c r="X181"/>
      <c r="Y181"/>
      <c r="Z181" t="inlineStr">
        <is>
          <t>0.0.4</t>
        </is>
      </c>
      <c r="AA181" t="inlineStr">
        <is>
          <t>模型</t>
        </is>
      </c>
      <c r="AB181" t="inlineStr">
        <is>
          <t>已废弃</t>
        </is>
      </c>
      <c r="AC181"/>
      <c r="AD181"/>
      <c r="AE181"/>
    </row>
    <row r="182" ht="25.5" customHeight="1">
      <c r="A182" s="3" t="str">
        <f>=HYPERLINK("https://applink.feishu.cn/client/todo/detail?guid=71712865-2724-4e31-9626-b8dd026070ce&amp;suite_entity_num=t100376", "尝试缩小现有模型的头部尺寸")</f>
        <v>尝试缩小现有模型的头部尺寸</v>
      </c>
      <c r="B182"/>
      <c r="C182" t="inlineStr">
        <is>
          <t>默认分组</t>
        </is>
      </c>
      <c r="D182"/>
      <c r="E182"/>
      <c r="F182"/>
      <c r="G182" t="inlineStr">
        <is>
          <t>龚政涛</t>
        </is>
      </c>
      <c r="H182" s="4">
        <v>45651.60648148148</v>
      </c>
      <c r="I182" s="4">
        <v>45673.03306712963</v>
      </c>
      <c r="J182" s="4">
        <v>45649.333333333336</v>
      </c>
      <c r="K182" s="4">
        <v>45673.03309027778</v>
      </c>
      <c r="L182">
        <v>0</v>
      </c>
      <c r="M182">
        <v>0</v>
      </c>
      <c r="N182" t="inlineStr">
        <is>
          <t>NzQxMzM4ODg5NzkxNDY2NzAwOTo3MTcxMjg2NS0yNzI0LTRlMzEtOTYyNi1iOGRkMDI2MDcwY2U6OTg4ZGI1NGI5NzExMTBmNGEwYmM5OTA5MGFmNWUzOGQ6MQ==</t>
        </is>
      </c>
      <c r="O182" t="inlineStr">
        <is>
          <t>1</t>
        </is>
      </c>
      <c r="P182" t="inlineStr">
        <is>
          <t>或签任务</t>
        </is>
      </c>
      <c r="Q182" t="inlineStr">
        <is>
          <t>0</t>
        </is>
      </c>
      <c r="R182" t="inlineStr">
        <is>
          <t>龚政涛</t>
        </is>
      </c>
      <c r="S182" s="4">
        <v>45647.333333333336</v>
      </c>
      <c r="T182" s="3" t="str">
        <f>=HYPERLINK("https://applink.feishu.cn/client/todo/task_list?guid=4d92b9af-66d1-4cd7-95d1-4b753a64ca6b", "跃入迷城")</f>
        <v>跃入迷城</v>
      </c>
      <c r="U182" t="inlineStr">
        <is>
          <t>4d92b9af-66d1-4cd7-95d1-4b753a64ca6b</t>
        </is>
      </c>
      <c r="V182" t="inlineStr">
        <is>
          <t>71712865-2724-4e31-9626-b8dd026070ce</t>
        </is>
      </c>
      <c r="W182"/>
      <c r="X182"/>
      <c r="Y182"/>
      <c r="Z182" t="inlineStr">
        <is>
          <t>0.0.4</t>
        </is>
      </c>
      <c r="AA182" t="inlineStr">
        <is>
          <t>模型</t>
        </is>
      </c>
      <c r="AB182" t="inlineStr">
        <is>
          <t>已完成</t>
        </is>
      </c>
      <c r="AC182"/>
      <c r="AD182"/>
      <c r="AE182"/>
    </row>
    <row r="183" ht="25.5" customHeight="1">
      <c r="A183" s="3" t="str">
        <f>=HYPERLINK("https://applink.feishu.cn/client/todo/detail?guid=7b4b9bab-eb4b-474f-b7dd-536d00ec8954&amp;suite_entity_num=t100360", "制作战争迷雾Shader - 近身一圈战争迷雾")</f>
        <v>制作战争迷雾Shader - 近身一圈战争迷雾</v>
      </c>
      <c r="B183"/>
      <c r="C183" t="inlineStr">
        <is>
          <t>默认分组</t>
        </is>
      </c>
      <c r="D183"/>
      <c r="E183"/>
      <c r="F183" t="inlineStr">
        <is>
          <t>Decay</t>
        </is>
      </c>
      <c r="G183" t="inlineStr">
        <is>
          <t>龚政涛</t>
        </is>
      </c>
      <c r="H183" s="4">
        <v>45648.87604166667</v>
      </c>
      <c r="I183" s="4">
        <v>45721.81878472222</v>
      </c>
      <c r="J183" s="4">
        <v>45676.333333333336</v>
      </c>
      <c r="K183" s="4">
        <v>45721.818773148145</v>
      </c>
      <c r="L183">
        <v>0</v>
      </c>
      <c r="M183">
        <v>6</v>
      </c>
      <c r="N183" t="inlineStr">
        <is>
          <t>NzQxMzM4ODg5NzkxNDY2NzAwOTo3YjRiOWJhYi1lYjRiLTQ3NGYtYjdkZC01MzZkMDBlYzg5NTQ6ZWE4OWFkNjM0YzQ1NWQ4NWUxMjYyOThmNGJhNGQ3MWE6MQ==</t>
        </is>
      </c>
      <c r="O183" t="inlineStr">
        <is>
          <t>1</t>
        </is>
      </c>
      <c r="P183" t="inlineStr">
        <is>
          <t>或签任务</t>
        </is>
      </c>
      <c r="Q183" t="inlineStr">
        <is>
          <t>0</t>
        </is>
      </c>
      <c r="R183" t="inlineStr">
        <is>
          <t>龚政涛,成都TA小刘,Decay</t>
        </is>
      </c>
      <c r="S183" s="4">
        <v>45665.333333333336</v>
      </c>
      <c r="T183" s="3" t="str">
        <f>=HYPERLINK("https://applink.feishu.cn/client/todo/task_list?guid=4d92b9af-66d1-4cd7-95d1-4b753a64ca6b", "跃入迷城")</f>
        <v>跃入迷城</v>
      </c>
      <c r="U183" t="inlineStr">
        <is>
          <t>4d92b9af-66d1-4cd7-95d1-4b753a64ca6b</t>
        </is>
      </c>
      <c r="V183" t="inlineStr">
        <is>
          <t>7b4b9bab-eb4b-474f-b7dd-536d00ec8954</t>
        </is>
      </c>
      <c r="W183"/>
      <c r="X183"/>
      <c r="Y183"/>
      <c r="Z183" t="inlineStr">
        <is>
          <t>0.0.4</t>
        </is>
      </c>
      <c r="AA183" t="inlineStr">
        <is>
          <t>平面美术</t>
        </is>
      </c>
      <c r="AB183" t="inlineStr">
        <is>
          <t>已完成</t>
        </is>
      </c>
      <c r="AC183" t="inlineStr">
        <is>
          <t>P0 - Must (not) Have</t>
        </is>
      </c>
      <c r="AD183"/>
      <c r="AE183"/>
    </row>
    <row r="184" ht="25.5" customHeight="1">
      <c r="A184" s="3" t="str">
        <f>=HYPERLINK("https://applink.feishu.cn/client/todo/detail?guid=8fb25792-624b-4f2f-8d43-ed55ac7ebe67&amp;suite_entity_num=t100361", "修复描边问题")</f>
        <v>修复描边问题</v>
      </c>
      <c r="B184"/>
      <c r="C184" t="inlineStr">
        <is>
          <t>默认分组</t>
        </is>
      </c>
      <c r="D184"/>
      <c r="E184"/>
      <c r="F184" t="inlineStr">
        <is>
          <t>成都TA小刘</t>
        </is>
      </c>
      <c r="G184" t="inlineStr">
        <is>
          <t>龚政涛</t>
        </is>
      </c>
      <c r="H184" s="4">
        <v>45648.87605324074</v>
      </c>
      <c r="I184" s="4">
        <v>45672.97304398148</v>
      </c>
      <c r="J184" s="4">
        <v>45672.333333333336</v>
      </c>
      <c r="K184" s="4">
        <v>45733.710381944446</v>
      </c>
      <c r="L184">
        <v>0</v>
      </c>
      <c r="M184">
        <v>0</v>
      </c>
      <c r="N184" t="inlineStr">
        <is>
          <t>NzQxMzM4ODg5NzkxNDY2NzAwOTo4ZmIyNTc5Mi02MjRiLTRmMmYtOGQ0My1lZDU1YWM3ZWJlNjc6YjQwM2ZjZWVmNDEyZDc0ZjRjYWY4ZmM5NmM4OWMxZjg6MQ==</t>
        </is>
      </c>
      <c r="O184" t="inlineStr">
        <is>
          <t>1</t>
        </is>
      </c>
      <c r="P184" t="inlineStr">
        <is>
          <t>或签任务</t>
        </is>
      </c>
      <c r="Q184" t="inlineStr">
        <is>
          <t>0</t>
        </is>
      </c>
      <c r="R184" t="inlineStr">
        <is>
          <t>龚政涛,成都TA小刘</t>
        </is>
      </c>
      <c r="S184" s="4">
        <v>45670.333333333336</v>
      </c>
      <c r="T184" s="3" t="str">
        <f>=HYPERLINK("https://applink.feishu.cn/client/todo/task_list?guid=4d92b9af-66d1-4cd7-95d1-4b753a64ca6b", "跃入迷城")</f>
        <v>跃入迷城</v>
      </c>
      <c r="U184" t="inlineStr">
        <is>
          <t>4d92b9af-66d1-4cd7-95d1-4b753a64ca6b</t>
        </is>
      </c>
      <c r="V184" t="inlineStr">
        <is>
          <t>8fb25792-624b-4f2f-8d43-ed55ac7ebe67</t>
        </is>
      </c>
      <c r="W184"/>
      <c r="X184"/>
      <c r="Y184"/>
      <c r="Z184" t="inlineStr">
        <is>
          <t>0.0.4</t>
        </is>
      </c>
      <c r="AA184" t="inlineStr">
        <is>
          <t>平面美术</t>
        </is>
      </c>
      <c r="AB184" t="inlineStr">
        <is>
          <t>已完成</t>
        </is>
      </c>
      <c r="AC184" t="inlineStr">
        <is>
          <t>P0 - Must (not) Have</t>
        </is>
      </c>
      <c r="AD184"/>
      <c r="AE184"/>
    </row>
    <row r="185" ht="25.5" customHeight="1">
      <c r="A185" s="3" t="str">
        <f>=HYPERLINK("https://applink.feishu.cn/client/todo/detail?guid=7b2e0e15-cd69-438f-8d02-61170e8f1aa4&amp;suite_entity_num=t100363", "武器技能配置到Spell后，随机生成一个给实际获取到的武器")</f>
        <v>武器技能配置到Spell后，随机生成一个给实际获取到的武器</v>
      </c>
      <c r="B185"/>
      <c r="C185" t="inlineStr">
        <is>
          <t>默认分组</t>
        </is>
      </c>
      <c r="D185"/>
      <c r="E185"/>
      <c r="F185" t="inlineStr">
        <is>
          <t>Decay</t>
        </is>
      </c>
      <c r="G185" t="inlineStr">
        <is>
          <t>龚政涛</t>
        </is>
      </c>
      <c r="H185" s="4">
        <v>45649.4174537037</v>
      </c>
      <c r="I185" s="4">
        <v>45721.819386574076</v>
      </c>
      <c r="J185" s="4">
        <v>45656.333333333336</v>
      </c>
      <c r="K185" s="4">
        <v>45721.819375</v>
      </c>
      <c r="L185">
        <v>0</v>
      </c>
      <c r="M185">
        <v>1</v>
      </c>
      <c r="N185" t="inlineStr">
        <is>
          <t>NzQxMzM4ODg5NzkxNDY2NzAwOTo3YjJlMGUxNS1jZDY5LTQzOGYtOGQwMi02MTE3MGU4ZjFhYTQ6YWYwYTZiOTZhNTMzMzFiMTRiODAzZjA5NjVkNDg0NzI6MQ==</t>
        </is>
      </c>
      <c r="O185" t="inlineStr">
        <is>
          <t>1</t>
        </is>
      </c>
      <c r="P185" t="inlineStr">
        <is>
          <t>或签任务</t>
        </is>
      </c>
      <c r="Q185" t="inlineStr">
        <is>
          <t>0</t>
        </is>
      </c>
      <c r="R185" t="inlineStr">
        <is>
          <t>Decay,龚政涛</t>
        </is>
      </c>
      <c r="S185" s="4">
        <v>45656.333333333336</v>
      </c>
      <c r="T185" s="3" t="str">
        <f>=HYPERLINK("https://applink.feishu.cn/client/todo/task_list?guid=4d92b9af-66d1-4cd7-95d1-4b753a64ca6b", "跃入迷城")</f>
        <v>跃入迷城</v>
      </c>
      <c r="U185" t="inlineStr">
        <is>
          <t>4d92b9af-66d1-4cd7-95d1-4b753a64ca6b</t>
        </is>
      </c>
      <c r="V185" t="inlineStr">
        <is>
          <t>7b2e0e15-cd69-438f-8d02-61170e8f1aa4</t>
        </is>
      </c>
      <c r="W185"/>
      <c r="X185"/>
      <c r="Y185"/>
      <c r="Z185" t="inlineStr">
        <is>
          <t>0.0.4</t>
        </is>
      </c>
      <c r="AA185" t="inlineStr">
        <is>
          <t>装备</t>
        </is>
      </c>
      <c r="AB185" t="inlineStr">
        <is>
          <t>已完成</t>
        </is>
      </c>
      <c r="AC185" t="inlineStr">
        <is>
          <t>P0 - Must (not) Have</t>
        </is>
      </c>
      <c r="AD185"/>
      <c r="AE185"/>
    </row>
    <row r="186" ht="25.5" customHeight="1">
      <c r="A186" s="3" t="str">
        <f>=HYPERLINK("https://applink.feishu.cn/client/todo/detail?guid=82bf0c5a-385c-4d00-b473-5d81fcb1e22a&amp;suite_entity_num=t100377", "玩家改为激光瞄准")</f>
        <v>玩家改为激光瞄准</v>
      </c>
      <c r="B186"/>
      <c r="C186" t="inlineStr">
        <is>
          <t>默认分组</t>
        </is>
      </c>
      <c r="D186"/>
      <c r="E186"/>
      <c r="F186" t="inlineStr">
        <is>
          <t>Decay</t>
        </is>
      </c>
      <c r="G186" t="inlineStr">
        <is>
          <t>龚政涛</t>
        </is>
      </c>
      <c r="H186" s="4">
        <v>45651.667175925926</v>
      </c>
      <c r="I186" s="4">
        <v>45673.51325231481</v>
      </c>
      <c r="J186" s="4"/>
      <c r="K186" s="4">
        <v>45673.51327546296</v>
      </c>
      <c r="L186">
        <v>0</v>
      </c>
      <c r="M186">
        <v>0</v>
      </c>
      <c r="N186" t="inlineStr">
        <is>
          <t>NzQxMzM4ODg5NzkxNDY2NzAwOTo4MmJmMGM1YS0zODVjLTRkMDAtYjQ3My01ZDgxZmNiMWUyMmE6OGU5ZDU1MTE1MmJkMjU1ODg1MTNiZDc5OTQ2YzI5Zjk6MQ==</t>
        </is>
      </c>
      <c r="O186" t="inlineStr">
        <is>
          <t>1</t>
        </is>
      </c>
      <c r="P186" t="inlineStr">
        <is>
          <t>或签任务</t>
        </is>
      </c>
      <c r="Q186" t="inlineStr">
        <is>
          <t>0</t>
        </is>
      </c>
      <c r="R186" t="inlineStr">
        <is>
          <t>龚政涛,Decay</t>
        </is>
      </c>
      <c r="S186" s="4"/>
      <c r="T186" s="3" t="str">
        <f>=HYPERLINK("https://applink.feishu.cn/client/todo/task_list?guid=4d92b9af-66d1-4cd7-95d1-4b753a64ca6b", "跃入迷城")</f>
        <v>跃入迷城</v>
      </c>
      <c r="U186" t="inlineStr">
        <is>
          <t>4d92b9af-66d1-4cd7-95d1-4b753a64ca6b</t>
        </is>
      </c>
      <c r="V186" t="inlineStr">
        <is>
          <t>82bf0c5a-385c-4d00-b473-5d81fcb1e22a</t>
        </is>
      </c>
      <c r="W186"/>
      <c r="X186"/>
      <c r="Y186"/>
      <c r="Z186" t="inlineStr">
        <is>
          <t>0.0.4</t>
        </is>
      </c>
      <c r="AA186" t="inlineStr">
        <is>
          <t>操作</t>
        </is>
      </c>
      <c r="AB186" t="inlineStr">
        <is>
          <t>已完成</t>
        </is>
      </c>
      <c r="AC186"/>
      <c r="AD186"/>
      <c r="AE186"/>
    </row>
    <row r="187" ht="25.5" customHeight="1">
      <c r="A187" s="3" t="str">
        <f>=HYPERLINK("https://applink.feishu.cn/client/todo/detail?guid=280df4fc-83b8-419a-b962-915ab1dc3c99&amp;suite_entity_num=t100378", "调整动画卡帧方案，拆成前、中、后摇3个步骤")</f>
        <v>调整动画卡帧方案，拆成前、中、后摇3个步骤</v>
      </c>
      <c r="B187"/>
      <c r="C187" t="inlineStr">
        <is>
          <t>默认分组</t>
        </is>
      </c>
      <c r="D187"/>
      <c r="E187"/>
      <c r="F187" t="inlineStr">
        <is>
          <t>Decay</t>
        </is>
      </c>
      <c r="G187" t="inlineStr">
        <is>
          <t>龚政涛</t>
        </is>
      </c>
      <c r="H187" s="4">
        <v>45651.667233796295</v>
      </c>
      <c r="I187" s="4">
        <v>45750.44429398148</v>
      </c>
      <c r="J187" s="4">
        <v>45733.333333333336</v>
      </c>
      <c r="K187" s="4">
        <v>45866.691608796296</v>
      </c>
      <c r="L187">
        <v>0</v>
      </c>
      <c r="M187">
        <v>5</v>
      </c>
      <c r="N187" t="inlineStr">
        <is>
          <t>NzQxMzM4ODg5NzkxNDY2NzAwOToyODBkZjRmYy04M2I4LTQxOWEtYjk2Mi05MTVhYjFkYzNjOTk6YjIwOTE4ODAwYzM0Mzc0ODdkNWJkY2JmNGJjZTA0ZTM6MQ==</t>
        </is>
      </c>
      <c r="O187" t="inlineStr">
        <is>
          <t>1</t>
        </is>
      </c>
      <c r="P187" t="inlineStr">
        <is>
          <t>或签任务</t>
        </is>
      </c>
      <c r="Q187" t="inlineStr">
        <is>
          <t>0</t>
        </is>
      </c>
      <c r="R187" t="inlineStr">
        <is>
          <t>龚政涛,Decay</t>
        </is>
      </c>
      <c r="S187" s="4">
        <v>45733.333333333336</v>
      </c>
      <c r="T187" s="3" t="str">
        <f>=HYPERLINK("https://applink.feishu.cn/client/todo/task_list?guid=4d92b9af-66d1-4cd7-95d1-4b753a64ca6b", "跃入迷城")</f>
        <v>跃入迷城</v>
      </c>
      <c r="U187" t="inlineStr">
        <is>
          <t>4d92b9af-66d1-4cd7-95d1-4b753a64ca6b</t>
        </is>
      </c>
      <c r="V187" t="inlineStr">
        <is>
          <t>280df4fc-83b8-419a-b962-915ab1dc3c99</t>
        </is>
      </c>
      <c r="W187"/>
      <c r="X187"/>
      <c r="Y187"/>
      <c r="Z187" t="inlineStr">
        <is>
          <t>0.0.5</t>
        </is>
      </c>
      <c r="AA187" t="inlineStr">
        <is>
          <t>动画</t>
        </is>
      </c>
      <c r="AB187" t="inlineStr">
        <is>
          <t>未开始</t>
        </is>
      </c>
      <c r="AC187" t="inlineStr">
        <is>
          <t>P0 - Must (not) Have</t>
        </is>
      </c>
      <c r="AD187" t="inlineStr">
        <is>
          <t>🛠️技术</t>
        </is>
      </c>
      <c r="AE187"/>
    </row>
    <row r="188" ht="25.5" customHeight="1">
      <c r="A188" s="3" t="str">
        <f>=HYPERLINK("https://applink.feishu.cn/client/todo/detail?guid=b52cdd8f-abfe-49bd-b129-4fbc5786a5b9&amp;suite_entity_num=t100367", "技能释放方式：瞬发")</f>
        <v>技能释放方式：瞬发</v>
      </c>
      <c r="B188"/>
      <c r="C188" t="inlineStr">
        <is>
          <t>默认分组</t>
        </is>
      </c>
      <c r="D188"/>
      <c r="E188"/>
      <c r="F188" t="inlineStr">
        <is>
          <t>Decay</t>
        </is>
      </c>
      <c r="G188" t="inlineStr">
        <is>
          <t>龚政涛</t>
        </is>
      </c>
      <c r="H188" s="4">
        <v>45649.47226851852</v>
      </c>
      <c r="I188" s="4">
        <v>45666.4703125</v>
      </c>
      <c r="J188" s="4"/>
      <c r="K188" s="4">
        <v>45666.4703125</v>
      </c>
      <c r="L188">
        <v>0</v>
      </c>
      <c r="M188">
        <v>3</v>
      </c>
      <c r="N188" t="inlineStr">
        <is>
          <t>NzQxMzM4ODg5NzkxNDY2NzAwOTpiNTJjZGQ4Zi1hYmZlLTQ5YmQtYjEyOS00ZmJjNTc4NmE1Yjk6ZWM0MGI4ZWNmOTQyZmUwNTQ1ZDVlMGE4YzA1OGRmYTk6MQ==</t>
        </is>
      </c>
      <c r="O188" t="inlineStr">
        <is>
          <t>1</t>
        </is>
      </c>
      <c r="P188" t="inlineStr">
        <is>
          <t>或签任务</t>
        </is>
      </c>
      <c r="Q188" t="inlineStr">
        <is>
          <t>0</t>
        </is>
      </c>
      <c r="R188" t="inlineStr">
        <is>
          <t>龚政涛,Decay</t>
        </is>
      </c>
      <c r="S188" s="4"/>
      <c r="T188" s="3" t="str">
        <f>=HYPERLINK("https://applink.feishu.cn/client/todo/task_list?guid=4d92b9af-66d1-4cd7-95d1-4b753a64ca6b", "跃入迷城")</f>
        <v>跃入迷城</v>
      </c>
      <c r="U188" t="inlineStr">
        <is>
          <t>4d92b9af-66d1-4cd7-95d1-4b753a64ca6b</t>
        </is>
      </c>
      <c r="V188" t="inlineStr">
        <is>
          <t>b52cdd8f-abfe-49bd-b129-4fbc5786a5b9</t>
        </is>
      </c>
      <c r="W188"/>
      <c r="X188"/>
      <c r="Y188"/>
      <c r="Z188" t="inlineStr">
        <is>
          <t>0.0.4</t>
        </is>
      </c>
      <c r="AA188" t="inlineStr">
        <is>
          <t>技能</t>
        </is>
      </c>
      <c r="AB188" t="inlineStr">
        <is>
          <t>已完成</t>
        </is>
      </c>
      <c r="AC188"/>
      <c r="AD188"/>
      <c r="AE188"/>
    </row>
    <row r="189" ht="25.5" customHeight="1">
      <c r="A189" s="3" t="str">
        <f>=HYPERLINK("https://applink.feishu.cn/client/todo/detail?guid=7a64a8d8-e05d-49e0-9727-760caabdbc0a&amp;suite_entity_num=t100370", "技能释放方式：瞄准")</f>
        <v>技能释放方式：瞄准</v>
      </c>
      <c r="B189"/>
      <c r="C189" t="inlineStr">
        <is>
          <t>默认分组</t>
        </is>
      </c>
      <c r="D189"/>
      <c r="E189"/>
      <c r="F189" t="inlineStr">
        <is>
          <t>Decay</t>
        </is>
      </c>
      <c r="G189" t="inlineStr">
        <is>
          <t>龚政涛</t>
        </is>
      </c>
      <c r="H189" s="4">
        <v>45649.47247685185</v>
      </c>
      <c r="I189" s="4">
        <v>45666.46753472222</v>
      </c>
      <c r="J189" s="4"/>
      <c r="K189" s="4">
        <v>45666.4675462963</v>
      </c>
      <c r="L189">
        <v>0</v>
      </c>
      <c r="M189">
        <v>2</v>
      </c>
      <c r="N189" t="inlineStr">
        <is>
          <t>NzQxMzM4ODg5NzkxNDY2NzAwOTo3YTY0YThkOC1lMDVkLTQ5ZTAtOTcyNy03NjBjYWFiZGJjMGE6NzkwYTg3ZjZlZmQxYzAyNjk0OTUxYzI5NmNmNDljMmE6MQ==</t>
        </is>
      </c>
      <c r="O189" t="inlineStr">
        <is>
          <t>1</t>
        </is>
      </c>
      <c r="P189" t="inlineStr">
        <is>
          <t>或签任务</t>
        </is>
      </c>
      <c r="Q189" t="inlineStr">
        <is>
          <t>0</t>
        </is>
      </c>
      <c r="R189" t="inlineStr">
        <is>
          <t>龚政涛,Decay</t>
        </is>
      </c>
      <c r="S189" s="4"/>
      <c r="T189" s="3" t="str">
        <f>=HYPERLINK("https://applink.feishu.cn/client/todo/task_list?guid=4d92b9af-66d1-4cd7-95d1-4b753a64ca6b", "跃入迷城")</f>
        <v>跃入迷城</v>
      </c>
      <c r="U189" t="inlineStr">
        <is>
          <t>4d92b9af-66d1-4cd7-95d1-4b753a64ca6b</t>
        </is>
      </c>
      <c r="V189" t="inlineStr">
        <is>
          <t>7a64a8d8-e05d-49e0-9727-760caabdbc0a</t>
        </is>
      </c>
      <c r="W189"/>
      <c r="X189"/>
      <c r="Y189"/>
      <c r="Z189" t="inlineStr">
        <is>
          <t>0.0.4</t>
        </is>
      </c>
      <c r="AA189" t="inlineStr">
        <is>
          <t>技能</t>
        </is>
      </c>
      <c r="AB189" t="inlineStr">
        <is>
          <t>已完成</t>
        </is>
      </c>
      <c r="AC189"/>
      <c r="AD189"/>
      <c r="AE189"/>
    </row>
    <row r="190" ht="25.5" customHeight="1">
      <c r="A190" s="3" t="str">
        <f>=HYPERLINK("https://applink.feishu.cn/client/todo/detail?guid=87ef08c6-f2e1-4ec1-97e7-af1973a41306&amp;suite_entity_num=t100369", "技能释放方式：蓄力")</f>
        <v>技能释放方式：蓄力</v>
      </c>
      <c r="B190"/>
      <c r="C190" t="inlineStr">
        <is>
          <t>默认分组</t>
        </is>
      </c>
      <c r="D190"/>
      <c r="E190"/>
      <c r="F190" t="inlineStr">
        <is>
          <t>Decay</t>
        </is>
      </c>
      <c r="G190" t="inlineStr">
        <is>
          <t>龚政涛</t>
        </is>
      </c>
      <c r="H190" s="4">
        <v>45649.472453703704</v>
      </c>
      <c r="I190" s="4">
        <v>45666.47085648148</v>
      </c>
      <c r="J190" s="4"/>
      <c r="K190" s="4">
        <v>45666.47084490741</v>
      </c>
      <c r="L190">
        <v>0</v>
      </c>
      <c r="M190">
        <v>2</v>
      </c>
      <c r="N190" t="inlineStr">
        <is>
          <t>NzQxMzM4ODg5NzkxNDY2NzAwOTo4N2VmMDhjNi1mMmUxLTRlYzEtOTdlNy1hZjE5NzNhNDEzMDY6NzAzMGE5ZjgyOWEwYWI3NDU2N2UxNmE4ZmU1Mjg0YzQ6MQ==</t>
        </is>
      </c>
      <c r="O190" t="inlineStr">
        <is>
          <t>1</t>
        </is>
      </c>
      <c r="P190" t="inlineStr">
        <is>
          <t>或签任务</t>
        </is>
      </c>
      <c r="Q190" t="inlineStr">
        <is>
          <t>0</t>
        </is>
      </c>
      <c r="R190" t="inlineStr">
        <is>
          <t>龚政涛,Decay</t>
        </is>
      </c>
      <c r="S190" s="4"/>
      <c r="T190" s="3" t="str">
        <f>=HYPERLINK("https://applink.feishu.cn/client/todo/task_list?guid=4d92b9af-66d1-4cd7-95d1-4b753a64ca6b", "跃入迷城")</f>
        <v>跃入迷城</v>
      </c>
      <c r="U190" t="inlineStr">
        <is>
          <t>4d92b9af-66d1-4cd7-95d1-4b753a64ca6b</t>
        </is>
      </c>
      <c r="V190" t="inlineStr">
        <is>
          <t>87ef08c6-f2e1-4ec1-97e7-af1973a41306</t>
        </is>
      </c>
      <c r="W190"/>
      <c r="X190"/>
      <c r="Y190"/>
      <c r="Z190" t="inlineStr">
        <is>
          <t>0.0.4</t>
        </is>
      </c>
      <c r="AA190" t="inlineStr">
        <is>
          <t>技能</t>
        </is>
      </c>
      <c r="AB190" t="inlineStr">
        <is>
          <t>已完成</t>
        </is>
      </c>
      <c r="AC190"/>
      <c r="AD190"/>
      <c r="AE190"/>
    </row>
    <row r="191" ht="25.5" customHeight="1">
      <c r="A191" s="3" t="str">
        <f>=HYPERLINK("https://applink.feishu.cn/client/todo/detail?guid=024c1a50-339a-431c-aaba-be2391c32fd0&amp;suite_entity_num=t100371", "技能释放方式：引导")</f>
        <v>技能释放方式：引导</v>
      </c>
      <c r="B191"/>
      <c r="C191" t="inlineStr">
        <is>
          <t>默认分组</t>
        </is>
      </c>
      <c r="D191"/>
      <c r="E191"/>
      <c r="F191" t="inlineStr">
        <is>
          <t>Decay</t>
        </is>
      </c>
      <c r="G191" t="inlineStr">
        <is>
          <t>龚政涛</t>
        </is>
      </c>
      <c r="H191" s="4">
        <v>45649.47253472222</v>
      </c>
      <c r="I191" s="4">
        <v>45673.51412037037</v>
      </c>
      <c r="J191" s="4"/>
      <c r="K191" s="4">
        <v>45673.51414351852</v>
      </c>
      <c r="L191">
        <v>0</v>
      </c>
      <c r="M191">
        <v>16</v>
      </c>
      <c r="N191" t="inlineStr">
        <is>
          <t>NzQxMzM4ODg5NzkxNDY2NzAwOTowMjRjMWE1MC0zMzlhLTQzMWMtYWFiYS1iZTIzOTFjMzJmZDA6MTY3MzVjMWY1ODc3ZjNlODQ3ZjY0MDJiZmRiZjY2YmM6MQ==</t>
        </is>
      </c>
      <c r="O191" t="inlineStr">
        <is>
          <t>1</t>
        </is>
      </c>
      <c r="P191" t="inlineStr">
        <is>
          <t>或签任务</t>
        </is>
      </c>
      <c r="Q191" t="inlineStr">
        <is>
          <t>0</t>
        </is>
      </c>
      <c r="R191" t="inlineStr">
        <is>
          <t>龚政涛,Decay</t>
        </is>
      </c>
      <c r="S191" s="4"/>
      <c r="T191" s="3" t="str">
        <f>=HYPERLINK("https://applink.feishu.cn/client/todo/task_list?guid=4d92b9af-66d1-4cd7-95d1-4b753a64ca6b", "跃入迷城")</f>
        <v>跃入迷城</v>
      </c>
      <c r="U191" t="inlineStr">
        <is>
          <t>4d92b9af-66d1-4cd7-95d1-4b753a64ca6b</t>
        </is>
      </c>
      <c r="V191" t="inlineStr">
        <is>
          <t>024c1a50-339a-431c-aaba-be2391c32fd0</t>
        </is>
      </c>
      <c r="W191"/>
      <c r="X191"/>
      <c r="Y191"/>
      <c r="Z191" t="inlineStr">
        <is>
          <t>0.0.4</t>
        </is>
      </c>
      <c r="AA191" t="inlineStr">
        <is>
          <t>技能</t>
        </is>
      </c>
      <c r="AB191" t="inlineStr">
        <is>
          <t>已完成</t>
        </is>
      </c>
      <c r="AC191"/>
      <c r="AD191"/>
      <c r="AE191"/>
    </row>
    <row r="192" ht="25.5" customHeight="1">
      <c r="A192" s="3" t="str">
        <f>=HYPERLINK("https://applink.feishu.cn/client/todo/detail?guid=e6170299-f46d-4338-8056-b48e12cde798&amp;suite_entity_num=t100379", "制作“麻痹射击”技能物品列表")</f>
        <v>制作“麻痹射击”技能物品列表</v>
      </c>
      <c r="B192"/>
      <c r="C192" t="inlineStr">
        <is>
          <t>默认分组</t>
        </is>
      </c>
      <c r="D192"/>
      <c r="E192"/>
      <c r="F192" t="inlineStr">
        <is>
          <t>李少秋</t>
        </is>
      </c>
      <c r="G192" t="inlineStr">
        <is>
          <t>龚政涛</t>
        </is>
      </c>
      <c r="H192" s="4">
        <v>45651.67821759259</v>
      </c>
      <c r="I192" s="4">
        <v>45664.67346064815</v>
      </c>
      <c r="J192" s="4"/>
      <c r="K192" s="4">
        <v>45664.67350694445</v>
      </c>
      <c r="L192">
        <v>0</v>
      </c>
      <c r="M192">
        <v>0</v>
      </c>
      <c r="N192" t="inlineStr">
        <is>
          <t>NzQxMzM4ODg5NzkxNDY2NzAwOTplNjE3MDI5OS1mNDZkLTQzMzgtODA1Ni1iNDhlMTJjZGU3OTg6ODBjN2VhNDAwNjg2N2JmYTgyOTY4M2E1YWUwMDI3MjI6MQ==</t>
        </is>
      </c>
      <c r="O192" t="inlineStr">
        <is>
          <t>1</t>
        </is>
      </c>
      <c r="P192" t="inlineStr">
        <is>
          <t>或签任务</t>
        </is>
      </c>
      <c r="Q192" t="inlineStr">
        <is>
          <t>0</t>
        </is>
      </c>
      <c r="R192" t="inlineStr">
        <is>
          <t>龚政涛,李少秋</t>
        </is>
      </c>
      <c r="S192" s="4"/>
      <c r="T192" s="3" t="str">
        <f>=HYPERLINK("https://applink.feishu.cn/client/todo/task_list?guid=4d92b9af-66d1-4cd7-95d1-4b753a64ca6b", "跃入迷城")</f>
        <v>跃入迷城</v>
      </c>
      <c r="U192" t="inlineStr">
        <is>
          <t>4d92b9af-66d1-4cd7-95d1-4b753a64ca6b</t>
        </is>
      </c>
      <c r="V192" t="inlineStr">
        <is>
          <t>e6170299-f46d-4338-8056-b48e12cde798</t>
        </is>
      </c>
      <c r="W192"/>
      <c r="X192"/>
      <c r="Y192"/>
      <c r="Z192" t="inlineStr">
        <is>
          <t>0.0.4</t>
        </is>
      </c>
      <c r="AA192" t="inlineStr">
        <is>
          <t>技能</t>
        </is>
      </c>
      <c r="AB192" t="inlineStr">
        <is>
          <t>已完成</t>
        </is>
      </c>
      <c r="AC192"/>
      <c r="AD192"/>
      <c r="AE192"/>
    </row>
    <row r="193" ht="25.5" customHeight="1">
      <c r="A193" s="3" t="str">
        <f>=HYPERLINK("https://applink.feishu.cn/client/todo/detail?guid=0149f3fe-76df-436c-9884-b6eb4a232f13&amp;suite_entity_num=t100382", "冲刺（dash）上半身用奔跑的上半身")</f>
        <v>冲刺（dash）上半身用奔跑的上半身</v>
      </c>
      <c r="B193"/>
      <c r="C193" t="inlineStr">
        <is>
          <t>默认分组</t>
        </is>
      </c>
      <c r="D193"/>
      <c r="E193"/>
      <c r="F193"/>
      <c r="G193" t="inlineStr">
        <is>
          <t>龚政涛</t>
        </is>
      </c>
      <c r="H193" s="4">
        <v>45652.724027777775</v>
      </c>
      <c r="I193" s="4">
        <v>45719.57512731481</v>
      </c>
      <c r="J193" s="4"/>
      <c r="K193" s="4">
        <v>45719.57513888889</v>
      </c>
      <c r="L193">
        <v>0</v>
      </c>
      <c r="M193">
        <v>0</v>
      </c>
      <c r="N193" t="inlineStr">
        <is>
          <t>NzQxMzM4ODg5NzkxNDY2NzAwOTowMTQ5ZjNmZS03NmRmLTQzNmMtOTg4NC1iNmViNGEyMzJmMTM6OGQ0ZTZjNjIwNjAzMWNiNmU0MDc4ZjU0MmVhNGU3MmY6MQ==</t>
        </is>
      </c>
      <c r="O193" t="inlineStr">
        <is>
          <t>1</t>
        </is>
      </c>
      <c r="P193" t="inlineStr">
        <is>
          <t>或签任务</t>
        </is>
      </c>
      <c r="Q193" t="inlineStr">
        <is>
          <t>0</t>
        </is>
      </c>
      <c r="R193" t="inlineStr">
        <is>
          <t>龚政涛</t>
        </is>
      </c>
      <c r="S193" s="4"/>
      <c r="T193" s="3" t="str">
        <f>=HYPERLINK("https://applink.feishu.cn/client/todo/task_list?guid=4d92b9af-66d1-4cd7-95d1-4b753a64ca6b", "跃入迷城")</f>
        <v>跃入迷城</v>
      </c>
      <c r="U193" t="inlineStr">
        <is>
          <t>4d92b9af-66d1-4cd7-95d1-4b753a64ca6b</t>
        </is>
      </c>
      <c r="V193" t="inlineStr">
        <is>
          <t>0149f3fe-76df-436c-9884-b6eb4a232f13</t>
        </is>
      </c>
      <c r="W193"/>
      <c r="X193"/>
      <c r="Y193"/>
      <c r="Z193" t="inlineStr">
        <is>
          <t>0.1.0</t>
        </is>
      </c>
      <c r="AA193" t="inlineStr">
        <is>
          <t>动画</t>
        </is>
      </c>
      <c r="AB193" t="inlineStr">
        <is>
          <t>已废弃</t>
        </is>
      </c>
      <c r="AC193" t="inlineStr">
        <is>
          <t>P2 - Nice to Have</t>
        </is>
      </c>
      <c r="AD193"/>
      <c r="AE193"/>
    </row>
    <row r="194" ht="25.5" customHeight="1">
      <c r="A194" s="3" t="str">
        <f>=HYPERLINK("https://applink.feishu.cn/client/todo/detail?guid=47d4a90b-3493-4e54-940f-232b966821bb&amp;suite_entity_num=t100381", "制作“喷射器”武器类型")</f>
        <v>制作“喷射器”武器类型</v>
      </c>
      <c r="B194"/>
      <c r="C194" t="inlineStr">
        <is>
          <t>默认分组</t>
        </is>
      </c>
      <c r="D194"/>
      <c r="E194"/>
      <c r="F194" t="inlineStr">
        <is>
          <t>Decay</t>
        </is>
      </c>
      <c r="G194" t="inlineStr">
        <is>
          <t>龚政涛</t>
        </is>
      </c>
      <c r="H194" s="4">
        <v>45651.686875</v>
      </c>
      <c r="I194" s="4">
        <v>45672.98957175926</v>
      </c>
      <c r="J194" s="4">
        <v>45634.333333333336</v>
      </c>
      <c r="K194" s="4">
        <v>45672.989583333336</v>
      </c>
      <c r="L194">
        <v>0</v>
      </c>
      <c r="M194">
        <v>1</v>
      </c>
      <c r="N194" t="inlineStr">
        <is>
          <t>NzQxMzM4ODg5NzkxNDY2NzAwOTo0N2Q0YTkwYi0zNDkzLTRlNTQtOTQwZi0yMzJiOTY2ODIxYmI6ZjJlNjg3YzkyZTIxODJhYTdlYTkwZTE4ODE1MzA1YTk6MQ==</t>
        </is>
      </c>
      <c r="O194" t="inlineStr">
        <is>
          <t>1</t>
        </is>
      </c>
      <c r="P194" t="inlineStr">
        <is>
          <t>或签任务</t>
        </is>
      </c>
      <c r="Q194" t="inlineStr">
        <is>
          <t>0</t>
        </is>
      </c>
      <c r="R194" t="inlineStr">
        <is>
          <t>Decay,李少秋,龚政涛</t>
        </is>
      </c>
      <c r="S194" s="4">
        <v>45634.333333333336</v>
      </c>
      <c r="T194" s="3" t="str">
        <f>=HYPERLINK("https://applink.feishu.cn/client/todo/task_list?guid=4d92b9af-66d1-4cd7-95d1-4b753a64ca6b", "跃入迷城")</f>
        <v>跃入迷城</v>
      </c>
      <c r="U194" t="inlineStr">
        <is>
          <t>4d92b9af-66d1-4cd7-95d1-4b753a64ca6b</t>
        </is>
      </c>
      <c r="V194" t="inlineStr">
        <is>
          <t>47d4a90b-3493-4e54-940f-232b966821bb</t>
        </is>
      </c>
      <c r="W194"/>
      <c r="X194"/>
      <c r="Y194"/>
      <c r="Z194" t="inlineStr">
        <is>
          <t>0.0.4</t>
        </is>
      </c>
      <c r="AA194" t="inlineStr">
        <is>
          <t>装备</t>
        </is>
      </c>
      <c r="AB194" t="inlineStr">
        <is>
          <t>已完成</t>
        </is>
      </c>
      <c r="AC194"/>
      <c r="AD194"/>
      <c r="AE194"/>
    </row>
    <row r="195" ht="25.5" customHeight="1">
      <c r="A195" s="3" t="str">
        <f>=HYPERLINK("https://applink.feishu.cn/client/todo/detail?guid=c6e73a18-155e-4287-9711-541cb320250a&amp;suite_entity_num=t100388", "技能释放方式：切换")</f>
        <v>技能释放方式：切换</v>
      </c>
      <c r="B195"/>
      <c r="C195" t="inlineStr">
        <is>
          <t>默认分组</t>
        </is>
      </c>
      <c r="D195"/>
      <c r="E195"/>
      <c r="F195" t="inlineStr">
        <is>
          <t>Decay</t>
        </is>
      </c>
      <c r="G195" t="inlineStr">
        <is>
          <t>Decay</t>
        </is>
      </c>
      <c r="H195" s="4">
        <v>45661.67254629629</v>
      </c>
      <c r="I195" s="4">
        <v>45667.47670138889</v>
      </c>
      <c r="J195" s="4"/>
      <c r="K195" s="4">
        <v>45667.47667824074</v>
      </c>
      <c r="L195">
        <v>0</v>
      </c>
      <c r="M195">
        <v>2</v>
      </c>
      <c r="N195" t="inlineStr">
        <is>
          <t>NzQxMzM4ODg5NzkxNDY2NzAwOTpjNmU3M2ExOC0xNTVlLTQyODctOTcxMS01NDFjYjMyMDI1MGE6NDk1ZmZlYTQ3M2IxZWVlODk2MmE2NjVkZDk5N2UwZjI6MQ==</t>
        </is>
      </c>
      <c r="O195" t="inlineStr">
        <is>
          <t>1</t>
        </is>
      </c>
      <c r="P195" t="inlineStr">
        <is>
          <t>或签任务</t>
        </is>
      </c>
      <c r="Q195" t="inlineStr">
        <is>
          <t>0</t>
        </is>
      </c>
      <c r="R195" t="inlineStr">
        <is>
          <t>Decay,龚政涛</t>
        </is>
      </c>
      <c r="S195" s="4"/>
      <c r="T195" s="3" t="str">
        <f>=HYPERLINK("https://applink.feishu.cn/client/todo/task_list?guid=4d92b9af-66d1-4cd7-95d1-4b753a64ca6b", "跃入迷城")</f>
        <v>跃入迷城</v>
      </c>
      <c r="U195" t="inlineStr">
        <is>
          <t>4d92b9af-66d1-4cd7-95d1-4b753a64ca6b</t>
        </is>
      </c>
      <c r="V195" t="inlineStr">
        <is>
          <t>c6e73a18-155e-4287-9711-541cb320250a</t>
        </is>
      </c>
      <c r="W195"/>
      <c r="X195"/>
      <c r="Y195"/>
      <c r="Z195" t="inlineStr">
        <is>
          <t>0.0.4</t>
        </is>
      </c>
      <c r="AA195" t="inlineStr">
        <is>
          <t>技能</t>
        </is>
      </c>
      <c r="AB195" t="inlineStr">
        <is>
          <t>已完成</t>
        </is>
      </c>
      <c r="AC195"/>
      <c r="AD195"/>
      <c r="AE195"/>
    </row>
    <row r="196" ht="25.5" customHeight="1">
      <c r="A196" s="3" t="str">
        <f>=HYPERLINK("https://applink.feishu.cn/client/todo/detail?guid=a5c08e57-527e-4c0e-b910-c1d209da2f58&amp;suite_entity_num=t100397", "尝试为角色增加立体的鼻子，参考“苏醒之路”风格")</f>
        <v>尝试为角色增加立体的鼻子，参考“苏醒之路”风格</v>
      </c>
      <c r="B196"/>
      <c r="C196" t="inlineStr">
        <is>
          <t>默认分组</t>
        </is>
      </c>
      <c r="D196"/>
      <c r="E196"/>
      <c r="F196" t="inlineStr">
        <is>
          <t>薛远临</t>
        </is>
      </c>
      <c r="G196" t="inlineStr">
        <is>
          <t>龚政涛</t>
        </is>
      </c>
      <c r="H196" s="4">
        <v>45664.67519675926</v>
      </c>
      <c r="I196" s="4">
        <v>45673.033055555556</v>
      </c>
      <c r="J196" s="4">
        <v>45662.333333333336</v>
      </c>
      <c r="K196" s="4">
        <v>45673.033055555556</v>
      </c>
      <c r="L196">
        <v>0</v>
      </c>
      <c r="M196">
        <v>0</v>
      </c>
      <c r="N196" t="inlineStr">
        <is>
          <t>NzQxMzM4ODg5NzkxNDY2NzAwOTphNWMwOGU1Ny01MjdlLTRjMGUtYjkxMC1jMWQyMDlkYTJmNTg6NjNkNWMyMTk4YzlhZjg2Yzk4ODAxNDIzYTcyNTdkMjg6MQ==</t>
        </is>
      </c>
      <c r="O196" t="inlineStr">
        <is>
          <t>1</t>
        </is>
      </c>
      <c r="P196" t="inlineStr">
        <is>
          <t>或签任务</t>
        </is>
      </c>
      <c r="Q196" t="inlineStr">
        <is>
          <t>0</t>
        </is>
      </c>
      <c r="R196" t="inlineStr">
        <is>
          <t>龚政涛,薛远临</t>
        </is>
      </c>
      <c r="S196" s="4">
        <v>45653.333333333336</v>
      </c>
      <c r="T196" s="3" t="str">
        <f>=HYPERLINK("https://applink.feishu.cn/client/todo/task_list?guid=4d92b9af-66d1-4cd7-95d1-4b753a64ca6b", "跃入迷城")</f>
        <v>跃入迷城</v>
      </c>
      <c r="U196" t="inlineStr">
        <is>
          <t>4d92b9af-66d1-4cd7-95d1-4b753a64ca6b</t>
        </is>
      </c>
      <c r="V196" t="inlineStr">
        <is>
          <t>a5c08e57-527e-4c0e-b910-c1d209da2f58</t>
        </is>
      </c>
      <c r="W196"/>
      <c r="X196"/>
      <c r="Y196"/>
      <c r="Z196" t="inlineStr">
        <is>
          <t>0.0.4</t>
        </is>
      </c>
      <c r="AA196" t="inlineStr">
        <is>
          <t>模型</t>
        </is>
      </c>
      <c r="AB196" t="inlineStr">
        <is>
          <t>已完成</t>
        </is>
      </c>
      <c r="AC196"/>
      <c r="AD196"/>
      <c r="AE196"/>
    </row>
    <row r="197" ht="25.5" customHeight="1">
      <c r="A197" s="3" t="str">
        <f>=HYPERLINK("https://applink.feishu.cn/client/todo/detail?guid=a9931c2b-7a5e-4036-8310-d1e47eaafe09&amp;suite_entity_num=t100396", "制作小规模DEMO场景，验证Shdaer更新")</f>
        <v>制作小规模DEMO场景，验证Shdaer更新</v>
      </c>
      <c r="B197"/>
      <c r="C197" t="inlineStr">
        <is>
          <t>默认分组</t>
        </is>
      </c>
      <c r="D197"/>
      <c r="E197"/>
      <c r="F197" t="inlineStr">
        <is>
          <t>成都TA小刘</t>
        </is>
      </c>
      <c r="G197" t="inlineStr">
        <is>
          <t>龚政涛</t>
        </is>
      </c>
      <c r="H197" s="4">
        <v>45664.65709490741</v>
      </c>
      <c r="I197" s="4">
        <v>45672.971817129626</v>
      </c>
      <c r="J197" s="4">
        <v>45664.333333333336</v>
      </c>
      <c r="K197" s="4">
        <v>45672.971817129626</v>
      </c>
      <c r="L197">
        <v>0</v>
      </c>
      <c r="M197">
        <v>0</v>
      </c>
      <c r="N197" t="inlineStr">
        <is>
          <t>NzQxMzM4ODg5NzkxNDY2NzAwOTphOTkzMWMyYi03YTVlLTQwMzYtODMxMC1kMWU0N2VhYWZlMDk6ZjFlMjkxZjYyMTVhYmRmZWE1MWM2ZWNjYjg3YzY0ZWQ6MQ==</t>
        </is>
      </c>
      <c r="O197" t="inlineStr">
        <is>
          <t>1</t>
        </is>
      </c>
      <c r="P197" t="inlineStr">
        <is>
          <t>或签任务</t>
        </is>
      </c>
      <c r="Q197" t="inlineStr">
        <is>
          <t>0</t>
        </is>
      </c>
      <c r="R197" t="inlineStr">
        <is>
          <t>成都TA小刘,龚政涛</t>
        </is>
      </c>
      <c r="S197" s="4">
        <v>45657.333333333336</v>
      </c>
      <c r="T197" s="3" t="str">
        <f>=HYPERLINK("https://applink.feishu.cn/client/todo/task_list?guid=4d92b9af-66d1-4cd7-95d1-4b753a64ca6b", "跃入迷城")</f>
        <v>跃入迷城</v>
      </c>
      <c r="U197" t="inlineStr">
        <is>
          <t>4d92b9af-66d1-4cd7-95d1-4b753a64ca6b</t>
        </is>
      </c>
      <c r="V197" t="inlineStr">
        <is>
          <t>a9931c2b-7a5e-4036-8310-d1e47eaafe09</t>
        </is>
      </c>
      <c r="W197" t="inlineStr">
        <is>
          <t>1bfba706-e2ef-4efe-a29f-628637704650</t>
        </is>
      </c>
      <c r="X197"/>
      <c r="Y197"/>
      <c r="Z197" t="inlineStr">
        <is>
          <t>0.0.4</t>
        </is>
      </c>
      <c r="AA197" t="inlineStr">
        <is>
          <t>平面美术</t>
        </is>
      </c>
      <c r="AB197" t="inlineStr">
        <is>
          <t>工作中</t>
        </is>
      </c>
      <c r="AC197" t="inlineStr">
        <is>
          <t>P0 - Must (not) Have</t>
        </is>
      </c>
      <c r="AD197"/>
      <c r="AE197"/>
    </row>
    <row r="198" ht="25.5" customHeight="1">
      <c r="A198" s="3" t="str">
        <f>=HYPERLINK("https://applink.feishu.cn/client/todo/detail?guid=1daf5653-8e0d-47b0-aafb-dd807601f288&amp;suite_entity_num=t100398", "尝试将完整的模型迁回UE5")</f>
        <v>尝试将完整的模型迁回UE5</v>
      </c>
      <c r="B198"/>
      <c r="C198" t="inlineStr">
        <is>
          <t>默认分组</t>
        </is>
      </c>
      <c r="D198"/>
      <c r="E198"/>
      <c r="F198" t="inlineStr">
        <is>
          <t>薛远临</t>
        </is>
      </c>
      <c r="G198" t="inlineStr">
        <is>
          <t>龚政涛</t>
        </is>
      </c>
      <c r="H198" s="4">
        <v>45664.70753472222</v>
      </c>
      <c r="I198" s="4">
        <v>45673.03304398148</v>
      </c>
      <c r="J198" s="4">
        <v>45664.333333333336</v>
      </c>
      <c r="K198" s="4">
        <v>45673.033055555556</v>
      </c>
      <c r="L198">
        <v>0</v>
      </c>
      <c r="M198">
        <v>0</v>
      </c>
      <c r="N198" t="inlineStr">
        <is>
          <t>NzQxMzM4ODg5NzkxNDY2NzAwOToxZGFmNTY1My04ZTBkLTQ3YjAtYWFmYi1kZDgwNzYwMWYyODg6ZjU5NDVmZmU4OTAyM2Y4ZjU5MDJjMjY4ZjIyYzJmZTk6MQ==</t>
        </is>
      </c>
      <c r="O198" t="inlineStr">
        <is>
          <t>1</t>
        </is>
      </c>
      <c r="P198" t="inlineStr">
        <is>
          <t>或签任务</t>
        </is>
      </c>
      <c r="Q198" t="inlineStr">
        <is>
          <t>0</t>
        </is>
      </c>
      <c r="R198" t="inlineStr">
        <is>
          <t>薛远临,龚政涛</t>
        </is>
      </c>
      <c r="S198" s="4">
        <v>45663.333333333336</v>
      </c>
      <c r="T198" s="3" t="str">
        <f>=HYPERLINK("https://applink.feishu.cn/client/todo/task_list?guid=4d92b9af-66d1-4cd7-95d1-4b753a64ca6b", "跃入迷城")</f>
        <v>跃入迷城</v>
      </c>
      <c r="U198" t="inlineStr">
        <is>
          <t>4d92b9af-66d1-4cd7-95d1-4b753a64ca6b</t>
        </is>
      </c>
      <c r="V198" t="inlineStr">
        <is>
          <t>1daf5653-8e0d-47b0-aafb-dd807601f288</t>
        </is>
      </c>
      <c r="W198"/>
      <c r="X198"/>
      <c r="Y198"/>
      <c r="Z198" t="inlineStr">
        <is>
          <t>0.0.4</t>
        </is>
      </c>
      <c r="AA198" t="inlineStr">
        <is>
          <t>模型</t>
        </is>
      </c>
      <c r="AB198" t="inlineStr">
        <is>
          <t>已完成</t>
        </is>
      </c>
      <c r="AC198"/>
      <c r="AD198"/>
      <c r="AE198"/>
    </row>
    <row r="199" ht="25.5" customHeight="1">
      <c r="A199" s="3" t="str">
        <f>=HYPERLINK("https://applink.feishu.cn/client/todo/detail?guid=108509d6-95e8-4cc8-a5c1-a5619b9c73f6&amp;suite_entity_num=t100358", "制作波点阴影/高光")</f>
        <v>制作波点阴影/高光</v>
      </c>
      <c r="B199"/>
      <c r="C199" t="inlineStr">
        <is>
          <t>默认分组</t>
        </is>
      </c>
      <c r="D199"/>
      <c r="E199"/>
      <c r="F199" t="inlineStr">
        <is>
          <t>成都TA小刘</t>
        </is>
      </c>
      <c r="G199" t="inlineStr">
        <is>
          <t>龚政涛</t>
        </is>
      </c>
      <c r="H199" s="4">
        <v>45648.87603009259</v>
      </c>
      <c r="I199" s="4">
        <v>45672.97310185185</v>
      </c>
      <c r="J199" s="4">
        <v>45664.333333333336</v>
      </c>
      <c r="K199" s="4">
        <v>45672.97311342593</v>
      </c>
      <c r="L199">
        <v>0</v>
      </c>
      <c r="M199">
        <v>0</v>
      </c>
      <c r="N199" t="inlineStr">
        <is>
          <t>NzQxMzM4ODg5NzkxNDY2NzAwOToxMDg1MDlkNi05NWU4LTRjYzgtYTVjMS1hNTYxOWI5YzczZjY6YjllNDY0M2Y4NjFmYzRmNzBjYjFmNzY0ZTI2MmE3Zjk6MQ==</t>
        </is>
      </c>
      <c r="O199" t="inlineStr">
        <is>
          <t>1</t>
        </is>
      </c>
      <c r="P199" t="inlineStr">
        <is>
          <t>或签任务</t>
        </is>
      </c>
      <c r="Q199" t="inlineStr">
        <is>
          <t>0</t>
        </is>
      </c>
      <c r="R199" t="inlineStr">
        <is>
          <t>龚政涛,成都TA小刘</t>
        </is>
      </c>
      <c r="S199" s="4">
        <v>45657.333333333336</v>
      </c>
      <c r="T199" s="3" t="str">
        <f>=HYPERLINK("https://applink.feishu.cn/client/todo/task_list?guid=4d92b9af-66d1-4cd7-95d1-4b753a64ca6b", "跃入迷城")</f>
        <v>跃入迷城</v>
      </c>
      <c r="U199" t="inlineStr">
        <is>
          <t>4d92b9af-66d1-4cd7-95d1-4b753a64ca6b</t>
        </is>
      </c>
      <c r="V199" t="inlineStr">
        <is>
          <t>108509d6-95e8-4cc8-a5c1-a5619b9c73f6</t>
        </is>
      </c>
      <c r="W199"/>
      <c r="X199"/>
      <c r="Y199"/>
      <c r="Z199" t="inlineStr">
        <is>
          <t>0.0.4</t>
        </is>
      </c>
      <c r="AA199" t="inlineStr">
        <is>
          <t>平面美术</t>
        </is>
      </c>
      <c r="AB199" t="inlineStr">
        <is>
          <t>工作中</t>
        </is>
      </c>
      <c r="AC199" t="inlineStr">
        <is>
          <t>P0 - Must (not) Have</t>
        </is>
      </c>
      <c r="AD199"/>
      <c r="AE199"/>
    </row>
    <row r="200" ht="25.5" customHeight="1">
      <c r="A200" s="3" t="str">
        <f>=HYPERLINK("https://applink.feishu.cn/client/todo/detail?guid=9503e9fc-5449-49eb-b7e8-01980f670373&amp;suite_entity_num=t100406", "修改“电磁护盾”技能")</f>
        <v>修改“电磁护盾”技能</v>
      </c>
      <c r="B200"/>
      <c r="C200" t="inlineStr">
        <is>
          <t>默认分组</t>
        </is>
      </c>
      <c r="D200"/>
      <c r="E200"/>
      <c r="F200" t="inlineStr">
        <is>
          <t>李少秋,Decay</t>
        </is>
      </c>
      <c r="G200" t="inlineStr">
        <is>
          <t>龚政涛</t>
        </is>
      </c>
      <c r="H200" s="4">
        <v>45667.59717592593</v>
      </c>
      <c r="I200" s="4">
        <v>45709.45673611111</v>
      </c>
      <c r="J200" s="4"/>
      <c r="K200" s="4">
        <v>45709.45667824074</v>
      </c>
      <c r="L200">
        <v>0</v>
      </c>
      <c r="M200">
        <v>0</v>
      </c>
      <c r="N200" t="inlineStr">
        <is>
          <t>NzQxMzM4ODg5NzkxNDY2NzAwOTo5NTAzZTlmYy01NDQ5LTQ5ZWItYjdlOC0wMTk4MGY2NzAzNzM6MzM1ZjUyODc5ZDQ4YjVlZjhiODQ5MTY3NTZkMGRkZGE6MQ==</t>
        </is>
      </c>
      <c r="O200" t="inlineStr">
        <is>
          <t>1</t>
        </is>
      </c>
      <c r="P200" t="inlineStr">
        <is>
          <t>或签任务</t>
        </is>
      </c>
      <c r="Q200" t="inlineStr">
        <is>
          <t>0</t>
        </is>
      </c>
      <c r="R200" t="inlineStr">
        <is>
          <t>龚政涛,李少秋,Decay</t>
        </is>
      </c>
      <c r="S200" s="4"/>
      <c r="T200" s="3" t="str">
        <f>=HYPERLINK("https://applink.feishu.cn/client/todo/task_list?guid=4d92b9af-66d1-4cd7-95d1-4b753a64ca6b", "跃入迷城")</f>
        <v>跃入迷城</v>
      </c>
      <c r="U200" t="inlineStr">
        <is>
          <t>4d92b9af-66d1-4cd7-95d1-4b753a64ca6b</t>
        </is>
      </c>
      <c r="V200" t="inlineStr">
        <is>
          <t>9503e9fc-5449-49eb-b7e8-01980f670373</t>
        </is>
      </c>
      <c r="W200"/>
      <c r="X200"/>
      <c r="Y200"/>
      <c r="Z200" t="inlineStr">
        <is>
          <t>0.0.4</t>
        </is>
      </c>
      <c r="AA200" t="inlineStr">
        <is>
          <t>技能</t>
        </is>
      </c>
      <c r="AB200" t="inlineStr">
        <is>
          <t>已废弃</t>
        </is>
      </c>
      <c r="AC200"/>
      <c r="AD200"/>
      <c r="AE200"/>
    </row>
    <row r="201" ht="25.5" customHeight="1">
      <c r="A201" s="3" t="str">
        <f>=HYPERLINK("https://applink.feishu.cn/client/todo/detail?guid=dc5fd7ad-e71a-4312-bf7b-58e305f6ad73&amp;suite_entity_num=t100408", "修复“管线技师”攻击和自爆触发问题")</f>
        <v>修复“管线技师”攻击和自爆触发问题</v>
      </c>
      <c r="B201"/>
      <c r="C201" t="inlineStr">
        <is>
          <t>默认分组</t>
        </is>
      </c>
      <c r="D201"/>
      <c r="E201"/>
      <c r="F201" t="inlineStr">
        <is>
          <t>李少秋</t>
        </is>
      </c>
      <c r="G201" t="inlineStr">
        <is>
          <t>龚政涛</t>
        </is>
      </c>
      <c r="H201" s="4">
        <v>45667.59763888889</v>
      </c>
      <c r="I201" s="4">
        <v>45673.51341435185</v>
      </c>
      <c r="J201" s="4"/>
      <c r="K201" s="4">
        <v>45673.5134375</v>
      </c>
      <c r="L201">
        <v>0</v>
      </c>
      <c r="M201">
        <v>0</v>
      </c>
      <c r="N201" t="inlineStr">
        <is>
          <t>NzQxMzM4ODg5NzkxNDY2NzAwOTpkYzVmZDdhZC1lNzFhLTQzMTItYmY3Yi01OGUzMDVmNmFkNzM6ZmMwNGU2NzE0MTE4MGJkNzQwMWI5YmYzOTI0NTAzNDc6MQ==</t>
        </is>
      </c>
      <c r="O201" t="inlineStr">
        <is>
          <t>1</t>
        </is>
      </c>
      <c r="P201" t="inlineStr">
        <is>
          <t>或签任务</t>
        </is>
      </c>
      <c r="Q201" t="inlineStr">
        <is>
          <t>0</t>
        </is>
      </c>
      <c r="R201" t="inlineStr">
        <is>
          <t>龚政涛,李少秋</t>
        </is>
      </c>
      <c r="S201" s="4"/>
      <c r="T201" s="3" t="str">
        <f>=HYPERLINK("https://applink.feishu.cn/client/todo/task_list?guid=4d92b9af-66d1-4cd7-95d1-4b753a64ca6b", "跃入迷城")</f>
        <v>跃入迷城</v>
      </c>
      <c r="U201" t="inlineStr">
        <is>
          <t>4d92b9af-66d1-4cd7-95d1-4b753a64ca6b</t>
        </is>
      </c>
      <c r="V201" t="inlineStr">
        <is>
          <t>dc5fd7ad-e71a-4312-bf7b-58e305f6ad73</t>
        </is>
      </c>
      <c r="W201"/>
      <c r="X201"/>
      <c r="Y201"/>
      <c r="Z201" t="inlineStr">
        <is>
          <t>0.0.4</t>
        </is>
      </c>
      <c r="AA201" t="inlineStr">
        <is>
          <t>AI</t>
        </is>
      </c>
      <c r="AB201" t="inlineStr">
        <is>
          <t>已完成</t>
        </is>
      </c>
      <c r="AC201"/>
      <c r="AD201"/>
      <c r="AE201"/>
    </row>
    <row r="202" ht="25.5" customHeight="1">
      <c r="A202" s="3" t="str">
        <f>=HYPERLINK("https://applink.feishu.cn/client/todo/detail?guid=d6f4fc05-1a20-4379-80f5-f438834137e3&amp;suite_entity_num=t100409", "追加敌人攻击功能：边攻击边移动、旋转，速率可调")</f>
        <v>追加敌人攻击功能：边攻击边移动、旋转，速率可调</v>
      </c>
      <c r="B202"/>
      <c r="C202" t="inlineStr">
        <is>
          <t>默认分组</t>
        </is>
      </c>
      <c r="D202"/>
      <c r="E202"/>
      <c r="F202" t="inlineStr">
        <is>
          <t>李少秋</t>
        </is>
      </c>
      <c r="G202" t="inlineStr">
        <is>
          <t>龚政涛</t>
        </is>
      </c>
      <c r="H202" s="4">
        <v>45667.59974537037</v>
      </c>
      <c r="I202" s="4">
        <v>45673.51347222222</v>
      </c>
      <c r="J202" s="4"/>
      <c r="K202" s="4">
        <v>45673.51349537037</v>
      </c>
      <c r="L202">
        <v>0</v>
      </c>
      <c r="M202">
        <v>0</v>
      </c>
      <c r="N202" t="inlineStr">
        <is>
          <t>NzQxMzM4ODg5NzkxNDY2NzAwOTpkNmY0ZmMwNS0xYTIwLTQzNzktODBmNS1mNDM4ODM0MTM3ZTM6OGQ1ZDZlY2M2NjJjY2JhNDdjMDc2NDcxNTFhZjhkMDg6MQ==</t>
        </is>
      </c>
      <c r="O202" t="inlineStr">
        <is>
          <t>1</t>
        </is>
      </c>
      <c r="P202" t="inlineStr">
        <is>
          <t>或签任务</t>
        </is>
      </c>
      <c r="Q202" t="inlineStr">
        <is>
          <t>0</t>
        </is>
      </c>
      <c r="R202" t="inlineStr">
        <is>
          <t>李少秋,龚政涛</t>
        </is>
      </c>
      <c r="S202" s="4"/>
      <c r="T202" s="3" t="str">
        <f>=HYPERLINK("https://applink.feishu.cn/client/todo/task_list?guid=4d92b9af-66d1-4cd7-95d1-4b753a64ca6b", "跃入迷城")</f>
        <v>跃入迷城</v>
      </c>
      <c r="U202" t="inlineStr">
        <is>
          <t>4d92b9af-66d1-4cd7-95d1-4b753a64ca6b</t>
        </is>
      </c>
      <c r="V202" t="inlineStr">
        <is>
          <t>d6f4fc05-1a20-4379-80f5-f438834137e3</t>
        </is>
      </c>
      <c r="W202"/>
      <c r="X202"/>
      <c r="Y202"/>
      <c r="Z202" t="inlineStr">
        <is>
          <t>0.0.4</t>
        </is>
      </c>
      <c r="AA202" t="inlineStr">
        <is>
          <t>AI</t>
        </is>
      </c>
      <c r="AB202" t="inlineStr">
        <is>
          <t>已完成</t>
        </is>
      </c>
      <c r="AC202"/>
      <c r="AD202"/>
      <c r="AE202"/>
    </row>
    <row r="203" ht="25.5" customHeight="1">
      <c r="A203" s="3" t="str">
        <f>=HYPERLINK("https://applink.feishu.cn/client/todo/detail?guid=33194356-abd9-439b-bb6e-87af1ea0bc65&amp;suite_entity_num=t100410", "修复近战武器攻击时按住移动，移动会被montage播放结束终端的bug")</f>
        <v>修复近战武器攻击时按住移动，移动会被montage播放结束终端的bug</v>
      </c>
      <c r="B203"/>
      <c r="C203" t="inlineStr">
        <is>
          <t>默认分组</t>
        </is>
      </c>
      <c r="D203"/>
      <c r="E203"/>
      <c r="F203" t="inlineStr">
        <is>
          <t>Decay</t>
        </is>
      </c>
      <c r="G203" t="inlineStr">
        <is>
          <t>龚政涛</t>
        </is>
      </c>
      <c r="H203" s="4">
        <v>45667.600381944445</v>
      </c>
      <c r="I203" s="4">
        <v>45695.71915509259</v>
      </c>
      <c r="J203" s="4"/>
      <c r="K203" s="4">
        <v>45695.71917824074</v>
      </c>
      <c r="L203">
        <v>0</v>
      </c>
      <c r="M203">
        <v>0</v>
      </c>
      <c r="N203" t="inlineStr">
        <is>
          <t>NzQxMzM4ODg5NzkxNDY2NzAwOTozMzE5NDM1Ni1hYmQ5LTQzOWItYmI2ZS04N2FmMWVhMGJjNjU6ZjU1ZTBjNzA3MDMzNjc3ZWI0M2ZjZjA5ZDk5ZmNkMjM6MQ==</t>
        </is>
      </c>
      <c r="O203" t="inlineStr">
        <is>
          <t>1</t>
        </is>
      </c>
      <c r="P203" t="inlineStr">
        <is>
          <t>或签任务</t>
        </is>
      </c>
      <c r="Q203" t="inlineStr">
        <is>
          <t>0</t>
        </is>
      </c>
      <c r="R203" t="inlineStr">
        <is>
          <t>龚政涛,李少秋,Decay</t>
        </is>
      </c>
      <c r="S203" s="4"/>
      <c r="T203" s="3" t="str">
        <f>=HYPERLINK("https://applink.feishu.cn/client/todo/task_list?guid=4d92b9af-66d1-4cd7-95d1-4b753a64ca6b", "跃入迷城")</f>
        <v>跃入迷城</v>
      </c>
      <c r="U203" t="inlineStr">
        <is>
          <t>4d92b9af-66d1-4cd7-95d1-4b753a64ca6b</t>
        </is>
      </c>
      <c r="V203" t="inlineStr">
        <is>
          <t>33194356-abd9-439b-bb6e-87af1ea0bc65</t>
        </is>
      </c>
      <c r="W203"/>
      <c r="X203"/>
      <c r="Y203"/>
      <c r="Z203" t="inlineStr">
        <is>
          <t>0.0.4</t>
        </is>
      </c>
      <c r="AA203" t="inlineStr">
        <is>
          <t>操作</t>
        </is>
      </c>
      <c r="AB203" t="inlineStr">
        <is>
          <t>待验证</t>
        </is>
      </c>
      <c r="AC203"/>
      <c r="AD203"/>
      <c r="AE203"/>
    </row>
    <row r="204" ht="25.5" customHeight="1">
      <c r="A204" s="3" t="str">
        <f>=HYPERLINK("https://applink.feishu.cn/client/todo/detail?guid=0b2a9e24-186e-4896-9dd4-a97e5791e44b&amp;suite_entity_num=t100405", "修复“挖掘工”精英版寻路问题")</f>
        <v>修复“挖掘工”精英版寻路问题</v>
      </c>
      <c r="B204"/>
      <c r="C204" t="inlineStr">
        <is>
          <t>默认分组</t>
        </is>
      </c>
      <c r="D204"/>
      <c r="E204"/>
      <c r="F204" t="inlineStr">
        <is>
          <t>李少秋</t>
        </is>
      </c>
      <c r="G204" t="inlineStr">
        <is>
          <t>龚政涛</t>
        </is>
      </c>
      <c r="H204" s="4">
        <v>45667.59690972222</v>
      </c>
      <c r="I204" s="4">
        <v>45673.51336805556</v>
      </c>
      <c r="J204" s="4"/>
      <c r="K204" s="4">
        <v>45673.513402777775</v>
      </c>
      <c r="L204">
        <v>0</v>
      </c>
      <c r="M204">
        <v>0</v>
      </c>
      <c r="N204" t="inlineStr">
        <is>
          <t>NzQxMzM4ODg5NzkxNDY2NzAwOTowYjJhOWUyNC0xODZlLTQ4OTYtOWRkNC1hOTdlNTc5MWU0NGI6MmU4M2Q3YTdhMTE4YjJiNjAwZmUyMDgxN2E5YmI3OGQ6MQ==</t>
        </is>
      </c>
      <c r="O204" t="inlineStr">
        <is>
          <t>1</t>
        </is>
      </c>
      <c r="P204" t="inlineStr">
        <is>
          <t>或签任务</t>
        </is>
      </c>
      <c r="Q204" t="inlineStr">
        <is>
          <t>0</t>
        </is>
      </c>
      <c r="R204" t="inlineStr">
        <is>
          <t>龚政涛,李少秋</t>
        </is>
      </c>
      <c r="S204" s="4"/>
      <c r="T204" s="3" t="str">
        <f>=HYPERLINK("https://applink.feishu.cn/client/todo/task_list?guid=4d92b9af-66d1-4cd7-95d1-4b753a64ca6b", "跃入迷城")</f>
        <v>跃入迷城</v>
      </c>
      <c r="U204" t="inlineStr">
        <is>
          <t>4d92b9af-66d1-4cd7-95d1-4b753a64ca6b</t>
        </is>
      </c>
      <c r="V204" t="inlineStr">
        <is>
          <t>0b2a9e24-186e-4896-9dd4-a97e5791e44b</t>
        </is>
      </c>
      <c r="W204"/>
      <c r="X204"/>
      <c r="Y204"/>
      <c r="Z204" t="inlineStr">
        <is>
          <t>0.0.4</t>
        </is>
      </c>
      <c r="AA204" t="inlineStr">
        <is>
          <t>AI</t>
        </is>
      </c>
      <c r="AB204" t="inlineStr">
        <is>
          <t>已完成</t>
        </is>
      </c>
      <c r="AC204"/>
      <c r="AD204"/>
      <c r="AE204"/>
    </row>
    <row r="205" ht="25.5" customHeight="1">
      <c r="A205" s="3" t="str">
        <f>=HYPERLINK("https://applink.feishu.cn/client/todo/detail?guid=d148a880-a5f8-44e6-8125-e175e5170fab&amp;suite_entity_num=t100411", "v0.0.4 - 迭代结束")</f>
        <v>v0.0.4 - 迭代结束</v>
      </c>
      <c r="B205"/>
      <c r="C205" t="inlineStr">
        <is>
          <t>默认分组</t>
        </is>
      </c>
      <c r="D205"/>
      <c r="E205"/>
      <c r="F205" t="inlineStr">
        <is>
          <t>龚政涛</t>
        </is>
      </c>
      <c r="G205" t="inlineStr">
        <is>
          <t>龚政涛</t>
        </is>
      </c>
      <c r="H205" s="4">
        <v>45667.602476851855</v>
      </c>
      <c r="I205" s="4">
        <v>45728.4059837963</v>
      </c>
      <c r="J205" s="4">
        <v>45727.333333333336</v>
      </c>
      <c r="K205" s="4">
        <v>45733.71042824074</v>
      </c>
      <c r="L205">
        <v>0</v>
      </c>
      <c r="M205">
        <v>0</v>
      </c>
      <c r="N205" t="inlineStr">
        <is>
          <t>NzQxMzM4ODg5NzkxNDY2NzAwOTpkMTQ4YTg4MC1hNWY4LTQ0ZTYtODEyNS1lMTc1ZTUxNzBmYWI6ODc2OWE1M2VlYjIwYjIzMzIxYzA0ZDc5MTNjNjVkNGU6MQ==</t>
        </is>
      </c>
      <c r="O205" t="inlineStr">
        <is>
          <t>1</t>
        </is>
      </c>
      <c r="P205" t="inlineStr">
        <is>
          <t>或签任务</t>
        </is>
      </c>
      <c r="Q205" t="inlineStr">
        <is>
          <t>1</t>
        </is>
      </c>
      <c r="R205" t="inlineStr">
        <is>
          <t>龚政涛</t>
        </is>
      </c>
      <c r="S205" s="4">
        <v>45711.333333333336</v>
      </c>
      <c r="T205" s="3" t="str">
        <f>=HYPERLINK("https://applink.feishu.cn/client/todo/task_list?guid=4d92b9af-66d1-4cd7-95d1-4b753a64ca6b", "跃入迷城")</f>
        <v>跃入迷城</v>
      </c>
      <c r="U205" t="inlineStr">
        <is>
          <t>4d92b9af-66d1-4cd7-95d1-4b753a64ca6b</t>
        </is>
      </c>
      <c r="V205" t="inlineStr">
        <is>
          <t>d148a880-a5f8-44e6-8125-e175e5170fab</t>
        </is>
      </c>
      <c r="W205"/>
      <c r="X205"/>
      <c r="Y205"/>
      <c r="Z205" t="inlineStr">
        <is>
          <t>0.0.4</t>
        </is>
      </c>
      <c r="AA205" t="inlineStr">
        <is>
          <t>项目管理</t>
        </is>
      </c>
      <c r="AB205" t="inlineStr">
        <is>
          <t>已完成</t>
        </is>
      </c>
      <c r="AC205" t="inlineStr">
        <is>
          <t>P0 - Must (not) Have</t>
        </is>
      </c>
      <c r="AD205"/>
      <c r="AE205"/>
    </row>
    <row r="206" ht="25.5" customHeight="1">
      <c r="A206" s="3" t="str">
        <f>=HYPERLINK("https://applink.feishu.cn/client/todo/detail?guid=f13757d5-44f3-4120-ace3-8e2d59451c18&amp;suite_entity_num=t100423", "🪡修改：优化关卡切换的演出")</f>
        <v>🪡修改：优化关卡切换的演出</v>
      </c>
      <c r="B206"/>
      <c r="C206" t="inlineStr">
        <is>
          <t>默认分组</t>
        </is>
      </c>
      <c r="D206"/>
      <c r="E206">
        <v>0</v>
      </c>
      <c r="F206" t="inlineStr">
        <is>
          <t>Decay</t>
        </is>
      </c>
      <c r="G206" t="inlineStr">
        <is>
          <t>龚政涛</t>
        </is>
      </c>
      <c r="H206" s="4">
        <v>45673.03194444445</v>
      </c>
      <c r="I206" s="4"/>
      <c r="J206" s="4">
        <v>45918.333333333336</v>
      </c>
      <c r="K206" s="4">
        <v>45918.560381944444</v>
      </c>
      <c r="L206">
        <v>2</v>
      </c>
      <c r="M206">
        <v>1</v>
      </c>
      <c r="N206" t="inlineStr">
        <is>
          <t>NzQxMzM4ODg5NzkxNDY2NzAwOTpmMTM3NTdkNS00NGYzLTQxMjAtYWNlMy04ZTJkNTk0NTFjMTg6ZTI3ZGQxNTY2MGQ4MzRjOWY2NzI0ZDZiYTkzNGM1Nzc6MQ==</t>
        </is>
      </c>
      <c r="O206" t="inlineStr">
        <is>
          <t>0</t>
        </is>
      </c>
      <c r="P206" t="inlineStr">
        <is>
          <t>或签任务</t>
        </is>
      </c>
      <c r="Q206" t="inlineStr">
        <is>
          <t>0</t>
        </is>
      </c>
      <c r="R206" t="inlineStr">
        <is>
          <t>龚政涛,Decay</t>
        </is>
      </c>
      <c r="S206" s="4">
        <v>45901.333333333336</v>
      </c>
      <c r="T206" s="3" t="str">
        <f>=HYPERLINK("https://applink.feishu.cn/client/todo/task_list?guid=4d92b9af-66d1-4cd7-95d1-4b753a64ca6b", "跃入迷城")</f>
        <v>跃入迷城</v>
      </c>
      <c r="U206" t="inlineStr">
        <is>
          <t>4d92b9af-66d1-4cd7-95d1-4b753a64ca6b</t>
        </is>
      </c>
      <c r="V206" t="inlineStr">
        <is>
          <t>f13757d5-44f3-4120-ace3-8e2d59451c18</t>
        </is>
      </c>
      <c r="W206"/>
      <c r="X206" t="inlineStr">
        <is>
          <t>ac428c2f-96e9-4cd8-83aa-b78ec9473ea1</t>
        </is>
      </c>
      <c r="Y206"/>
      <c r="Z206" t="inlineStr">
        <is>
          <t>0.0.5</t>
        </is>
      </c>
      <c r="AA206" t="inlineStr">
        <is>
          <t>关卡</t>
        </is>
      </c>
      <c r="AB206" t="inlineStr">
        <is>
          <t>未开始</t>
        </is>
      </c>
      <c r="AC206" t="inlineStr">
        <is>
          <t>P2 - Nice to Have</t>
        </is>
      </c>
      <c r="AD206"/>
      <c r="AE206"/>
    </row>
    <row r="207" ht="25.5" customHeight="1">
      <c r="A207" s="3" t="str">
        <f>=HYPERLINK("https://applink.feishu.cn/client/todo/detail?guid=44de7776-c3af-4269-92ee-29a228cac38f&amp;suite_entity_num=t100424", "冲刺后按住空格键进入奔跑状态，移除单独的奔跑按键，释放后解除状态")</f>
        <v>冲刺后按住空格键进入奔跑状态，移除单独的奔跑按键，释放后解除状态</v>
      </c>
      <c r="B207"/>
      <c r="C207" t="inlineStr">
        <is>
          <t>默认分组</t>
        </is>
      </c>
      <c r="D207"/>
      <c r="E207"/>
      <c r="F207" t="inlineStr">
        <is>
          <t>Decay</t>
        </is>
      </c>
      <c r="G207" t="inlineStr">
        <is>
          <t>龚政涛</t>
        </is>
      </c>
      <c r="H207" s="4">
        <v>45673.52658564815</v>
      </c>
      <c r="I207" s="4">
        <v>45721.96324074074</v>
      </c>
      <c r="J207" s="4"/>
      <c r="K207" s="4">
        <v>45721.96324074074</v>
      </c>
      <c r="L207">
        <v>0</v>
      </c>
      <c r="M207">
        <v>1</v>
      </c>
      <c r="N207" t="inlineStr">
        <is>
          <t>NzQxMzM4ODg5NzkxNDY2NzAwOTo0NGRlNzc3Ni1jM2FmLTQyNjktOTJlZS0yOWEyMjhjYWMzOGY6NDUyN2QwYjBlZGFmYjJmZDliYjFhNDkwNTlkODVkYmU6MQ==</t>
        </is>
      </c>
      <c r="O207" t="inlineStr">
        <is>
          <t>1</t>
        </is>
      </c>
      <c r="P207" t="inlineStr">
        <is>
          <t>或签任务</t>
        </is>
      </c>
      <c r="Q207" t="inlineStr">
        <is>
          <t>0</t>
        </is>
      </c>
      <c r="R207" t="inlineStr">
        <is>
          <t>龚政涛,Decay</t>
        </is>
      </c>
      <c r="S207" s="4"/>
      <c r="T207" s="3" t="str">
        <f>=HYPERLINK("https://applink.feishu.cn/client/todo/task_list?guid=4d92b9af-66d1-4cd7-95d1-4b753a64ca6b", "跃入迷城")</f>
        <v>跃入迷城</v>
      </c>
      <c r="U207" t="inlineStr">
        <is>
          <t>4d92b9af-66d1-4cd7-95d1-4b753a64ca6b</t>
        </is>
      </c>
      <c r="V207" t="inlineStr">
        <is>
          <t>44de7776-c3af-4269-92ee-29a228cac38f</t>
        </is>
      </c>
      <c r="W207"/>
      <c r="X207"/>
      <c r="Y207"/>
      <c r="Z207" t="inlineStr">
        <is>
          <t>0.0.4</t>
        </is>
      </c>
      <c r="AA207" t="inlineStr">
        <is>
          <t>操作</t>
        </is>
      </c>
      <c r="AB207" t="inlineStr">
        <is>
          <t>已完成</t>
        </is>
      </c>
      <c r="AC207" t="inlineStr">
        <is>
          <t>P1 - Bigger the Better</t>
        </is>
      </c>
      <c r="AD207"/>
      <c r="AE207"/>
    </row>
    <row r="208" ht="25.5" customHeight="1">
      <c r="A208" s="3" t="str">
        <f>=HYPERLINK("https://applink.feishu.cn/client/todo/detail?guid=2a3362e9-fc7d-4e61-a0f5-df6db8ef0425&amp;suite_entity_num=t100425", "冲刺、奔跑期间隐藏瞄准激光")</f>
        <v>冲刺、奔跑期间隐藏瞄准激光</v>
      </c>
      <c r="B208"/>
      <c r="C208" t="inlineStr">
        <is>
          <t>默认分组</t>
        </is>
      </c>
      <c r="D208"/>
      <c r="E208"/>
      <c r="F208" t="inlineStr">
        <is>
          <t>Decay</t>
        </is>
      </c>
      <c r="G208" t="inlineStr">
        <is>
          <t>龚政涛</t>
        </is>
      </c>
      <c r="H208" s="4">
        <v>45673.52681712963</v>
      </c>
      <c r="I208" s="4"/>
      <c r="J208" s="4">
        <v>45919.333333333336</v>
      </c>
      <c r="K208" s="4">
        <v>45911.40996527778</v>
      </c>
      <c r="L208">
        <v>0</v>
      </c>
      <c r="M208">
        <v>0</v>
      </c>
      <c r="N208" t="inlineStr">
        <is>
          <t>NzQxMzM4ODg5NzkxNDY2NzAwOToyYTMzNjJlOS1mYzdkLTRlNjEtYTBmNS1kZjZkYjhlZjA0MjU6NWM2MWQwNWEzNWZkNTc0MDA2ZmUwZDQ1ZDhlYTVmMmU6MQ==</t>
        </is>
      </c>
      <c r="O208" t="inlineStr">
        <is>
          <t>0</t>
        </is>
      </c>
      <c r="P208" t="inlineStr">
        <is>
          <t>或签任务</t>
        </is>
      </c>
      <c r="Q208" t="inlineStr">
        <is>
          <t>0</t>
        </is>
      </c>
      <c r="R208" t="inlineStr">
        <is>
          <t>龚政涛,Decay</t>
        </is>
      </c>
      <c r="S208" s="4">
        <v>45902.333333333336</v>
      </c>
      <c r="T208" s="3" t="str">
        <f>=HYPERLINK("https://applink.feishu.cn/client/todo/task_list?guid=4d92b9af-66d1-4cd7-95d1-4b753a64ca6b", "跃入迷城")</f>
        <v>跃入迷城</v>
      </c>
      <c r="U208" t="inlineStr">
        <is>
          <t>4d92b9af-66d1-4cd7-95d1-4b753a64ca6b</t>
        </is>
      </c>
      <c r="V208" t="inlineStr">
        <is>
          <t>2a3362e9-fc7d-4e61-a0f5-df6db8ef0425</t>
        </is>
      </c>
      <c r="W208" t="inlineStr">
        <is>
          <t>f21b3f5f-97d8-456a-97a3-73bbd9289375</t>
        </is>
      </c>
      <c r="X208"/>
      <c r="Y208"/>
      <c r="Z208" t="inlineStr">
        <is>
          <t>0.0.5</t>
        </is>
      </c>
      <c r="AA208" t="inlineStr">
        <is>
          <t>操作</t>
        </is>
      </c>
      <c r="AB208"/>
      <c r="AC208" t="inlineStr">
        <is>
          <t>P2 - Nice to Have</t>
        </is>
      </c>
      <c r="AD208" t="inlineStr">
        <is>
          <t>🛠️技术</t>
        </is>
      </c>
      <c r="AE208"/>
    </row>
    <row r="209" ht="25.5" customHeight="1">
      <c r="A209" s="3" t="str">
        <f>=HYPERLINK("https://applink.feishu.cn/client/todo/detail?guid=428ae679-1731-4e67-8d4d-5607735e6a7a&amp;suite_entity_num=t100426", "奔跑状态使用单独的动画，不在正常移动出现，隐藏远程武器激光")</f>
        <v>奔跑状态使用单独的动画，不在正常移动出现，隐藏远程武器激光</v>
      </c>
      <c r="B209"/>
      <c r="C209" t="inlineStr">
        <is>
          <t>默认分组</t>
        </is>
      </c>
      <c r="D209"/>
      <c r="E209"/>
      <c r="F209"/>
      <c r="G209" t="inlineStr">
        <is>
          <t>龚政涛</t>
        </is>
      </c>
      <c r="H209" s="4">
        <v>45673.52700231481</v>
      </c>
      <c r="I209" s="4"/>
      <c r="J209" s="4"/>
      <c r="K209" s="4">
        <v>45719.56978009259</v>
      </c>
      <c r="L209">
        <v>0</v>
      </c>
      <c r="M209">
        <v>0</v>
      </c>
      <c r="N209" t="inlineStr">
        <is>
          <t>NzQxMzM4ODg5NzkxNDY2NzAwOTo0MjhhZTY3OS0xNzMxLTRlNjctOGQ0ZC01NjA3NzM1ZTZhN2E6YmVjYTM3MmYzMzM3NmU1ZDQ2YTgyYTA5ZmRiZDlmMzA6MQ==</t>
        </is>
      </c>
      <c r="O209" t="inlineStr">
        <is>
          <t>0</t>
        </is>
      </c>
      <c r="P209" t="inlineStr">
        <is>
          <t>或签任务</t>
        </is>
      </c>
      <c r="Q209" t="inlineStr">
        <is>
          <t>0</t>
        </is>
      </c>
      <c r="R209" t="inlineStr">
        <is>
          <t>龚政涛</t>
        </is>
      </c>
      <c r="S209" s="4"/>
      <c r="T209" s="3" t="str">
        <f>=HYPERLINK("https://applink.feishu.cn/client/todo/task_list?guid=4d92b9af-66d1-4cd7-95d1-4b753a64ca6b", "跃入迷城")</f>
        <v>跃入迷城</v>
      </c>
      <c r="U209" t="inlineStr">
        <is>
          <t>4d92b9af-66d1-4cd7-95d1-4b753a64ca6b</t>
        </is>
      </c>
      <c r="V209" t="inlineStr">
        <is>
          <t>428ae679-1731-4e67-8d4d-5607735e6a7a</t>
        </is>
      </c>
      <c r="W209"/>
      <c r="X209"/>
      <c r="Y209"/>
      <c r="Z209" t="inlineStr">
        <is>
          <t>0.1.0</t>
        </is>
      </c>
      <c r="AA209" t="inlineStr">
        <is>
          <t>动画</t>
        </is>
      </c>
      <c r="AB209" t="inlineStr">
        <is>
          <t>未开始</t>
        </is>
      </c>
      <c r="AC209" t="inlineStr">
        <is>
          <t>P1 - Bigger the Better</t>
        </is>
      </c>
      <c r="AD209"/>
      <c r="AE209"/>
    </row>
    <row r="210" ht="25.5" customHeight="1">
      <c r="A210" s="3" t="str">
        <f>=HYPERLINK("https://applink.feishu.cn/client/todo/detail?guid=7b20d840-79cc-4a3d-a52b-b61bd092fe16&amp;suite_entity_num=t100537", "🪡修改：优化了游戏中的VFX效果")</f>
        <v>🪡修改：优化了游戏中的VFX效果</v>
      </c>
      <c r="B210"/>
      <c r="C210" t="inlineStr">
        <is>
          <t>默认分组</t>
        </is>
      </c>
      <c r="D210"/>
      <c r="E210">
        <v>0</v>
      </c>
      <c r="F210" t="inlineStr">
        <is>
          <t>Decay</t>
        </is>
      </c>
      <c r="G210" t="inlineStr">
        <is>
          <t>龚政涛</t>
        </is>
      </c>
      <c r="H210" s="4">
        <v>45695.72620370371</v>
      </c>
      <c r="I210" s="4"/>
      <c r="J210" s="4">
        <v>45912.333333333336</v>
      </c>
      <c r="K210" s="4">
        <v>45918.56037037037</v>
      </c>
      <c r="L210">
        <v>1</v>
      </c>
      <c r="M210">
        <v>0</v>
      </c>
      <c r="N210" t="inlineStr">
        <is>
          <t>NzQxMzM4ODg5NzkxNDY2NzAwOTo3YjIwZDg0MC03OWNjLTRhM2QtYTUyYi1iNjFiZDA5MmZlMTY6MDQ1OTJmNzE2ZmUyZWY2MjcyZjgyMTI1NDRiOTdjM2E6MQ==</t>
        </is>
      </c>
      <c r="O210" t="inlineStr">
        <is>
          <t>0</t>
        </is>
      </c>
      <c r="P210" t="inlineStr">
        <is>
          <t>或签任务</t>
        </is>
      </c>
      <c r="Q210" t="inlineStr">
        <is>
          <t>0</t>
        </is>
      </c>
      <c r="R210" t="inlineStr">
        <is>
          <t>龚政涛,Decay</t>
        </is>
      </c>
      <c r="S210" s="4">
        <v>45904.333333333336</v>
      </c>
      <c r="T210" s="3" t="str">
        <f>=HYPERLINK("https://applink.feishu.cn/client/todo/task_list?guid=4d92b9af-66d1-4cd7-95d1-4b753a64ca6b", "跃入迷城")</f>
        <v>跃入迷城</v>
      </c>
      <c r="U210" t="inlineStr">
        <is>
          <t>4d92b9af-66d1-4cd7-95d1-4b753a64ca6b</t>
        </is>
      </c>
      <c r="V210" t="inlineStr">
        <is>
          <t>7b20d840-79cc-4a3d-a52b-b61bd092fe16</t>
        </is>
      </c>
      <c r="W210"/>
      <c r="X210"/>
      <c r="Y210"/>
      <c r="Z210" t="inlineStr">
        <is>
          <t>0.0.5</t>
        </is>
      </c>
      <c r="AA210" t="inlineStr">
        <is>
          <t>装备</t>
        </is>
      </c>
      <c r="AB210"/>
      <c r="AC210" t="inlineStr">
        <is>
          <t>P3 - Not Related</t>
        </is>
      </c>
      <c r="AD210"/>
      <c r="AE210"/>
    </row>
    <row r="211" ht="25.5" customHeight="1">
      <c r="A211" s="3" t="str">
        <f>=HYPERLINK("https://applink.feishu.cn/client/todo/detail?guid=bc468084-9d28-4fb7-b79c-4d2c864525c4&amp;suite_entity_num=t100536", "子弹需要真实的弹道，并且适当减速")</f>
        <v>子弹需要真实的弹道，并且适当减速</v>
      </c>
      <c r="B211"/>
      <c r="C211" t="inlineStr">
        <is>
          <t>默认分组</t>
        </is>
      </c>
      <c r="D211"/>
      <c r="E211"/>
      <c r="F211" t="inlineStr">
        <is>
          <t>龚政涛</t>
        </is>
      </c>
      <c r="G211" t="inlineStr">
        <is>
          <t>龚政涛</t>
        </is>
      </c>
      <c r="H211" s="4">
        <v>45695.725752314815</v>
      </c>
      <c r="I211" s="4">
        <v>45866.66878472222</v>
      </c>
      <c r="J211" s="4"/>
      <c r="K211" s="4">
        <v>45874.40435185185</v>
      </c>
      <c r="L211">
        <v>0</v>
      </c>
      <c r="M211">
        <v>0</v>
      </c>
      <c r="N211" t="inlineStr">
        <is>
          <t>NzQxMzM4ODg5NzkxNDY2NzAwOTpiYzQ2ODA4NC05ZDI4LTRmYjctYjc5Yy00ZDJjODY0NTI1YzQ6MzhiYzkzMDQ4NTJlMDIyYjI2ZDM2N2I1MjVmYTg1NmE6MQ==</t>
        </is>
      </c>
      <c r="O211" t="inlineStr">
        <is>
          <t>1</t>
        </is>
      </c>
      <c r="P211" t="inlineStr">
        <is>
          <t>或签任务</t>
        </is>
      </c>
      <c r="Q211" t="inlineStr">
        <is>
          <t>0</t>
        </is>
      </c>
      <c r="R211" t="inlineStr">
        <is>
          <t>龚政涛</t>
        </is>
      </c>
      <c r="S211" s="4"/>
      <c r="T211" s="3" t="str">
        <f>=HYPERLINK("https://applink.feishu.cn/client/todo/task_list?guid=4d92b9af-66d1-4cd7-95d1-4b753a64ca6b", "跃入迷城")</f>
        <v>跃入迷城</v>
      </c>
      <c r="U211" t="inlineStr">
        <is>
          <t>4d92b9af-66d1-4cd7-95d1-4b753a64ca6b</t>
        </is>
      </c>
      <c r="V211" t="inlineStr">
        <is>
          <t>bc468084-9d28-4fb7-b79c-4d2c864525c4</t>
        </is>
      </c>
      <c r="W211"/>
      <c r="X211"/>
      <c r="Y211"/>
      <c r="Z211" t="inlineStr">
        <is>
          <t>0.0.5</t>
        </is>
      </c>
      <c r="AA211" t="inlineStr">
        <is>
          <t>装备</t>
        </is>
      </c>
      <c r="AB211" t="inlineStr">
        <is>
          <t>未开始</t>
        </is>
      </c>
      <c r="AC211" t="inlineStr">
        <is>
          <t>P1 - Bigger the Better</t>
        </is>
      </c>
      <c r="AD211" t="inlineStr">
        <is>
          <t>🎮玩法</t>
        </is>
      </c>
      <c r="AE211"/>
    </row>
    <row r="212" ht="25.5" customHeight="1">
      <c r="A212" s="3" t="str">
        <f>=HYPERLINK("https://applink.feishu.cn/client/todo/detail?guid=b158e490-bc63-4f64-a870-7105c0124b09&amp;suite_entity_num=t100538", "近战攻击未完成时，应该无法切换远程武器，现在切了激光笔会穿帮，而且GUI也会有点问题。")</f>
        <v>近战攻击未完成时，应该无法切换远程武器，现在切了激光笔会穿帮，而且GUI也会有点问题。</v>
      </c>
      <c r="B212"/>
      <c r="C212" t="inlineStr">
        <is>
          <t>默认分组</t>
        </is>
      </c>
      <c r="D212"/>
      <c r="E212"/>
      <c r="F212" t="inlineStr">
        <is>
          <t>Decay</t>
        </is>
      </c>
      <c r="G212" t="inlineStr">
        <is>
          <t>龚政涛</t>
        </is>
      </c>
      <c r="H212" s="4">
        <v>45695.7266087963</v>
      </c>
      <c r="I212" s="4">
        <v>45709.456296296295</v>
      </c>
      <c r="J212" s="4"/>
      <c r="K212" s="4">
        <v>45709.456238425926</v>
      </c>
      <c r="L212">
        <v>0</v>
      </c>
      <c r="M212">
        <v>0</v>
      </c>
      <c r="N212" t="inlineStr">
        <is>
          <t>NzQxMzM4ODg5NzkxNDY2NzAwOTpiMTU4ZTQ5MC1iYzYzLTRmNjQtYTg3MC03MTA1YzAxMjRiMDk6OGY2MDcyOWEyYzYzNGExMzU0NGMxYmQxMzk5MmMwMzM6MQ==</t>
        </is>
      </c>
      <c r="O212" t="inlineStr">
        <is>
          <t>1</t>
        </is>
      </c>
      <c r="P212" t="inlineStr">
        <is>
          <t>或签任务</t>
        </is>
      </c>
      <c r="Q212" t="inlineStr">
        <is>
          <t>0</t>
        </is>
      </c>
      <c r="R212" t="inlineStr">
        <is>
          <t>龚政涛,Decay</t>
        </is>
      </c>
      <c r="S212" s="4"/>
      <c r="T212" s="3" t="str">
        <f>=HYPERLINK("https://applink.feishu.cn/client/todo/task_list?guid=4d92b9af-66d1-4cd7-95d1-4b753a64ca6b", "跃入迷城")</f>
        <v>跃入迷城</v>
      </c>
      <c r="U212" t="inlineStr">
        <is>
          <t>4d92b9af-66d1-4cd7-95d1-4b753a64ca6b</t>
        </is>
      </c>
      <c r="V212" t="inlineStr">
        <is>
          <t>b158e490-bc63-4f64-a870-7105c0124b09</t>
        </is>
      </c>
      <c r="W212"/>
      <c r="X212"/>
      <c r="Y212"/>
      <c r="Z212" t="inlineStr">
        <is>
          <t>0.0.4</t>
        </is>
      </c>
      <c r="AA212" t="inlineStr">
        <is>
          <t>装备</t>
        </is>
      </c>
      <c r="AB212" t="inlineStr">
        <is>
          <t>已完成</t>
        </is>
      </c>
      <c r="AC212" t="inlineStr">
        <is>
          <t>P0 - Must (not) Have</t>
        </is>
      </c>
      <c r="AD212"/>
      <c r="AE212"/>
    </row>
    <row r="213" ht="25.5" customHeight="1">
      <c r="A213" s="3" t="str">
        <f>=HYPERLINK("https://applink.feishu.cn/client/todo/detail?guid=81f6fedb-a8b9-4fe2-ae93-d64f7b561027&amp;suite_entity_num=t100539", "敌人在死了以后还有一小段时间能吸收伤害和子弹，是bug")</f>
        <v>敌人在死了以后还有一小段时间能吸收伤害和子弹，是bug</v>
      </c>
      <c r="B213"/>
      <c r="C213" t="inlineStr">
        <is>
          <t>默认分组</t>
        </is>
      </c>
      <c r="D213"/>
      <c r="E213"/>
      <c r="F213" t="inlineStr">
        <is>
          <t>Decay</t>
        </is>
      </c>
      <c r="G213" t="inlineStr">
        <is>
          <t>龚政涛</t>
        </is>
      </c>
      <c r="H213" s="4">
        <v>45696.49055555555</v>
      </c>
      <c r="I213" s="4">
        <v>45709.454884259256</v>
      </c>
      <c r="J213" s="4"/>
      <c r="K213" s="4">
        <v>45709.45482638889</v>
      </c>
      <c r="L213">
        <v>0</v>
      </c>
      <c r="M213">
        <v>0</v>
      </c>
      <c r="N213" t="inlineStr">
        <is>
          <t>NzQxMzM4ODg5NzkxNDY2NzAwOTo4MWY2ZmVkYi1hOGI5LTRmZTItYWU5My1kNjRmN2I1NjEwMjc6ODgzZjZhMzVlMWU3MTE2MGRmZmZjOTUxNWFhMmQzMjc6MQ==</t>
        </is>
      </c>
      <c r="O213" t="inlineStr">
        <is>
          <t>1</t>
        </is>
      </c>
      <c r="P213" t="inlineStr">
        <is>
          <t>或签任务</t>
        </is>
      </c>
      <c r="Q213" t="inlineStr">
        <is>
          <t>0</t>
        </is>
      </c>
      <c r="R213" t="inlineStr">
        <is>
          <t>龚政涛,Decay</t>
        </is>
      </c>
      <c r="S213" s="4"/>
      <c r="T213" s="3" t="str">
        <f>=HYPERLINK("https://applink.feishu.cn/client/todo/task_list?guid=4d92b9af-66d1-4cd7-95d1-4b753a64ca6b", "跃入迷城")</f>
        <v>跃入迷城</v>
      </c>
      <c r="U213" t="inlineStr">
        <is>
          <t>4d92b9af-66d1-4cd7-95d1-4b753a64ca6b</t>
        </is>
      </c>
      <c r="V213" t="inlineStr">
        <is>
          <t>81f6fedb-a8b9-4fe2-ae93-d64f7b561027</t>
        </is>
      </c>
      <c r="W213"/>
      <c r="X213"/>
      <c r="Y213"/>
      <c r="Z213" t="inlineStr">
        <is>
          <t>0.0.4</t>
        </is>
      </c>
      <c r="AA213" t="inlineStr">
        <is>
          <t>AI</t>
        </is>
      </c>
      <c r="AB213" t="inlineStr">
        <is>
          <t>已完成</t>
        </is>
      </c>
      <c r="AC213" t="inlineStr">
        <is>
          <t>P0 - Must (not) Have</t>
        </is>
      </c>
      <c r="AD213"/>
      <c r="AE213"/>
    </row>
    <row r="214" ht="25.5" customHeight="1">
      <c r="A214" s="3" t="str">
        <f>=HYPERLINK("https://applink.feishu.cn/client/todo/detail?guid=e84c1c04-add2-4c96-bb7b-a104034ba1d4&amp;suite_entity_num=t100540", "步枪的远程手持动画换成MoCap的，和手枪一致，跑步动画单独制作")</f>
        <v>步枪的远程手持动画换成MoCap的，和手枪一致，跑步动画单独制作</v>
      </c>
      <c r="B214"/>
      <c r="C214" t="inlineStr">
        <is>
          <t>默认分组</t>
        </is>
      </c>
      <c r="D214"/>
      <c r="E214"/>
      <c r="F214"/>
      <c r="G214" t="inlineStr">
        <is>
          <t>龚政涛</t>
        </is>
      </c>
      <c r="H214" s="4">
        <v>45696.59355324074</v>
      </c>
      <c r="I214" s="4">
        <v>45719.575219907405</v>
      </c>
      <c r="J214" s="4"/>
      <c r="K214" s="4">
        <v>45719.575219907405</v>
      </c>
      <c r="L214">
        <v>0</v>
      </c>
      <c r="M214">
        <v>0</v>
      </c>
      <c r="N214" t="inlineStr">
        <is>
          <t>NzQxMzM4ODg5NzkxNDY2NzAwOTplODRjMWMwNC1hZGQyLTRjOTYtYmI3Yi1hMTA0MDM0YmExZDQ6YjE2YzAxYmQzNGM3MjA4MDNjMWQ5ZWY1NTBmNGVlMzA6MQ==</t>
        </is>
      </c>
      <c r="O214" t="inlineStr">
        <is>
          <t>1</t>
        </is>
      </c>
      <c r="P214" t="inlineStr">
        <is>
          <t>或签任务</t>
        </is>
      </c>
      <c r="Q214" t="inlineStr">
        <is>
          <t>0</t>
        </is>
      </c>
      <c r="R214" t="inlineStr">
        <is>
          <t>龚政涛</t>
        </is>
      </c>
      <c r="S214" s="4"/>
      <c r="T214" s="3" t="str">
        <f>=HYPERLINK("https://applink.feishu.cn/client/todo/task_list?guid=4d92b9af-66d1-4cd7-95d1-4b753a64ca6b", "跃入迷城")</f>
        <v>跃入迷城</v>
      </c>
      <c r="U214" t="inlineStr">
        <is>
          <t>4d92b9af-66d1-4cd7-95d1-4b753a64ca6b</t>
        </is>
      </c>
      <c r="V214" t="inlineStr">
        <is>
          <t>e84c1c04-add2-4c96-bb7b-a104034ba1d4</t>
        </is>
      </c>
      <c r="W214"/>
      <c r="X214"/>
      <c r="Y214"/>
      <c r="Z214" t="inlineStr">
        <is>
          <t>0.1.0</t>
        </is>
      </c>
      <c r="AA214" t="inlineStr">
        <is>
          <t>动画</t>
        </is>
      </c>
      <c r="AB214" t="inlineStr">
        <is>
          <t>已废弃</t>
        </is>
      </c>
      <c r="AC214"/>
      <c r="AD214"/>
      <c r="AE214"/>
    </row>
    <row r="215" ht="25.5" customHeight="1">
      <c r="A215" s="3" t="str">
        <f>=HYPERLINK("https://applink.feishu.cn/client/todo/detail?guid=0d9f9695-a7b2-4ffa-88bc-5e9b74ee0e42&amp;suite_entity_num=t100541", "重武器的动画")</f>
        <v>重武器的动画</v>
      </c>
      <c r="B215"/>
      <c r="C215" t="inlineStr">
        <is>
          <t>默认分组</t>
        </is>
      </c>
      <c r="D215"/>
      <c r="E215"/>
      <c r="F215" t="inlineStr">
        <is>
          <t>龚政涛</t>
        </is>
      </c>
      <c r="G215" t="inlineStr">
        <is>
          <t>龚政涛</t>
        </is>
      </c>
      <c r="H215" s="4">
        <v>45696.59365740741</v>
      </c>
      <c r="I215" s="4"/>
      <c r="J215" s="4"/>
      <c r="K215" s="4">
        <v>45866.66929398148</v>
      </c>
      <c r="L215">
        <v>0</v>
      </c>
      <c r="M215">
        <v>0</v>
      </c>
      <c r="N215" t="inlineStr">
        <is>
          <t>NzQxMzM4ODg5NzkxNDY2NzAwOTowZDlmOTY5NS1hN2IyLTRmZmEtODhiYy01ZTliNzRlZTBlNDI6MGE2ZjZmNDhlN2JjM2RiYzhlM2U1ZjgyMGY1NjA0NDc6MQ==</t>
        </is>
      </c>
      <c r="O215" t="inlineStr">
        <is>
          <t>0</t>
        </is>
      </c>
      <c r="P215" t="inlineStr">
        <is>
          <t>或签任务</t>
        </is>
      </c>
      <c r="Q215" t="inlineStr">
        <is>
          <t>0</t>
        </is>
      </c>
      <c r="R215" t="inlineStr">
        <is>
          <t>龚政涛</t>
        </is>
      </c>
      <c r="S215" s="4"/>
      <c r="T215" s="3" t="str">
        <f>=HYPERLINK("https://applink.feishu.cn/client/todo/task_list?guid=4d92b9af-66d1-4cd7-95d1-4b753a64ca6b", "跃入迷城")</f>
        <v>跃入迷城</v>
      </c>
      <c r="U215" t="inlineStr">
        <is>
          <t>4d92b9af-66d1-4cd7-95d1-4b753a64ca6b</t>
        </is>
      </c>
      <c r="V215" t="inlineStr">
        <is>
          <t>0d9f9695-a7b2-4ffa-88bc-5e9b74ee0e42</t>
        </is>
      </c>
      <c r="W215"/>
      <c r="X215"/>
      <c r="Y215"/>
      <c r="Z215" t="inlineStr">
        <is>
          <t>0.0.5</t>
        </is>
      </c>
      <c r="AA215" t="inlineStr">
        <is>
          <t>动画</t>
        </is>
      </c>
      <c r="AB215" t="inlineStr">
        <is>
          <t>未开始</t>
        </is>
      </c>
      <c r="AC215" t="inlineStr">
        <is>
          <t>P1 - Bigger the Better</t>
        </is>
      </c>
      <c r="AD215" t="inlineStr">
        <is>
          <t>🎨艺术</t>
        </is>
      </c>
      <c r="AE215"/>
    </row>
    <row r="216" ht="25.5" customHeight="1">
      <c r="A216" s="3" t="str">
        <f>=HYPERLINK("https://applink.feishu.cn/client/todo/detail?guid=8028df31-26a5-4b82-b78f-bfac19551bab&amp;suite_entity_num=t100547", "BUG：技能 - 战术翻滚")</f>
        <v>BUG：技能 - 战术翻滚</v>
      </c>
      <c r="B216"/>
      <c r="C216" t="inlineStr">
        <is>
          <t>默认分组</t>
        </is>
      </c>
      <c r="D216"/>
      <c r="E216"/>
      <c r="F216" t="inlineStr">
        <is>
          <t>Decay</t>
        </is>
      </c>
      <c r="G216" t="inlineStr">
        <is>
          <t>龚政涛</t>
        </is>
      </c>
      <c r="H216" s="4">
        <v>45709.475011574075</v>
      </c>
      <c r="I216" s="4">
        <v>45719.54006944445</v>
      </c>
      <c r="J216" s="4"/>
      <c r="K216" s="4">
        <v>45719.54006944445</v>
      </c>
      <c r="L216">
        <v>0</v>
      </c>
      <c r="M216">
        <v>2</v>
      </c>
      <c r="N216" t="inlineStr">
        <is>
          <t>NzQxMzM4ODg5NzkxNDY2NzAwOTo4MDI4ZGYzMS0yNmE1LTRiODItYjc4Zi1iZmFjMTk1NTFiYWI6MmZlY2UxZTVkZWRiZWJhODNhMjNmM2EwNTRlYzQzYzc6MQ==</t>
        </is>
      </c>
      <c r="O216" t="inlineStr">
        <is>
          <t>1</t>
        </is>
      </c>
      <c r="P216" t="inlineStr">
        <is>
          <t>或签任务</t>
        </is>
      </c>
      <c r="Q216" t="inlineStr">
        <is>
          <t>0</t>
        </is>
      </c>
      <c r="R216" t="inlineStr">
        <is>
          <t>龚政涛,Decay</t>
        </is>
      </c>
      <c r="S216" s="4"/>
      <c r="T216" s="3" t="str">
        <f>=HYPERLINK("https://applink.feishu.cn/client/todo/task_list?guid=4d92b9af-66d1-4cd7-95d1-4b753a64ca6b", "跃入迷城")</f>
        <v>跃入迷城</v>
      </c>
      <c r="U216" t="inlineStr">
        <is>
          <t>4d92b9af-66d1-4cd7-95d1-4b753a64ca6b</t>
        </is>
      </c>
      <c r="V216" t="inlineStr">
        <is>
          <t>8028df31-26a5-4b82-b78f-bfac19551bab</t>
        </is>
      </c>
      <c r="W216"/>
      <c r="X216"/>
      <c r="Y216"/>
      <c r="Z216" t="inlineStr">
        <is>
          <t>0.0.4</t>
        </is>
      </c>
      <c r="AA216" t="inlineStr">
        <is>
          <t>技能</t>
        </is>
      </c>
      <c r="AB216" t="inlineStr">
        <is>
          <t>已废弃</t>
        </is>
      </c>
      <c r="AC216"/>
      <c r="AD216"/>
      <c r="AE216"/>
    </row>
    <row r="217" ht="25.5" customHeight="1">
      <c r="A217" s="3" t="str">
        <f>=HYPERLINK("https://applink.feishu.cn/client/todo/detail?guid=7a30ad5d-aa1a-4e5a-9937-567f46d69f20&amp;suite_entity_num=t100548", "近战攻击动画不混合移动")</f>
        <v>近战攻击动画不混合移动</v>
      </c>
      <c r="B217"/>
      <c r="C217" t="inlineStr">
        <is>
          <t>默认分组</t>
        </is>
      </c>
      <c r="D217"/>
      <c r="E217"/>
      <c r="F217" t="inlineStr">
        <is>
          <t>Decay</t>
        </is>
      </c>
      <c r="G217" t="inlineStr">
        <is>
          <t>龚政涛</t>
        </is>
      </c>
      <c r="H217" s="4">
        <v>45713.74820601852</v>
      </c>
      <c r="I217" s="4"/>
      <c r="J217" s="4"/>
      <c r="K217" s="4">
        <v>45866.66925925926</v>
      </c>
      <c r="L217">
        <v>0</v>
      </c>
      <c r="M217">
        <v>2</v>
      </c>
      <c r="N217" t="inlineStr">
        <is>
          <t>NzQxMzM4ODg5NzkxNDY2NzAwOTo3YTMwYWQ1ZC1hYTFhLTRlNWEtOTkzNy01NjdmNDZkNjlmMjA6NjQ3MjIwMjM5ZWVmZDFjYWVjMGNiNzIzYjI0MTRmODc6MQ==</t>
        </is>
      </c>
      <c r="O217" t="inlineStr">
        <is>
          <t>0</t>
        </is>
      </c>
      <c r="P217" t="inlineStr">
        <is>
          <t>或签任务</t>
        </is>
      </c>
      <c r="Q217" t="inlineStr">
        <is>
          <t>0</t>
        </is>
      </c>
      <c r="R217" t="inlineStr">
        <is>
          <t>龚政涛,Decay</t>
        </is>
      </c>
      <c r="S217" s="4"/>
      <c r="T217" s="3" t="str">
        <f>=HYPERLINK("https://applink.feishu.cn/client/todo/task_list?guid=4d92b9af-66d1-4cd7-95d1-4b753a64ca6b", "跃入迷城")</f>
        <v>跃入迷城</v>
      </c>
      <c r="U217" t="inlineStr">
        <is>
          <t>4d92b9af-66d1-4cd7-95d1-4b753a64ca6b</t>
        </is>
      </c>
      <c r="V217" t="inlineStr">
        <is>
          <t>7a30ad5d-aa1a-4e5a-9937-567f46d69f20</t>
        </is>
      </c>
      <c r="W217"/>
      <c r="X217"/>
      <c r="Y217"/>
      <c r="Z217" t="inlineStr">
        <is>
          <t>0.0.5</t>
        </is>
      </c>
      <c r="AA217" t="inlineStr">
        <is>
          <t>动画</t>
        </is>
      </c>
      <c r="AB217" t="inlineStr">
        <is>
          <t>未开始</t>
        </is>
      </c>
      <c r="AC217" t="inlineStr">
        <is>
          <t>P1 - Bigger the Better</t>
        </is>
      </c>
      <c r="AD217" t="inlineStr">
        <is>
          <t>🛠️技术</t>
        </is>
      </c>
      <c r="AE217"/>
    </row>
    <row r="218" ht="25.5" customHeight="1">
      <c r="A218" s="3" t="str">
        <f>=HYPERLINK("https://applink.feishu.cn/client/todo/detail?guid=f5d7abc0-b293-4e47-a722-4649479910cb&amp;suite_entity_num=t100549", "Hint VFX自己的Fade Out太拖沓")</f>
        <v>Hint VFX自己的Fade Out太拖沓</v>
      </c>
      <c r="B218"/>
      <c r="C218" t="inlineStr">
        <is>
          <t>默认分组</t>
        </is>
      </c>
      <c r="D218"/>
      <c r="E218"/>
      <c r="F218"/>
      <c r="G218" t="inlineStr">
        <is>
          <t>龚政涛</t>
        </is>
      </c>
      <c r="H218" s="4">
        <v>45714.49799768518</v>
      </c>
      <c r="I218" s="4"/>
      <c r="J218" s="4"/>
      <c r="K218" s="4">
        <v>45866.669016203705</v>
      </c>
      <c r="L218">
        <v>0</v>
      </c>
      <c r="M218">
        <v>1</v>
      </c>
      <c r="N218" t="inlineStr">
        <is>
          <t>NzQxMzM4ODg5NzkxNDY2NzAwOTpmNWQ3YWJjMC1iMjkzLTRlNDctYTcyMi00NjQ5NDc5OTEwY2I6YTZiN2VkNzAxMzBjYTM2NzJlNzExODZhNjY1NmQ5Yzg6MQ==</t>
        </is>
      </c>
      <c r="O218" t="inlineStr">
        <is>
          <t>0</t>
        </is>
      </c>
      <c r="P218" t="inlineStr">
        <is>
          <t>或签任务</t>
        </is>
      </c>
      <c r="Q218" t="inlineStr">
        <is>
          <t>0</t>
        </is>
      </c>
      <c r="R218" t="inlineStr">
        <is>
          <t>龚政涛</t>
        </is>
      </c>
      <c r="S218" s="4"/>
      <c r="T218" s="3" t="str">
        <f>=HYPERLINK("https://applink.feishu.cn/client/todo/task_list?guid=4d92b9af-66d1-4cd7-95d1-4b753a64ca6b", "跃入迷城")</f>
        <v>跃入迷城</v>
      </c>
      <c r="U218" t="inlineStr">
        <is>
          <t>4d92b9af-66d1-4cd7-95d1-4b753a64ca6b</t>
        </is>
      </c>
      <c r="V218" t="inlineStr">
        <is>
          <t>f5d7abc0-b293-4e47-a722-4649479910cb</t>
        </is>
      </c>
      <c r="W218"/>
      <c r="X218"/>
      <c r="Y218"/>
      <c r="Z218" t="inlineStr">
        <is>
          <t>0.0.5</t>
        </is>
      </c>
      <c r="AA218" t="inlineStr">
        <is>
          <t>VFX</t>
        </is>
      </c>
      <c r="AB218" t="inlineStr">
        <is>
          <t>未开始</t>
        </is>
      </c>
      <c r="AC218" t="inlineStr">
        <is>
          <t>P1 - Bigger the Better</t>
        </is>
      </c>
      <c r="AD218" t="inlineStr">
        <is>
          <t>🎨艺术</t>
        </is>
      </c>
      <c r="AE218"/>
    </row>
    <row r="219" ht="25.5" customHeight="1">
      <c r="A219" s="3" t="str">
        <f>=HYPERLINK("https://applink.feishu.cn/client/todo/detail?guid=3cd10cb7-5b87-4550-af5c-3bb0d2b1e180&amp;suite_entity_num=t100550", "BUG：技能 - 战术翻滚；缺少弹药重装填")</f>
        <v>BUG：技能 - 战术翻滚；缺少弹药重装填</v>
      </c>
      <c r="B219"/>
      <c r="C219" t="inlineStr">
        <is>
          <t>默认分组</t>
        </is>
      </c>
      <c r="D219"/>
      <c r="E219"/>
      <c r="F219" t="inlineStr">
        <is>
          <t>Decay</t>
        </is>
      </c>
      <c r="G219" t="inlineStr">
        <is>
          <t>Decay</t>
        </is>
      </c>
      <c r="H219" s="4">
        <v>45714.72987268519</v>
      </c>
      <c r="I219" s="4">
        <v>45730.673310185186</v>
      </c>
      <c r="J219" s="4">
        <v>45724.333333333336</v>
      </c>
      <c r="K219" s="4">
        <v>45730.67329861111</v>
      </c>
      <c r="L219">
        <v>0</v>
      </c>
      <c r="M219">
        <v>0</v>
      </c>
      <c r="N219" t="inlineStr">
        <is>
          <t>NzQxMzM4ODg5NzkxNDY2NzAwOTozY2QxMGNiNy01Yjg3LTQ1NTAtYWY1Yy0zYmIwZDJiMWUxODA6ZWYyMmMzNjZkNTNlMTc4ZmZmZGM4MmVjZmRjZmEyZjY6MQ==</t>
        </is>
      </c>
      <c r="O219" t="inlineStr">
        <is>
          <t>1</t>
        </is>
      </c>
      <c r="P219" t="inlineStr">
        <is>
          <t>或签任务</t>
        </is>
      </c>
      <c r="Q219" t="inlineStr">
        <is>
          <t>0</t>
        </is>
      </c>
      <c r="R219" t="inlineStr">
        <is>
          <t>Decay</t>
        </is>
      </c>
      <c r="S219" s="4"/>
      <c r="T219" s="3" t="str">
        <f>=HYPERLINK("https://applink.feishu.cn/client/todo/task_list?guid=4d92b9af-66d1-4cd7-95d1-4b753a64ca6b", "跃入迷城")</f>
        <v>跃入迷城</v>
      </c>
      <c r="U219" t="inlineStr">
        <is>
          <t>4d92b9af-66d1-4cd7-95d1-4b753a64ca6b</t>
        </is>
      </c>
      <c r="V219" t="inlineStr">
        <is>
          <t>3cd10cb7-5b87-4550-af5c-3bb0d2b1e180</t>
        </is>
      </c>
      <c r="W219"/>
      <c r="X219"/>
      <c r="Y219"/>
      <c r="Z219" t="inlineStr">
        <is>
          <t>0.0.4</t>
        </is>
      </c>
      <c r="AA219" t="inlineStr">
        <is>
          <t>技能</t>
        </is>
      </c>
      <c r="AB219" t="inlineStr">
        <is>
          <t>已完成</t>
        </is>
      </c>
      <c r="AC219" t="inlineStr">
        <is>
          <t>P1 - Bigger the Better</t>
        </is>
      </c>
      <c r="AD219"/>
      <c r="AE219"/>
    </row>
    <row r="220" ht="25.5" customHeight="1">
      <c r="A220" s="3" t="str">
        <f>=HYPERLINK("https://applink.feishu.cn/client/todo/detail?guid=97a36a54-fd4b-4d6b-bb96-03de494d23f5&amp;suite_entity_num=t100552", "电磁异常导致敌人定身")</f>
        <v>电磁异常导致敌人定身</v>
      </c>
      <c r="B220"/>
      <c r="C220" t="inlineStr">
        <is>
          <t>默认分组</t>
        </is>
      </c>
      <c r="D220"/>
      <c r="E220"/>
      <c r="F220" t="inlineStr">
        <is>
          <t>Decay</t>
        </is>
      </c>
      <c r="G220" t="inlineStr">
        <is>
          <t>Decay</t>
        </is>
      </c>
      <c r="H220" s="4">
        <v>45715.55247685185</v>
      </c>
      <c r="I220" s="4">
        <v>45720.716990740744</v>
      </c>
      <c r="J220" s="4">
        <v>45719.333333333336</v>
      </c>
      <c r="K220" s="4">
        <v>45720.716990740744</v>
      </c>
      <c r="L220">
        <v>0</v>
      </c>
      <c r="M220">
        <v>2</v>
      </c>
      <c r="N220" t="inlineStr">
        <is>
          <t>NzQxMzM4ODg5NzkxNDY2NzAwOTo5N2EzNmE1NC1mZDRiLTRkNmItYmI5Ni0wM2RlNDk0ZDIzZjU6MDUwNDcwZWMxMWU2ZjczNTU1YTRlNTQ1NjUwM2E2ZGI6MQ==</t>
        </is>
      </c>
      <c r="O220" t="inlineStr">
        <is>
          <t>1</t>
        </is>
      </c>
      <c r="P220" t="inlineStr">
        <is>
          <t>或签任务</t>
        </is>
      </c>
      <c r="Q220" t="inlineStr">
        <is>
          <t>0</t>
        </is>
      </c>
      <c r="R220" t="inlineStr">
        <is>
          <t>Decay</t>
        </is>
      </c>
      <c r="S220" s="4"/>
      <c r="T220" s="3" t="str">
        <f>=HYPERLINK("https://applink.feishu.cn/client/todo/task_list?guid=4d92b9af-66d1-4cd7-95d1-4b753a64ca6b", "跃入迷城")</f>
        <v>跃入迷城</v>
      </c>
      <c r="U220" t="inlineStr">
        <is>
          <t>4d92b9af-66d1-4cd7-95d1-4b753a64ca6b</t>
        </is>
      </c>
      <c r="V220" t="inlineStr">
        <is>
          <t>97a36a54-fd4b-4d6b-bb96-03de494d23f5</t>
        </is>
      </c>
      <c r="W220"/>
      <c r="X220"/>
      <c r="Y220"/>
      <c r="Z220" t="inlineStr">
        <is>
          <t>0.0.4</t>
        </is>
      </c>
      <c r="AA220" t="inlineStr">
        <is>
          <t>装备</t>
        </is>
      </c>
      <c r="AB220" t="inlineStr">
        <is>
          <t>已废弃</t>
        </is>
      </c>
      <c r="AC220" t="inlineStr">
        <is>
          <t>P0 - Must (not) Have</t>
        </is>
      </c>
      <c r="AD220"/>
      <c r="AE220"/>
    </row>
    <row r="221" ht="25.5" customHeight="1">
      <c r="A221" s="3" t="str">
        <f>=HYPERLINK("https://applink.feishu.cn/client/todo/detail?guid=f71f03de-1d60-465a-9796-64b07fc581f1&amp;suite_entity_num=t100556", "需要制作Boss血条UI，目前小怪UI被隐藏")</f>
        <v>需要制作Boss血条UI，目前小怪UI被隐藏</v>
      </c>
      <c r="B221"/>
      <c r="C221" t="inlineStr">
        <is>
          <t>默认分组</t>
        </is>
      </c>
      <c r="D221"/>
      <c r="E221"/>
      <c r="F221"/>
      <c r="G221" t="inlineStr">
        <is>
          <t>龚政涛</t>
        </is>
      </c>
      <c r="H221" s="4">
        <v>45715.70520833333</v>
      </c>
      <c r="I221" s="4">
        <v>45719.58193287037</v>
      </c>
      <c r="J221" s="4"/>
      <c r="K221" s="4">
        <v>45719.58194444444</v>
      </c>
      <c r="L221">
        <v>0</v>
      </c>
      <c r="M221">
        <v>1</v>
      </c>
      <c r="N221" t="inlineStr">
        <is>
          <t>NzQxMzM4ODg5NzkxNDY2NzAwOTpmNzFmMDNkZS0xZDYwLTQ2NWEtOTc5Ni02NGIwN2ZjNTgxZjE6ZGIxMzZiYTc5OGJiODc2NmVmZDBiY2IzNDMzYTM2N2I6MQ==</t>
        </is>
      </c>
      <c r="O221" t="inlineStr">
        <is>
          <t>1</t>
        </is>
      </c>
      <c r="P221" t="inlineStr">
        <is>
          <t>或签任务</t>
        </is>
      </c>
      <c r="Q221" t="inlineStr">
        <is>
          <t>0</t>
        </is>
      </c>
      <c r="R221" t="inlineStr">
        <is>
          <t>龚政涛</t>
        </is>
      </c>
      <c r="S221" s="4"/>
      <c r="T221" s="3" t="str">
        <f>=HYPERLINK("https://applink.feishu.cn/client/todo/task_list?guid=4d92b9af-66d1-4cd7-95d1-4b753a64ca6b", "跃入迷城")</f>
        <v>跃入迷城</v>
      </c>
      <c r="U221" t="inlineStr">
        <is>
          <t>4d92b9af-66d1-4cd7-95d1-4b753a64ca6b</t>
        </is>
      </c>
      <c r="V221" t="inlineStr">
        <is>
          <t>f71f03de-1d60-465a-9796-64b07fc581f1</t>
        </is>
      </c>
      <c r="W221"/>
      <c r="X221"/>
      <c r="Y221"/>
      <c r="Z221" t="inlineStr">
        <is>
          <t>0.0.4</t>
        </is>
      </c>
      <c r="AA221" t="inlineStr">
        <is>
          <t>平面美术</t>
        </is>
      </c>
      <c r="AB221" t="inlineStr">
        <is>
          <t>已废弃</t>
        </is>
      </c>
      <c r="AC221" t="inlineStr">
        <is>
          <t>P0 - Must (not) Have</t>
        </is>
      </c>
      <c r="AD221"/>
      <c r="AE221"/>
    </row>
    <row r="222" ht="25.5" customHeight="1">
      <c r="A222" s="3" t="str">
        <f>=HYPERLINK("https://applink.feishu.cn/client/todo/detail?guid=d7bb80b5-92c7-4f3e-8268-4915be8b245c&amp;suite_entity_num=t100554", "技能 - 麻痹射击；需要调整弹道速度")</f>
        <v>技能 - 麻痹射击；需要调整弹道速度</v>
      </c>
      <c r="B222"/>
      <c r="C222" t="inlineStr">
        <is>
          <t>默认分组</t>
        </is>
      </c>
      <c r="D222"/>
      <c r="E222"/>
      <c r="F222" t="inlineStr">
        <is>
          <t>Decay</t>
        </is>
      </c>
      <c r="G222" t="inlineStr">
        <is>
          <t>龚政涛</t>
        </is>
      </c>
      <c r="H222" s="4">
        <v>45715.66814814815</v>
      </c>
      <c r="I222" s="4">
        <v>45730.658101851855</v>
      </c>
      <c r="J222" s="4"/>
      <c r="K222" s="4">
        <v>45730.65809027778</v>
      </c>
      <c r="L222">
        <v>0</v>
      </c>
      <c r="M222">
        <v>1</v>
      </c>
      <c r="N222" t="inlineStr">
        <is>
          <t>NzQxMzM4ODg5NzkxNDY2NzAwOTpkN2JiODBiNS05MmM3LTRmM2UtODI2OC00OTE1YmU4YjI0NWM6MTI0Y2RkNmViNzU5NmU5ZjA1MTE1YjNhZjE0ZjU5OWI6MQ==</t>
        </is>
      </c>
      <c r="O222" t="inlineStr">
        <is>
          <t>1</t>
        </is>
      </c>
      <c r="P222" t="inlineStr">
        <is>
          <t>或签任务</t>
        </is>
      </c>
      <c r="Q222" t="inlineStr">
        <is>
          <t>0</t>
        </is>
      </c>
      <c r="R222" t="inlineStr">
        <is>
          <t>龚政涛,Decay</t>
        </is>
      </c>
      <c r="S222" s="4"/>
      <c r="T222" s="3" t="str">
        <f>=HYPERLINK("https://applink.feishu.cn/client/todo/task_list?guid=4d92b9af-66d1-4cd7-95d1-4b753a64ca6b", "跃入迷城")</f>
        <v>跃入迷城</v>
      </c>
      <c r="U222" t="inlineStr">
        <is>
          <t>4d92b9af-66d1-4cd7-95d1-4b753a64ca6b</t>
        </is>
      </c>
      <c r="V222" t="inlineStr">
        <is>
          <t>d7bb80b5-92c7-4f3e-8268-4915be8b245c</t>
        </is>
      </c>
      <c r="W222"/>
      <c r="X222"/>
      <c r="Y222"/>
      <c r="Z222" t="inlineStr">
        <is>
          <t>0.0.4</t>
        </is>
      </c>
      <c r="AA222" t="inlineStr">
        <is>
          <t>技能</t>
        </is>
      </c>
      <c r="AB222" t="inlineStr">
        <is>
          <t>已完成</t>
        </is>
      </c>
      <c r="AC222" t="inlineStr">
        <is>
          <t>P1 - Bigger the Better</t>
        </is>
      </c>
      <c r="AD222"/>
      <c r="AE222"/>
    </row>
    <row r="223" ht="25.5" customHeight="1">
      <c r="A223" s="3" t="str">
        <f>=HYPERLINK("https://applink.feishu.cn/client/todo/detail?guid=accb6661-544b-4cd6-b18c-8a66f4a686ac&amp;suite_entity_num=t100555", "居合斩的damage rate不生效")</f>
        <v>居合斩的damage rate不生效</v>
      </c>
      <c r="B223"/>
      <c r="C223" t="inlineStr">
        <is>
          <t>默认分组</t>
        </is>
      </c>
      <c r="D223"/>
      <c r="E223"/>
      <c r="F223" t="inlineStr">
        <is>
          <t>Decay</t>
        </is>
      </c>
      <c r="G223" t="inlineStr">
        <is>
          <t>龚政涛</t>
        </is>
      </c>
      <c r="H223" s="4">
        <v>45715.704409722224</v>
      </c>
      <c r="I223" s="4">
        <v>45730.67501157407</v>
      </c>
      <c r="J223" s="4"/>
      <c r="K223" s="4">
        <v>45730.67501157407</v>
      </c>
      <c r="L223">
        <v>0</v>
      </c>
      <c r="M223">
        <v>0</v>
      </c>
      <c r="N223" t="inlineStr">
        <is>
          <t>NzQxMzM4ODg5NzkxNDY2NzAwOTphY2NiNjY2MS01NDRiLTRjZDYtYjE4Yy04YTY2ZjRhNjg2YWM6NTBmYWViMzIzNDY5MzcxMmRlMGYxZDBmMzhmOWE4ZTI6MQ==</t>
        </is>
      </c>
      <c r="O223" t="inlineStr">
        <is>
          <t>1</t>
        </is>
      </c>
      <c r="P223" t="inlineStr">
        <is>
          <t>或签任务</t>
        </is>
      </c>
      <c r="Q223" t="inlineStr">
        <is>
          <t>0</t>
        </is>
      </c>
      <c r="R223" t="inlineStr">
        <is>
          <t>龚政涛,Decay</t>
        </is>
      </c>
      <c r="S223" s="4"/>
      <c r="T223" s="3" t="str">
        <f>=HYPERLINK("https://applink.feishu.cn/client/todo/task_list?guid=4d92b9af-66d1-4cd7-95d1-4b753a64ca6b", "跃入迷城")</f>
        <v>跃入迷城</v>
      </c>
      <c r="U223" t="inlineStr">
        <is>
          <t>4d92b9af-66d1-4cd7-95d1-4b753a64ca6b</t>
        </is>
      </c>
      <c r="V223" t="inlineStr">
        <is>
          <t>accb6661-544b-4cd6-b18c-8a66f4a686ac</t>
        </is>
      </c>
      <c r="W223"/>
      <c r="X223"/>
      <c r="Y223"/>
      <c r="Z223" t="inlineStr">
        <is>
          <t>0.0.4</t>
        </is>
      </c>
      <c r="AA223" t="inlineStr">
        <is>
          <t>技能</t>
        </is>
      </c>
      <c r="AB223" t="inlineStr">
        <is>
          <t>已完成</t>
        </is>
      </c>
      <c r="AC223" t="inlineStr">
        <is>
          <t>P1 - Bigger the Better</t>
        </is>
      </c>
      <c r="AD223"/>
      <c r="AE223"/>
    </row>
    <row r="224" ht="25.5" customHeight="1">
      <c r="A224" s="3" t="str">
        <f>=HYPERLINK("https://applink.feishu.cn/client/todo/detail?guid=135548d4-02aa-4a09-83cc-914732151472&amp;suite_entity_num=t100560", "EnemySpawn调整")</f>
        <v>EnemySpawn调整</v>
      </c>
      <c r="B224"/>
      <c r="C224" t="inlineStr">
        <is>
          <t>默认分组</t>
        </is>
      </c>
      <c r="D224"/>
      <c r="E224"/>
      <c r="F224" t="inlineStr">
        <is>
          <t>Decay</t>
        </is>
      </c>
      <c r="G224" t="inlineStr">
        <is>
          <t>Decay</t>
        </is>
      </c>
      <c r="H224" s="4">
        <v>45716.69673611111</v>
      </c>
      <c r="I224" s="4">
        <v>45719.55982638889</v>
      </c>
      <c r="J224" s="4"/>
      <c r="K224" s="4">
        <v>45719.55982638889</v>
      </c>
      <c r="L224">
        <v>0</v>
      </c>
      <c r="M224">
        <v>1</v>
      </c>
      <c r="N224" t="inlineStr">
        <is>
          <t>NzQxMzM4ODg5NzkxNDY2NzAwOToxMzU1NDhkNC0wMmFhLTRhMDktODNjYy05MTQ3MzIxNTE0NzI6NTIxYTA4YjYxMmYyY2YwNzdiZDU1ZmUzNzkzY2Y0YzY6MQ==</t>
        </is>
      </c>
      <c r="O224" t="inlineStr">
        <is>
          <t>1</t>
        </is>
      </c>
      <c r="P224" t="inlineStr">
        <is>
          <t>或签任务</t>
        </is>
      </c>
      <c r="Q224" t="inlineStr">
        <is>
          <t>0</t>
        </is>
      </c>
      <c r="R224" t="inlineStr">
        <is>
          <t>Decay</t>
        </is>
      </c>
      <c r="S224" s="4"/>
      <c r="T224" s="3" t="str">
        <f>=HYPERLINK("https://applink.feishu.cn/client/todo/task_list?guid=4d92b9af-66d1-4cd7-95d1-4b753a64ca6b", "跃入迷城")</f>
        <v>跃入迷城</v>
      </c>
      <c r="U224" t="inlineStr">
        <is>
          <t>4d92b9af-66d1-4cd7-95d1-4b753a64ca6b</t>
        </is>
      </c>
      <c r="V224" t="inlineStr">
        <is>
          <t>135548d4-02aa-4a09-83cc-914732151472</t>
        </is>
      </c>
      <c r="W224"/>
      <c r="X224"/>
      <c r="Y224"/>
      <c r="Z224" t="inlineStr">
        <is>
          <t>0.0.4</t>
        </is>
      </c>
      <c r="AA224" t="inlineStr">
        <is>
          <t>AI</t>
        </is>
      </c>
      <c r="AB224" t="inlineStr">
        <is>
          <t>已完成</t>
        </is>
      </c>
      <c r="AC224" t="inlineStr">
        <is>
          <t>P2 - Nice to Have</t>
        </is>
      </c>
      <c r="AD224"/>
      <c r="AE224"/>
    </row>
    <row r="225" ht="25.5" customHeight="1">
      <c r="A225" s="3" t="str">
        <f>=HYPERLINK("https://applink.feishu.cn/client/todo/detail?guid=6607c84c-8531-40d5-9fa9-156d4b692b98&amp;suite_entity_num=t100559", "伤害数字 &lt; 🪡修改：彻底更新了场景内、HUD的UI效果")</f>
        <v>伤害数字 &lt; 🪡修改：彻底更新了场景内、HUD的UI效果</v>
      </c>
      <c r="B225"/>
      <c r="C225" t="inlineStr">
        <is>
          <t>默认分组</t>
        </is>
      </c>
      <c r="D225"/>
      <c r="E225"/>
      <c r="F225" t="inlineStr">
        <is>
          <t>郭斯已</t>
        </is>
      </c>
      <c r="G225" t="inlineStr">
        <is>
          <t>Decay</t>
        </is>
      </c>
      <c r="H225" s="4">
        <v>45716.69261574074</v>
      </c>
      <c r="I225" s="4"/>
      <c r="J225" s="4">
        <v>45917.333333333336</v>
      </c>
      <c r="K225" s="4">
        <v>45917.44814814815</v>
      </c>
      <c r="L225">
        <v>0</v>
      </c>
      <c r="M225">
        <v>1</v>
      </c>
      <c r="N225" t="inlineStr">
        <is>
          <t>NzQxMzM4ODg5NzkxNDY2NzAwOTo2NjA3Yzg0Yy04NTMxLTQwZDUtOWZhOS0xNTZkNGI2OTJiOTg6Njg4MGUyODg2NmQwMjE0YjczYjJhMjczNjFiNTJiMzc6MQ==</t>
        </is>
      </c>
      <c r="O225" t="inlineStr">
        <is>
          <t>0</t>
        </is>
      </c>
      <c r="P225" t="inlineStr">
        <is>
          <t>或签任务</t>
        </is>
      </c>
      <c r="Q225" t="inlineStr">
        <is>
          <t>0</t>
        </is>
      </c>
      <c r="R225" t="inlineStr">
        <is>
          <t>Decay,龚政涛,郭斯已</t>
        </is>
      </c>
      <c r="S225" s="4">
        <v>45898.333333333336</v>
      </c>
      <c r="T225" s="3" t="str">
        <f>=HYPERLINK("https://applink.feishu.cn/client/todo/task_list?guid=4d92b9af-66d1-4cd7-95d1-4b753a64ca6b", "跃入迷城")</f>
        <v>跃入迷城</v>
      </c>
      <c r="U225" t="inlineStr">
        <is>
          <t>4d92b9af-66d1-4cd7-95d1-4b753a64ca6b</t>
        </is>
      </c>
      <c r="V225" t="inlineStr">
        <is>
          <t>6607c84c-8531-40d5-9fa9-156d4b692b98</t>
        </is>
      </c>
      <c r="W225"/>
      <c r="X225"/>
      <c r="Y225" t="inlineStr">
        <is>
          <t>ee9e782f-8625-473f-ba1b-d97ed6c6e2f9</t>
        </is>
      </c>
      <c r="Z225" t="inlineStr">
        <is>
          <t>0.0.5</t>
        </is>
      </c>
      <c r="AA225" t="inlineStr">
        <is>
          <t>UIUX</t>
        </is>
      </c>
      <c r="AB225" t="inlineStr">
        <is>
          <t>工作中</t>
        </is>
      </c>
      <c r="AC225" t="inlineStr">
        <is>
          <t>P1 - Bigger the Better</t>
        </is>
      </c>
      <c r="AD225" t="inlineStr">
        <is>
          <t>🎨艺术</t>
        </is>
      </c>
      <c r="AE225">
        <v>2</v>
      </c>
    </row>
    <row r="226" ht="25.5" customHeight="1">
      <c r="A226" s="3" t="str">
        <f>=HYPERLINK("https://applink.feishu.cn/client/todo/detail?guid=81916951-2277-4b51-9327-27e8746accd4&amp;suite_entity_num=t100562", "玩家死亡后不再跳伤害数字 / AI不再攻击玩家")</f>
        <v>玩家死亡后不再跳伤害数字 / AI不再攻击玩家</v>
      </c>
      <c r="B226"/>
      <c r="C226" t="inlineStr">
        <is>
          <t>默认分组</t>
        </is>
      </c>
      <c r="D226"/>
      <c r="E226"/>
      <c r="F226" t="inlineStr">
        <is>
          <t>Decay</t>
        </is>
      </c>
      <c r="G226" t="inlineStr">
        <is>
          <t>Decay</t>
        </is>
      </c>
      <c r="H226" s="4">
        <v>45716.73947916667</v>
      </c>
      <c r="I226" s="4">
        <v>45733.70854166667</v>
      </c>
      <c r="J226" s="4"/>
      <c r="K226" s="4">
        <v>45733.708553240744</v>
      </c>
      <c r="L226">
        <v>0</v>
      </c>
      <c r="M226">
        <v>2</v>
      </c>
      <c r="N226" t="inlineStr">
        <is>
          <t>NzQxMzM4ODg5NzkxNDY2NzAwOTo4MTkxNjk1MS0yMjc3LTRiNTEtOTMyNy0yN2U4NzQ2YWNjZDQ6N2Q4NjM0NGE2Yjc1NGE5YWE1OTg0ZGFhOGY4MTMzZTQ6MQ==</t>
        </is>
      </c>
      <c r="O226" t="inlineStr">
        <is>
          <t>1</t>
        </is>
      </c>
      <c r="P226" t="inlineStr">
        <is>
          <t>或签任务</t>
        </is>
      </c>
      <c r="Q226" t="inlineStr">
        <is>
          <t>0</t>
        </is>
      </c>
      <c r="R226" t="inlineStr">
        <is>
          <t>Decay,龚政涛</t>
        </is>
      </c>
      <c r="S226" s="4"/>
      <c r="T226" s="3" t="str">
        <f>=HYPERLINK("https://applink.feishu.cn/client/todo/task_list?guid=4d92b9af-66d1-4cd7-95d1-4b753a64ca6b", "跃入迷城")</f>
        <v>跃入迷城</v>
      </c>
      <c r="U226" t="inlineStr">
        <is>
          <t>4d92b9af-66d1-4cd7-95d1-4b753a64ca6b</t>
        </is>
      </c>
      <c r="V226" t="inlineStr">
        <is>
          <t>81916951-2277-4b51-9327-27e8746accd4</t>
        </is>
      </c>
      <c r="W226"/>
      <c r="X226"/>
      <c r="Y226"/>
      <c r="Z226" t="inlineStr">
        <is>
          <t>0.0.5</t>
        </is>
      </c>
      <c r="AA226" t="inlineStr">
        <is>
          <t>程序底层</t>
        </is>
      </c>
      <c r="AB226" t="inlineStr">
        <is>
          <t>已完成</t>
        </is>
      </c>
      <c r="AC226" t="inlineStr">
        <is>
          <t>P1 - Bigger the Better</t>
        </is>
      </c>
      <c r="AD226"/>
      <c r="AE226"/>
    </row>
    <row r="227" ht="25.5" customHeight="1">
      <c r="A227" s="3" t="str">
        <f>=HYPERLINK("https://applink.feishu.cn/client/todo/detail?guid=1b21144c-8171-4024-8a0a-759ffe7ccca8&amp;suite_entity_num=t100561", "装备相关 - 智脑 / 行为芯片 / 同部位多义体")</f>
        <v>装备相关 - 智脑 / 行为芯片 / 同部位多义体</v>
      </c>
      <c r="B227"/>
      <c r="C227" t="inlineStr">
        <is>
          <t>默认分组</t>
        </is>
      </c>
      <c r="D227"/>
      <c r="E227"/>
      <c r="F227" t="inlineStr">
        <is>
          <t>Decay</t>
        </is>
      </c>
      <c r="G227" t="inlineStr">
        <is>
          <t>Decay</t>
        </is>
      </c>
      <c r="H227" s="4">
        <v>45716.71364583333</v>
      </c>
      <c r="I227" s="4">
        <v>45812.4390162037</v>
      </c>
      <c r="J227" s="4"/>
      <c r="K227" s="4">
        <v>45874.40480324074</v>
      </c>
      <c r="L227">
        <v>0</v>
      </c>
      <c r="M227">
        <v>5</v>
      </c>
      <c r="N227" t="inlineStr">
        <is>
          <t>NzQxMzM4ODg5NzkxNDY2NzAwOToxYjIxMTQ0Yy04MTcxLTQwMjQtOGEwYS03NTlmZmU3Y2NjYTg6NThkZDcxN2ZmMTBkNDI3MjA0MWIyZTA0YWFiMGYzZGY6MQ==</t>
        </is>
      </c>
      <c r="O227" t="inlineStr">
        <is>
          <t>1</t>
        </is>
      </c>
      <c r="P227" t="inlineStr">
        <is>
          <t>或签任务</t>
        </is>
      </c>
      <c r="Q227" t="inlineStr">
        <is>
          <t>0</t>
        </is>
      </c>
      <c r="R227" t="inlineStr">
        <is>
          <t>Decay,龚政涛,朱金标</t>
        </is>
      </c>
      <c r="S227" s="4"/>
      <c r="T227" s="3" t="str">
        <f>=HYPERLINK("https://applink.feishu.cn/client/todo/task_list?guid=4d92b9af-66d1-4cd7-95d1-4b753a64ca6b", "跃入迷城")</f>
        <v>跃入迷城</v>
      </c>
      <c r="U227" t="inlineStr">
        <is>
          <t>4d92b9af-66d1-4cd7-95d1-4b753a64ca6b</t>
        </is>
      </c>
      <c r="V227" t="inlineStr">
        <is>
          <t>1b21144c-8171-4024-8a0a-759ffe7ccca8</t>
        </is>
      </c>
      <c r="W227"/>
      <c r="X227"/>
      <c r="Y227"/>
      <c r="Z227" t="inlineStr">
        <is>
          <t>0.0.5</t>
        </is>
      </c>
      <c r="AA227" t="inlineStr">
        <is>
          <t>装备</t>
        </is>
      </c>
      <c r="AB227" t="inlineStr">
        <is>
          <t>已完成</t>
        </is>
      </c>
      <c r="AC227" t="inlineStr">
        <is>
          <t>P1 - Bigger the Better</t>
        </is>
      </c>
      <c r="AD227" t="inlineStr">
        <is>
          <t>🛠️技术</t>
        </is>
      </c>
      <c r="AE227"/>
    </row>
    <row r="228" ht="25.5" customHeight="1">
      <c r="A228" s="3" t="str">
        <f>=HYPERLINK("https://applink.feishu.cn/client/todo/detail?guid=1d80558f-9ae1-495d-8a50-4e09c1f98aed&amp;suite_entity_num=t100569", "移动时增加子弹散布 / 子弹散布鼠标UI")</f>
        <v>移动时增加子弹散布 / 子弹散布鼠标UI</v>
      </c>
      <c r="B228"/>
      <c r="C228" t="inlineStr">
        <is>
          <t>默认分组</t>
        </is>
      </c>
      <c r="D228"/>
      <c r="E228"/>
      <c r="F228" t="inlineStr">
        <is>
          <t>Decay</t>
        </is>
      </c>
      <c r="G228" t="inlineStr">
        <is>
          <t>Decay</t>
        </is>
      </c>
      <c r="H228" s="4">
        <v>45716.75171296296</v>
      </c>
      <c r="I228" s="4">
        <v>45733.708715277775</v>
      </c>
      <c r="J228" s="4"/>
      <c r="K228" s="4">
        <v>45733.708715277775</v>
      </c>
      <c r="L228">
        <v>0</v>
      </c>
      <c r="M228">
        <v>31</v>
      </c>
      <c r="N228" t="inlineStr">
        <is>
          <t>NzQxMzM4ODg5NzkxNDY2NzAwOToxZDgwNTU4Zi05YWUxLTQ5NWQtOGE1MC00ZTA5YzFmOThhZWQ6YWY5ZjNjZDgwOTJhODJmMDlkNjA2NjI4NDY1MzE5YWU6MQ==</t>
        </is>
      </c>
      <c r="O228" t="inlineStr">
        <is>
          <t>1</t>
        </is>
      </c>
      <c r="P228" t="inlineStr">
        <is>
          <t>或签任务</t>
        </is>
      </c>
      <c r="Q228" t="inlineStr">
        <is>
          <t>0</t>
        </is>
      </c>
      <c r="R228" t="inlineStr">
        <is>
          <t>Decay,龚政涛</t>
        </is>
      </c>
      <c r="S228" s="4"/>
      <c r="T228" s="3" t="str">
        <f>=HYPERLINK("https://applink.feishu.cn/client/todo/task_list?guid=4d92b9af-66d1-4cd7-95d1-4b753a64ca6b", "跃入迷城")</f>
        <v>跃入迷城</v>
      </c>
      <c r="U228" t="inlineStr">
        <is>
          <t>4d92b9af-66d1-4cd7-95d1-4b753a64ca6b</t>
        </is>
      </c>
      <c r="V228" t="inlineStr">
        <is>
          <t>1d80558f-9ae1-495d-8a50-4e09c1f98aed</t>
        </is>
      </c>
      <c r="W228"/>
      <c r="X228"/>
      <c r="Y228"/>
      <c r="Z228" t="inlineStr">
        <is>
          <t>0.0.5</t>
        </is>
      </c>
      <c r="AA228" t="inlineStr">
        <is>
          <t>操作</t>
        </is>
      </c>
      <c r="AB228" t="inlineStr">
        <is>
          <t>已完成</t>
        </is>
      </c>
      <c r="AC228" t="inlineStr">
        <is>
          <t>P1 - Bigger the Better</t>
        </is>
      </c>
      <c r="AD228"/>
      <c r="AE228"/>
    </row>
    <row r="229" ht="25.5" customHeight="1">
      <c r="A229" s="3" t="str">
        <f>=HYPERLINK("https://applink.feishu.cn/client/todo/detail?guid=6460f324-a1f6-47ea-bdae-c0e78ac80e88&amp;suite_entity_num=t100571", "公寓战争迷雾")</f>
        <v>公寓战争迷雾</v>
      </c>
      <c r="B229"/>
      <c r="C229" t="inlineStr">
        <is>
          <t>默认分组</t>
        </is>
      </c>
      <c r="D229"/>
      <c r="E229"/>
      <c r="F229" t="inlineStr">
        <is>
          <t>Decay</t>
        </is>
      </c>
      <c r="G229" t="inlineStr">
        <is>
          <t>Decay</t>
        </is>
      </c>
      <c r="H229" s="4">
        <v>45716.75462962963</v>
      </c>
      <c r="I229" s="4">
        <v>45726.62464120371</v>
      </c>
      <c r="J229" s="4"/>
      <c r="K229" s="4">
        <v>45726.62464120371</v>
      </c>
      <c r="L229">
        <v>0</v>
      </c>
      <c r="M229">
        <v>0</v>
      </c>
      <c r="N229" t="inlineStr">
        <is>
          <t>NzQxMzM4ODg5NzkxNDY2NzAwOTo2NDYwZjMyNC1hMWY2LTQ3ZWEtYmRhZS1jMGU3OGFjODBlODg6OTg0MWVjMTQyMTEzOWFlODBhMDZmYWZkZGJiN2ZlMTI6MQ==</t>
        </is>
      </c>
      <c r="O229" t="inlineStr">
        <is>
          <t>1</t>
        </is>
      </c>
      <c r="P229" t="inlineStr">
        <is>
          <t>或签任务</t>
        </is>
      </c>
      <c r="Q229" t="inlineStr">
        <is>
          <t>0</t>
        </is>
      </c>
      <c r="R229" t="inlineStr">
        <is>
          <t>Decay</t>
        </is>
      </c>
      <c r="S229" s="4"/>
      <c r="T229" s="3" t="str">
        <f>=HYPERLINK("https://applink.feishu.cn/client/todo/task_list?guid=4d92b9af-66d1-4cd7-95d1-4b753a64ca6b", "跃入迷城")</f>
        <v>跃入迷城</v>
      </c>
      <c r="U229" t="inlineStr">
        <is>
          <t>4d92b9af-66d1-4cd7-95d1-4b753a64ca6b</t>
        </is>
      </c>
      <c r="V229" t="inlineStr">
        <is>
          <t>6460f324-a1f6-47ea-bdae-c0e78ac80e88</t>
        </is>
      </c>
      <c r="W229"/>
      <c r="X229"/>
      <c r="Y229"/>
      <c r="Z229" t="inlineStr">
        <is>
          <t>0.0.4</t>
        </is>
      </c>
      <c r="AA229" t="inlineStr">
        <is>
          <t>镜头</t>
        </is>
      </c>
      <c r="AB229" t="inlineStr">
        <is>
          <t>已完成</t>
        </is>
      </c>
      <c r="AC229" t="inlineStr">
        <is>
          <t>P0 - Must (not) Have</t>
        </is>
      </c>
      <c r="AD229"/>
      <c r="AE229"/>
    </row>
    <row r="230" ht="25.5" customHeight="1">
      <c r="A230" s="3" t="str">
        <f>=HYPERLINK("https://applink.feishu.cn/client/todo/detail?guid=f5803ba0-12a6-4854-9a6b-1028296d1e0b&amp;suite_entity_num=t100564", "✨新增：安全屋增加了仓库配置功能")</f>
        <v>✨新增：安全屋增加了仓库配置功能</v>
      </c>
      <c r="B230"/>
      <c r="C230" t="inlineStr">
        <is>
          <t>默认分组</t>
        </is>
      </c>
      <c r="D230"/>
      <c r="E230"/>
      <c r="F230" t="inlineStr">
        <is>
          <t>Decay</t>
        </is>
      </c>
      <c r="G230" t="inlineStr">
        <is>
          <t>Decay</t>
        </is>
      </c>
      <c r="H230" s="4">
        <v>45716.7434375</v>
      </c>
      <c r="I230" s="4"/>
      <c r="J230" s="4">
        <v>45918.333333333336</v>
      </c>
      <c r="K230" s="4">
        <v>45918.56024305556</v>
      </c>
      <c r="L230">
        <v>0</v>
      </c>
      <c r="M230">
        <v>2</v>
      </c>
      <c r="N230" t="inlineStr">
        <is>
          <t>NzQxMzM4ODg5NzkxNDY2NzAwOTpmNTgwM2JhMC0xMmE2LTQ4NTQtOWE2Yi0xMDI4Mjk2ZDFlMGI6YWJiN2MyYzZkMzJhNGQ0NWQ4OTQzZTA3YmNjZTgwMDM6MQ==</t>
        </is>
      </c>
      <c r="O230" t="inlineStr">
        <is>
          <t>0</t>
        </is>
      </c>
      <c r="P230" t="inlineStr">
        <is>
          <t>或签任务</t>
        </is>
      </c>
      <c r="Q230" t="inlineStr">
        <is>
          <t>0</t>
        </is>
      </c>
      <c r="R230" t="inlineStr">
        <is>
          <t>Decay</t>
        </is>
      </c>
      <c r="S230" s="4">
        <v>45905.333333333336</v>
      </c>
      <c r="T230" s="3" t="str">
        <f>=HYPERLINK("https://applink.feishu.cn/client/todo/task_list?guid=4d92b9af-66d1-4cd7-95d1-4b753a64ca6b", "跃入迷城")</f>
        <v>跃入迷城</v>
      </c>
      <c r="U230" t="inlineStr">
        <is>
          <t>4d92b9af-66d1-4cd7-95d1-4b753a64ca6b</t>
        </is>
      </c>
      <c r="V230" t="inlineStr">
        <is>
          <t>f5803ba0-12a6-4854-9a6b-1028296d1e0b</t>
        </is>
      </c>
      <c r="W230"/>
      <c r="X230"/>
      <c r="Y230"/>
      <c r="Z230" t="inlineStr">
        <is>
          <t>0.0.5</t>
        </is>
      </c>
      <c r="AA230" t="inlineStr">
        <is>
          <t>装备</t>
        </is>
      </c>
      <c r="AB230"/>
      <c r="AC230" t="inlineStr">
        <is>
          <t>P0 - Must (not) Have</t>
        </is>
      </c>
      <c r="AD230" t="inlineStr">
        <is>
          <t>🎮玩法</t>
        </is>
      </c>
      <c r="AE230"/>
    </row>
    <row r="231" ht="25.5" customHeight="1">
      <c r="A231" s="3" t="str">
        <f>=HYPERLINK("https://applink.feishu.cn/client/todo/detail?guid=defea95e-6ef8-492e-83b7-0f145badbe52&amp;suite_entity_num=t100573", "武器收纳方向调整（现在太刀什么的都刀剑朝前在腰上）")</f>
        <v>武器收纳方向调整（现在太刀什么的都刀剑朝前在腰上）</v>
      </c>
      <c r="B231"/>
      <c r="C231" t="inlineStr">
        <is>
          <t>默认分组</t>
        </is>
      </c>
      <c r="D231"/>
      <c r="E231"/>
      <c r="F231" t="inlineStr">
        <is>
          <t>Decay</t>
        </is>
      </c>
      <c r="G231" t="inlineStr">
        <is>
          <t>Decay</t>
        </is>
      </c>
      <c r="H231" s="4">
        <v>45716.756319444445</v>
      </c>
      <c r="I231" s="4"/>
      <c r="J231" s="4"/>
      <c r="K231" s="4">
        <v>45890.47833333333</v>
      </c>
      <c r="L231">
        <v>0</v>
      </c>
      <c r="M231">
        <v>0</v>
      </c>
      <c r="N231" t="inlineStr">
        <is>
          <t>NzQxMzM4ODg5NzkxNDY2NzAwOTpkZWZlYTk1ZS02ZWY4LTQ5MmUtODNiNy0wZjE0NWJhZGJlNTI6YzliNjc5ZjQwNjU4ZDBjNDdhYzgwMTY5OWI2NmViOWM6MQ==</t>
        </is>
      </c>
      <c r="O231" t="inlineStr">
        <is>
          <t>0</t>
        </is>
      </c>
      <c r="P231" t="inlineStr">
        <is>
          <t>或签任务</t>
        </is>
      </c>
      <c r="Q231" t="inlineStr">
        <is>
          <t>0</t>
        </is>
      </c>
      <c r="R231" t="inlineStr">
        <is>
          <t>Decay</t>
        </is>
      </c>
      <c r="S231" s="4"/>
      <c r="T231" s="3" t="str">
        <f>=HYPERLINK("https://applink.feishu.cn/client/todo/task_list?guid=4d92b9af-66d1-4cd7-95d1-4b753a64ca6b", "跃入迷城")</f>
        <v>跃入迷城</v>
      </c>
      <c r="U231" t="inlineStr">
        <is>
          <t>4d92b9af-66d1-4cd7-95d1-4b753a64ca6b</t>
        </is>
      </c>
      <c r="V231" t="inlineStr">
        <is>
          <t>defea95e-6ef8-492e-83b7-0f145badbe52</t>
        </is>
      </c>
      <c r="W231"/>
      <c r="X231"/>
      <c r="Y231"/>
      <c r="Z231" t="inlineStr">
        <is>
          <t>0.1.0</t>
        </is>
      </c>
      <c r="AA231" t="inlineStr">
        <is>
          <t>装备</t>
        </is>
      </c>
      <c r="AB231"/>
      <c r="AC231" t="inlineStr">
        <is>
          <t>P1 - Bigger the Better</t>
        </is>
      </c>
      <c r="AD231"/>
      <c r="AE231"/>
    </row>
    <row r="232" ht="25.5" customHeight="1">
      <c r="A232" s="3" t="str">
        <f>=HYPERLINK("https://applink.feishu.cn/client/todo/detail?guid=5ea4486d-fd79-4719-b583-775e79676d5c&amp;suite_entity_num=t100570", "死亡后移除确认按钮")</f>
        <v>死亡后移除确认按钮</v>
      </c>
      <c r="B232"/>
      <c r="C232" t="inlineStr">
        <is>
          <t>默认分组</t>
        </is>
      </c>
      <c r="D232"/>
      <c r="E232"/>
      <c r="F232" t="inlineStr">
        <is>
          <t>Decay</t>
        </is>
      </c>
      <c r="G232" t="inlineStr">
        <is>
          <t>Decay</t>
        </is>
      </c>
      <c r="H232" s="4">
        <v>45716.75320601852</v>
      </c>
      <c r="I232" s="4">
        <v>45730.66521990741</v>
      </c>
      <c r="J232" s="4"/>
      <c r="K232" s="4">
        <v>45730.66521990741</v>
      </c>
      <c r="L232">
        <v>0</v>
      </c>
      <c r="M232">
        <v>0</v>
      </c>
      <c r="N232" t="inlineStr">
        <is>
          <t>NzQxMzM4ODg5NzkxNDY2NzAwOTo1ZWE0NDg2ZC1mZDc5LTQ3MTktYjU4My03NzVlNzk2NzZkNWM6OGVkNTQwYTkzMDA1NWRlNmQ0ZTUxZjcxNTM3YmM0MWE6MQ==</t>
        </is>
      </c>
      <c r="O232" t="inlineStr">
        <is>
          <t>1</t>
        </is>
      </c>
      <c r="P232" t="inlineStr">
        <is>
          <t>或签任务</t>
        </is>
      </c>
      <c r="Q232" t="inlineStr">
        <is>
          <t>0</t>
        </is>
      </c>
      <c r="R232" t="inlineStr">
        <is>
          <t>Decay</t>
        </is>
      </c>
      <c r="S232" s="4"/>
      <c r="T232" s="3" t="str">
        <f>=HYPERLINK("https://applink.feishu.cn/client/todo/task_list?guid=4d92b9af-66d1-4cd7-95d1-4b753a64ca6b", "跃入迷城")</f>
        <v>跃入迷城</v>
      </c>
      <c r="U232" t="inlineStr">
        <is>
          <t>4d92b9af-66d1-4cd7-95d1-4b753a64ca6b</t>
        </is>
      </c>
      <c r="V232" t="inlineStr">
        <is>
          <t>5ea4486d-fd79-4719-b583-775e79676d5c</t>
        </is>
      </c>
      <c r="W232"/>
      <c r="X232"/>
      <c r="Y232"/>
      <c r="Z232" t="inlineStr">
        <is>
          <t>0.0.4</t>
        </is>
      </c>
      <c r="AA232" t="inlineStr">
        <is>
          <t>关卡</t>
        </is>
      </c>
      <c r="AB232" t="inlineStr">
        <is>
          <t>已完成</t>
        </is>
      </c>
      <c r="AC232" t="inlineStr">
        <is>
          <t>P1 - Bigger the Better</t>
        </is>
      </c>
      <c r="AD232"/>
      <c r="AE232"/>
    </row>
    <row r="233" ht="25.5" customHeight="1">
      <c r="A233" s="3" t="str">
        <f>=HYPERLINK("https://applink.feishu.cn/client/todo/detail?guid=a000b820-7b55-4200-afa5-2eb36396174d&amp;suite_entity_num=t100567", "武器打印机卡片UI更新: 技能数值字段 / 特殊技能")</f>
        <v>武器打印机卡片UI更新: 技能数值字段 / 特殊技能</v>
      </c>
      <c r="B233"/>
      <c r="C233" t="inlineStr">
        <is>
          <t>默认分组</t>
        </is>
      </c>
      <c r="D233"/>
      <c r="E233"/>
      <c r="F233" t="inlineStr">
        <is>
          <t>Decay</t>
        </is>
      </c>
      <c r="G233" t="inlineStr">
        <is>
          <t>Decay</t>
        </is>
      </c>
      <c r="H233" s="4">
        <v>45716.74722222222</v>
      </c>
      <c r="I233" s="4">
        <v>45726.62920138889</v>
      </c>
      <c r="J233" s="4"/>
      <c r="K233" s="4">
        <v>45726.62918981481</v>
      </c>
      <c r="L233">
        <v>0</v>
      </c>
      <c r="M233">
        <v>6</v>
      </c>
      <c r="N233" t="inlineStr">
        <is>
          <t>NzQxMzM4ODg5NzkxNDY2NzAwOTphMDAwYjgyMC03YjU1LTQyMDAtYWZhNS0yZWIzNjM5NjE3NGQ6NzY5ODA1ZDRiNTQwZGFjM2FjMWQ3MGJjZThiNGM3ZDM6MQ==</t>
        </is>
      </c>
      <c r="O233" t="inlineStr">
        <is>
          <t>1</t>
        </is>
      </c>
      <c r="P233" t="inlineStr">
        <is>
          <t>或签任务</t>
        </is>
      </c>
      <c r="Q233" t="inlineStr">
        <is>
          <t>0</t>
        </is>
      </c>
      <c r="R233" t="inlineStr">
        <is>
          <t>龚政涛,Decay</t>
        </is>
      </c>
      <c r="S233" s="4"/>
      <c r="T233" s="3" t="str">
        <f>=HYPERLINK("https://applink.feishu.cn/client/todo/task_list?guid=4d92b9af-66d1-4cd7-95d1-4b753a64ca6b", "跃入迷城")</f>
        <v>跃入迷城</v>
      </c>
      <c r="U233" t="inlineStr">
        <is>
          <t>4d92b9af-66d1-4cd7-95d1-4b753a64ca6b</t>
        </is>
      </c>
      <c r="V233" t="inlineStr">
        <is>
          <t>a000b820-7b55-4200-afa5-2eb36396174d</t>
        </is>
      </c>
      <c r="W233"/>
      <c r="X233"/>
      <c r="Y233"/>
      <c r="Z233" t="inlineStr">
        <is>
          <t>0.0.4</t>
        </is>
      </c>
      <c r="AA233" t="inlineStr">
        <is>
          <t>装备</t>
        </is>
      </c>
      <c r="AB233" t="inlineStr">
        <is>
          <t>已完成</t>
        </is>
      </c>
      <c r="AC233" t="inlineStr">
        <is>
          <t>P0 - Must (not) Have</t>
        </is>
      </c>
      <c r="AD233"/>
      <c r="AE233"/>
    </row>
    <row r="234" ht="25.5" customHeight="1">
      <c r="A234" s="3" t="str">
        <f>=HYPERLINK("https://applink.feishu.cn/client/todo/detail?guid=934504db-16c1-4312-976d-4e68fa718f20&amp;suite_entity_num=t100565", "局外进入局内时携带的钱数量固定")</f>
        <v>局外进入局内时携带的钱数量固定</v>
      </c>
      <c r="B234"/>
      <c r="C234" t="inlineStr">
        <is>
          <t>默认分组</t>
        </is>
      </c>
      <c r="D234"/>
      <c r="E234"/>
      <c r="F234" t="inlineStr">
        <is>
          <t>Decay</t>
        </is>
      </c>
      <c r="G234" t="inlineStr">
        <is>
          <t>Decay</t>
        </is>
      </c>
      <c r="H234" s="4">
        <v>45716.74596064815</v>
      </c>
      <c r="I234" s="4">
        <v>45730.59237268518</v>
      </c>
      <c r="J234" s="4"/>
      <c r="K234" s="4">
        <v>45730.59237268518</v>
      </c>
      <c r="L234">
        <v>0</v>
      </c>
      <c r="M234">
        <v>1</v>
      </c>
      <c r="N234" t="inlineStr">
        <is>
          <t>NzQxMzM4ODg5NzkxNDY2NzAwOTo5MzQ1MDRkYi0xNmMxLTQzMTItOTc2ZC00ZTY4ZmE3MThmMjA6YjgzYjdjMWUwMmRkNTU5NWZjZGIzNGZiODNjYmUyNmE6MQ==</t>
        </is>
      </c>
      <c r="O234" t="inlineStr">
        <is>
          <t>1</t>
        </is>
      </c>
      <c r="P234" t="inlineStr">
        <is>
          <t>或签任务</t>
        </is>
      </c>
      <c r="Q234" t="inlineStr">
        <is>
          <t>0</t>
        </is>
      </c>
      <c r="R234" t="inlineStr">
        <is>
          <t>Decay,龚政涛</t>
        </is>
      </c>
      <c r="S234" s="4"/>
      <c r="T234" s="3" t="str">
        <f>=HYPERLINK("https://applink.feishu.cn/client/todo/task_list?guid=4d92b9af-66d1-4cd7-95d1-4b753a64ca6b", "跃入迷城")</f>
        <v>跃入迷城</v>
      </c>
      <c r="U234" t="inlineStr">
        <is>
          <t>4d92b9af-66d1-4cd7-95d1-4b753a64ca6b</t>
        </is>
      </c>
      <c r="V234" t="inlineStr">
        <is>
          <t>934504db-16c1-4312-976d-4e68fa718f20</t>
        </is>
      </c>
      <c r="W234"/>
      <c r="X234"/>
      <c r="Y234"/>
      <c r="Z234" t="inlineStr">
        <is>
          <t>0.0.4</t>
        </is>
      </c>
      <c r="AA234" t="inlineStr">
        <is>
          <t>装备</t>
        </is>
      </c>
      <c r="AB234" t="inlineStr">
        <is>
          <t>已完成</t>
        </is>
      </c>
      <c r="AC234" t="inlineStr">
        <is>
          <t>P1 - Bigger the Better</t>
        </is>
      </c>
      <c r="AD234"/>
      <c r="AE234"/>
    </row>
    <row r="235" ht="25.5" customHeight="1">
      <c r="A235" s="3" t="str">
        <f>=HYPERLINK("https://applink.feishu.cn/client/todo/detail?guid=fa5542c1-025d-4303-87d0-ec040f5e5378&amp;suite_entity_num=t100574", "公寓武器禁用逻辑（持枪行走但不可开火）")</f>
        <v>公寓武器禁用逻辑（持枪行走但不可开火）</v>
      </c>
      <c r="B235"/>
      <c r="C235" t="inlineStr">
        <is>
          <t>默认分组</t>
        </is>
      </c>
      <c r="D235"/>
      <c r="E235"/>
      <c r="F235" t="inlineStr">
        <is>
          <t>Decay</t>
        </is>
      </c>
      <c r="G235" t="inlineStr">
        <is>
          <t>Decay</t>
        </is>
      </c>
      <c r="H235" s="4">
        <v>45716.756898148145</v>
      </c>
      <c r="I235" s="4"/>
      <c r="J235" s="4"/>
      <c r="K235" s="4">
        <v>45890.47792824074</v>
      </c>
      <c r="L235">
        <v>0</v>
      </c>
      <c r="M235">
        <v>0</v>
      </c>
      <c r="N235" t="inlineStr">
        <is>
          <t>NzQxMzM4ODg5NzkxNDY2NzAwOTpmYTU1NDJjMS0wMjVkLTQzMDMtODdkMC1lYzA0MGY1ZTUzNzg6OTAwNTU0MWFlYzM1ODlmNzFiODVhM2RiYzUxYzhjNGM6MQ==</t>
        </is>
      </c>
      <c r="O235" t="inlineStr">
        <is>
          <t>0</t>
        </is>
      </c>
      <c r="P235" t="inlineStr">
        <is>
          <t>或签任务</t>
        </is>
      </c>
      <c r="Q235" t="inlineStr">
        <is>
          <t>0</t>
        </is>
      </c>
      <c r="R235" t="inlineStr">
        <is>
          <t>Decay</t>
        </is>
      </c>
      <c r="S235" s="4"/>
      <c r="T235" s="3" t="str">
        <f>=HYPERLINK("https://applink.feishu.cn/client/todo/task_list?guid=4d92b9af-66d1-4cd7-95d1-4b753a64ca6b", "跃入迷城")</f>
        <v>跃入迷城</v>
      </c>
      <c r="U235" t="inlineStr">
        <is>
          <t>4d92b9af-66d1-4cd7-95d1-4b753a64ca6b</t>
        </is>
      </c>
      <c r="V235" t="inlineStr">
        <is>
          <t>fa5542c1-025d-4303-87d0-ec040f5e5378</t>
        </is>
      </c>
      <c r="W235"/>
      <c r="X235"/>
      <c r="Y235"/>
      <c r="Z235" t="inlineStr">
        <is>
          <t>0.0.5</t>
        </is>
      </c>
      <c r="AA235" t="inlineStr">
        <is>
          <t>操作</t>
        </is>
      </c>
      <c r="AB235"/>
      <c r="AC235" t="inlineStr">
        <is>
          <t>P2 - Nice to Have</t>
        </is>
      </c>
      <c r="AD235" t="inlineStr">
        <is>
          <t>🛠️技术</t>
        </is>
      </c>
      <c r="AE235"/>
    </row>
    <row r="236" ht="25.5" customHeight="1">
      <c r="A236" s="3" t="str">
        <f>=HYPERLINK("https://applink.feishu.cn/client/todo/detail?guid=7bf2d24f-4a52-47f6-b452-ccf4f106f4b7&amp;suite_entity_num=t100566", "所有AOE伤害需要能被墙壁阻挡")</f>
        <v>所有AOE伤害需要能被墙壁阻挡</v>
      </c>
      <c r="B236"/>
      <c r="C236" t="inlineStr">
        <is>
          <t>默认分组</t>
        </is>
      </c>
      <c r="D236"/>
      <c r="E236"/>
      <c r="F236" t="inlineStr">
        <is>
          <t>Decay</t>
        </is>
      </c>
      <c r="G236" t="inlineStr">
        <is>
          <t>Decay</t>
        </is>
      </c>
      <c r="H236" s="4">
        <v>45716.74653935185</v>
      </c>
      <c r="I236" s="4">
        <v>45726.74565972222</v>
      </c>
      <c r="J236" s="4"/>
      <c r="K236" s="4">
        <v>45874.40424768518</v>
      </c>
      <c r="L236">
        <v>0</v>
      </c>
      <c r="M236">
        <v>3</v>
      </c>
      <c r="N236" t="inlineStr">
        <is>
          <t>NzQxMzM4ODg5NzkxNDY2NzAwOTo3YmYyZDI0Zi00YTUyLTQ3ZjYtYjQ1Mi1jY2Y0ZjEwNmY0Yjc6NDRmYmRhZjM5YjI0MWNjMDU2NTVkODFhMzYxMmNjNzE6MQ==</t>
        </is>
      </c>
      <c r="O236" t="inlineStr">
        <is>
          <t>1</t>
        </is>
      </c>
      <c r="P236" t="inlineStr">
        <is>
          <t>或签任务</t>
        </is>
      </c>
      <c r="Q236" t="inlineStr">
        <is>
          <t>0</t>
        </is>
      </c>
      <c r="R236" t="inlineStr">
        <is>
          <t>Decay,龚政涛</t>
        </is>
      </c>
      <c r="S236" s="4"/>
      <c r="T236" s="3" t="str">
        <f>=HYPERLINK("https://applink.feishu.cn/client/todo/task_list?guid=4d92b9af-66d1-4cd7-95d1-4b753a64ca6b", "跃入迷城")</f>
        <v>跃入迷城</v>
      </c>
      <c r="U236" t="inlineStr">
        <is>
          <t>4d92b9af-66d1-4cd7-95d1-4b753a64ca6b</t>
        </is>
      </c>
      <c r="V236" t="inlineStr">
        <is>
          <t>7bf2d24f-4a52-47f6-b452-ccf4f106f4b7</t>
        </is>
      </c>
      <c r="W236"/>
      <c r="X236"/>
      <c r="Y236"/>
      <c r="Z236" t="inlineStr">
        <is>
          <t>0.0.5</t>
        </is>
      </c>
      <c r="AA236" t="inlineStr">
        <is>
          <t>技能</t>
        </is>
      </c>
      <c r="AB236" t="inlineStr">
        <is>
          <t>已完成</t>
        </is>
      </c>
      <c r="AC236" t="inlineStr">
        <is>
          <t>P1 - Bigger the Better</t>
        </is>
      </c>
      <c r="AD236" t="inlineStr">
        <is>
          <t>🛠️技术</t>
        </is>
      </c>
      <c r="AE236"/>
    </row>
    <row r="237" ht="25.5" customHeight="1">
      <c r="A237" s="3" t="str">
        <f>=HYPERLINK("https://applink.feishu.cn/client/todo/detail?guid=306bc539-a37c-4ada-95e5-efddee6bebb5&amp;suite_entity_num=t100568", "完成剩余技能")</f>
        <v>完成剩余技能</v>
      </c>
      <c r="B237"/>
      <c r="C237" t="inlineStr">
        <is>
          <t>默认分组</t>
        </is>
      </c>
      <c r="D237"/>
      <c r="E237"/>
      <c r="F237" t="inlineStr">
        <is>
          <t>Decay</t>
        </is>
      </c>
      <c r="G237" t="inlineStr">
        <is>
          <t>Decay</t>
        </is>
      </c>
      <c r="H237" s="4">
        <v>45716.7508912037</v>
      </c>
      <c r="I237" s="4">
        <v>45787.08710648148</v>
      </c>
      <c r="J237" s="4"/>
      <c r="K237" s="4">
        <v>45787.08710648148</v>
      </c>
      <c r="L237">
        <v>0</v>
      </c>
      <c r="M237">
        <v>2</v>
      </c>
      <c r="N237" t="inlineStr">
        <is>
          <t>NzQxMzM4ODg5NzkxNDY2NzAwOTozMDZiYzUzOS1hMzdjLTRhZGEtOTVlNS1lZmRkZWU2YmViYjU6N2IxMjkxNjExMTU0ZGY5MDM0YWYxZTMxZTBmYTQzYzc6MQ==</t>
        </is>
      </c>
      <c r="O237" t="inlineStr">
        <is>
          <t>1</t>
        </is>
      </c>
      <c r="P237" t="inlineStr">
        <is>
          <t>或签任务</t>
        </is>
      </c>
      <c r="Q237" t="inlineStr">
        <is>
          <t>0</t>
        </is>
      </c>
      <c r="R237" t="inlineStr">
        <is>
          <t>Decay</t>
        </is>
      </c>
      <c r="S237" s="4"/>
      <c r="T237" s="3" t="str">
        <f>=HYPERLINK("https://applink.feishu.cn/client/todo/task_list?guid=4d92b9af-66d1-4cd7-95d1-4b753a64ca6b", "跃入迷城")</f>
        <v>跃入迷城</v>
      </c>
      <c r="U237" t="inlineStr">
        <is>
          <t>4d92b9af-66d1-4cd7-95d1-4b753a64ca6b</t>
        </is>
      </c>
      <c r="V237" t="inlineStr">
        <is>
          <t>306bc539-a37c-4ada-95e5-efddee6bebb5</t>
        </is>
      </c>
      <c r="W237"/>
      <c r="X237"/>
      <c r="Y237"/>
      <c r="Z237" t="inlineStr">
        <is>
          <t>0.1.0</t>
        </is>
      </c>
      <c r="AA237" t="inlineStr">
        <is>
          <t>技能</t>
        </is>
      </c>
      <c r="AB237" t="inlineStr">
        <is>
          <t>已废弃</t>
        </is>
      </c>
      <c r="AC237" t="inlineStr">
        <is>
          <t>P2 - Nice to Have</t>
        </is>
      </c>
      <c r="AD237"/>
      <c r="AE237"/>
    </row>
    <row r="238" ht="25.5" customHeight="1">
      <c r="A238" s="3" t="str">
        <f>=HYPERLINK("https://applink.feishu.cn/client/todo/detail?guid=d701f38b-762e-4205-b484-d2328e2c5ccb&amp;suite_entity_num=t100563", "🪡修改：随着楼层的上升，奖励设施体提供了更稀有的装备或武器")</f>
        <v>🪡修改：随着楼层的上升，奖励设施体提供了更稀有的装备或武器</v>
      </c>
      <c r="B238"/>
      <c r="C238" t="inlineStr">
        <is>
          <t>默认分组</t>
        </is>
      </c>
      <c r="D238"/>
      <c r="E238"/>
      <c r="F238" t="inlineStr">
        <is>
          <t>Decay</t>
        </is>
      </c>
      <c r="G238" t="inlineStr">
        <is>
          <t>Decay</t>
        </is>
      </c>
      <c r="H238" s="4">
        <v>45716.74182870371</v>
      </c>
      <c r="I238" s="4"/>
      <c r="J238" s="4">
        <v>45912.333333333336</v>
      </c>
      <c r="K238" s="4">
        <v>45918.56028935185</v>
      </c>
      <c r="L238">
        <v>0</v>
      </c>
      <c r="M238">
        <v>0</v>
      </c>
      <c r="N238" t="inlineStr">
        <is>
          <t>NzQxMzM4ODg5NzkxNDY2NzAwOTpkNzAxZjM4Yi03NjJlLTQyMDUtYjQ4NC1kMjMyOGUyYzVjY2I6YjNlMzI2MGY2NzljMGQ0YWNmNzE4MTRiNjlmODBlODI6MQ==</t>
        </is>
      </c>
      <c r="O238" t="inlineStr">
        <is>
          <t>0</t>
        </is>
      </c>
      <c r="P238" t="inlineStr">
        <is>
          <t>或签任务</t>
        </is>
      </c>
      <c r="Q238" t="inlineStr">
        <is>
          <t>0</t>
        </is>
      </c>
      <c r="R238" t="inlineStr">
        <is>
          <t>Decay</t>
        </is>
      </c>
      <c r="S238" s="4">
        <v>45903.333333333336</v>
      </c>
      <c r="T238" s="3" t="str">
        <f>=HYPERLINK("https://applink.feishu.cn/client/todo/task_list?guid=4d92b9af-66d1-4cd7-95d1-4b753a64ca6b", "跃入迷城")</f>
        <v>跃入迷城</v>
      </c>
      <c r="U238" t="inlineStr">
        <is>
          <t>4d92b9af-66d1-4cd7-95d1-4b753a64ca6b</t>
        </is>
      </c>
      <c r="V238" t="inlineStr">
        <is>
          <t>d701f38b-762e-4205-b484-d2328e2c5ccb</t>
        </is>
      </c>
      <c r="W238" t="inlineStr">
        <is>
          <t>350a3a9a-342b-4547-8bf1-61f409611911</t>
        </is>
      </c>
      <c r="X238" t="inlineStr">
        <is>
          <t>fa0159e7-ccc8-48bb-b78a-5acdd62cf97c</t>
        </is>
      </c>
      <c r="Y238"/>
      <c r="Z238" t="inlineStr">
        <is>
          <t>0.0.5</t>
        </is>
      </c>
      <c r="AA238" t="inlineStr">
        <is>
          <t>装备</t>
        </is>
      </c>
      <c r="AB238"/>
      <c r="AC238" t="inlineStr">
        <is>
          <t>P2 - Nice to Have</t>
        </is>
      </c>
      <c r="AD238" t="inlineStr">
        <is>
          <t>🎮玩法</t>
        </is>
      </c>
      <c r="AE238"/>
    </row>
    <row r="239" ht="25.5" customHeight="1">
      <c r="A239" s="3" t="str">
        <f>=HYPERLINK("https://applink.feishu.cn/client/todo/detail?guid=58ada5a1-235f-4d51-9117-10646159a896&amp;suite_entity_num=t100575", "✨新增：增加了动态刷怪功能")</f>
        <v>✨新增：增加了动态刷怪功能</v>
      </c>
      <c r="B239"/>
      <c r="C239" t="inlineStr">
        <is>
          <t>默认分组</t>
        </is>
      </c>
      <c r="D239"/>
      <c r="E239"/>
      <c r="F239" t="inlineStr">
        <is>
          <t>Decay</t>
        </is>
      </c>
      <c r="G239" t="inlineStr">
        <is>
          <t>Decay</t>
        </is>
      </c>
      <c r="H239" s="4">
        <v>45717.66978009259</v>
      </c>
      <c r="I239" s="4"/>
      <c r="J239" s="4"/>
      <c r="K239" s="4">
        <v>45896.50078703704</v>
      </c>
      <c r="L239">
        <v>0</v>
      </c>
      <c r="M239">
        <v>1</v>
      </c>
      <c r="N239" t="inlineStr">
        <is>
          <t>NzQxMzM4ODg5NzkxNDY2NzAwOTo1OGFkYTVhMS0yMzVmLTRkNTEtOTExNy0xMDY0NjE1OWE4OTY6YWM3NzgxNmViNzAxNzgxZjVlOGE5YmMwMzEwMjAxZWU6MQ==</t>
        </is>
      </c>
      <c r="O239" t="inlineStr">
        <is>
          <t>0</t>
        </is>
      </c>
      <c r="P239" t="inlineStr">
        <is>
          <t>或签任务</t>
        </is>
      </c>
      <c r="Q239" t="inlineStr">
        <is>
          <t>0</t>
        </is>
      </c>
      <c r="R239" t="inlineStr">
        <is>
          <t>Decay</t>
        </is>
      </c>
      <c r="S239" s="4"/>
      <c r="T239" s="3" t="str">
        <f>=HYPERLINK("https://applink.feishu.cn/client/todo/task_list?guid=4d92b9af-66d1-4cd7-95d1-4b753a64ca6b", "跃入迷城")</f>
        <v>跃入迷城</v>
      </c>
      <c r="U239" t="inlineStr">
        <is>
          <t>4d92b9af-66d1-4cd7-95d1-4b753a64ca6b</t>
        </is>
      </c>
      <c r="V239" t="inlineStr">
        <is>
          <t>58ada5a1-235f-4d51-9117-10646159a896</t>
        </is>
      </c>
      <c r="W239"/>
      <c r="X239"/>
      <c r="Y239"/>
      <c r="Z239" t="inlineStr">
        <is>
          <t>0.0.5</t>
        </is>
      </c>
      <c r="AA239" t="inlineStr">
        <is>
          <t>AI</t>
        </is>
      </c>
      <c r="AB239" t="inlineStr">
        <is>
          <t>已拆分</t>
        </is>
      </c>
      <c r="AC239" t="inlineStr">
        <is>
          <t>P1 - Bigger the Better</t>
        </is>
      </c>
      <c r="AD239" t="inlineStr">
        <is>
          <t>🛠️技术</t>
        </is>
      </c>
      <c r="AE239"/>
    </row>
    <row r="240" ht="25.5" customHeight="1">
      <c r="A240" s="3" t="str">
        <f>=HYPERLINK("https://applink.feishu.cn/client/todo/detail?guid=c33be4bb-c243-4a2e-8948-86be00026be8&amp;suite_entity_num=t100576", "BUG：随机技能并没有继承正确的插图")</f>
        <v>BUG：随机技能并没有继承正确的插图</v>
      </c>
      <c r="B240"/>
      <c r="C240" t="inlineStr">
        <is>
          <t>默认分组</t>
        </is>
      </c>
      <c r="D240"/>
      <c r="E240"/>
      <c r="F240"/>
      <c r="G240" t="inlineStr">
        <is>
          <t>龚政涛</t>
        </is>
      </c>
      <c r="H240" s="4">
        <v>45719.082974537036</v>
      </c>
      <c r="I240" s="4">
        <v>45719.569444444445</v>
      </c>
      <c r="J240" s="4"/>
      <c r="K240" s="4">
        <v>45719.56945601852</v>
      </c>
      <c r="L240">
        <v>0</v>
      </c>
      <c r="M240">
        <v>2</v>
      </c>
      <c r="N240" t="inlineStr">
        <is>
          <t>NzQxMzM4ODg5NzkxNDY2NzAwOTpjMzNiZTRiYi1jMjQzLTRhMmUtODk0OC04NmJlMDAwMjZiZTg6NTc5NTAyMjBjMWM1NWE2ZjgzNGY4ODgyZmRhZTc4MzI6MQ==</t>
        </is>
      </c>
      <c r="O240" t="inlineStr">
        <is>
          <t>1</t>
        </is>
      </c>
      <c r="P240" t="inlineStr">
        <is>
          <t>或签任务</t>
        </is>
      </c>
      <c r="Q240" t="inlineStr">
        <is>
          <t>0</t>
        </is>
      </c>
      <c r="R240" t="inlineStr">
        <is>
          <t>龚政涛</t>
        </is>
      </c>
      <c r="S240" s="4"/>
      <c r="T240" s="3" t="str">
        <f>=HYPERLINK("https://applink.feishu.cn/client/todo/task_list?guid=4d92b9af-66d1-4cd7-95d1-4b753a64ca6b", "跃入迷城")</f>
        <v>跃入迷城</v>
      </c>
      <c r="U240" t="inlineStr">
        <is>
          <t>4d92b9af-66d1-4cd7-95d1-4b753a64ca6b</t>
        </is>
      </c>
      <c r="V240" t="inlineStr">
        <is>
          <t>c33be4bb-c243-4a2e-8948-86be00026be8</t>
        </is>
      </c>
      <c r="W240"/>
      <c r="X240"/>
      <c r="Y240"/>
      <c r="Z240" t="inlineStr">
        <is>
          <t>0.0.4</t>
        </is>
      </c>
      <c r="AA240" t="inlineStr">
        <is>
          <t>技能</t>
        </is>
      </c>
      <c r="AB240" t="inlineStr">
        <is>
          <t>已废弃</t>
        </is>
      </c>
      <c r="AC240" t="inlineStr">
        <is>
          <t>P0 - Must (not) Have</t>
        </is>
      </c>
      <c r="AD240"/>
      <c r="AE240"/>
    </row>
    <row r="241" ht="25.5" customHeight="1">
      <c r="A241" s="3" t="str">
        <f>=HYPERLINK("https://applink.feishu.cn/client/todo/detail?guid=25f8e5b6-3808-4201-b7d9-dc77b313c6b0&amp;suite_entity_num=t100577", "刃返不需要盾的特效，上半身摆个动作就可以。")</f>
        <v>刃返不需要盾的特效，上半身摆个动作就可以。</v>
      </c>
      <c r="B241"/>
      <c r="C241" t="inlineStr">
        <is>
          <t>默认分组</t>
        </is>
      </c>
      <c r="D241"/>
      <c r="E241"/>
      <c r="F241"/>
      <c r="G241" t="inlineStr">
        <is>
          <t>龚政涛</t>
        </is>
      </c>
      <c r="H241" s="4">
        <v>45719.08336805556</v>
      </c>
      <c r="I241" s="4"/>
      <c r="J241" s="4"/>
      <c r="K241" s="4">
        <v>45866.66917824074</v>
      </c>
      <c r="L241">
        <v>0</v>
      </c>
      <c r="M241">
        <v>0</v>
      </c>
      <c r="N241" t="inlineStr">
        <is>
          <t>NzQxMzM4ODg5NzkxNDY2NzAwOToyNWY4ZTViNi0zODA4LTQyMDEtYjdkOS1kYzc3YjMxM2M2YjA6YzMwOWFmNTIzZjgwYzcwZWNlMTIyNDMyNTEwYTUwYWE6MQ==</t>
        </is>
      </c>
      <c r="O241" t="inlineStr">
        <is>
          <t>0</t>
        </is>
      </c>
      <c r="P241" t="inlineStr">
        <is>
          <t>或签任务</t>
        </is>
      </c>
      <c r="Q241" t="inlineStr">
        <is>
          <t>0</t>
        </is>
      </c>
      <c r="R241" t="inlineStr">
        <is>
          <t>龚政涛</t>
        </is>
      </c>
      <c r="S241" s="4"/>
      <c r="T241" s="3" t="str">
        <f>=HYPERLINK("https://applink.feishu.cn/client/todo/task_list?guid=4d92b9af-66d1-4cd7-95d1-4b753a64ca6b", "跃入迷城")</f>
        <v>跃入迷城</v>
      </c>
      <c r="U241" t="inlineStr">
        <is>
          <t>4d92b9af-66d1-4cd7-95d1-4b753a64ca6b</t>
        </is>
      </c>
      <c r="V241" t="inlineStr">
        <is>
          <t>25f8e5b6-3808-4201-b7d9-dc77b313c6b0</t>
        </is>
      </c>
      <c r="W241"/>
      <c r="X241"/>
      <c r="Y241"/>
      <c r="Z241" t="inlineStr">
        <is>
          <t>0.0.5</t>
        </is>
      </c>
      <c r="AA241" t="inlineStr">
        <is>
          <t>动画</t>
        </is>
      </c>
      <c r="AB241" t="inlineStr">
        <is>
          <t>未开始</t>
        </is>
      </c>
      <c r="AC241" t="inlineStr">
        <is>
          <t>P1 - Bigger the Better</t>
        </is>
      </c>
      <c r="AD241" t="inlineStr">
        <is>
          <t>🎨艺术</t>
        </is>
      </c>
      <c r="AE241"/>
    </row>
    <row r="242" ht="25.5" customHeight="1">
      <c r="A242" s="3" t="str">
        <f>=HYPERLINK("https://applink.feishu.cn/client/todo/detail?guid=68ec273b-c255-47e0-b857-be903ef98d23&amp;suite_entity_num=t100578", "BUG：每次load的第一个关卡（不是第一层，就play以后那一关）AI不会移动")</f>
        <v>BUG：每次load的第一个关卡（不是第一层，就play以后那一关）AI不会移动</v>
      </c>
      <c r="B242"/>
      <c r="C242" t="inlineStr">
        <is>
          <t>默认分组</t>
        </is>
      </c>
      <c r="D242"/>
      <c r="E242"/>
      <c r="F242" t="inlineStr">
        <is>
          <t>Decay</t>
        </is>
      </c>
      <c r="G242" t="inlineStr">
        <is>
          <t>龚政涛</t>
        </is>
      </c>
      <c r="H242" s="4">
        <v>45719.52667824074</v>
      </c>
      <c r="I242" s="4">
        <v>45730.67324074074</v>
      </c>
      <c r="J242" s="4"/>
      <c r="K242" s="4">
        <v>45730.67324074074</v>
      </c>
      <c r="L242">
        <v>0</v>
      </c>
      <c r="M242">
        <v>0</v>
      </c>
      <c r="N242" t="inlineStr">
        <is>
          <t>NzQxMzM4ODg5NzkxNDY2NzAwOTo2OGVjMjczYi1jMjU1LTQ3ZTAtYjg1Ny1iZTkwM2VmOThkMjM6MjNmMWRmNmVmZjhlNjk3OTU5MGE4ODYwYzI5NTMzNWE6MQ==</t>
        </is>
      </c>
      <c r="O242" t="inlineStr">
        <is>
          <t>1</t>
        </is>
      </c>
      <c r="P242" t="inlineStr">
        <is>
          <t>或签任务</t>
        </is>
      </c>
      <c r="Q242" t="inlineStr">
        <is>
          <t>0</t>
        </is>
      </c>
      <c r="R242" t="inlineStr">
        <is>
          <t>龚政涛,Decay</t>
        </is>
      </c>
      <c r="S242" s="4"/>
      <c r="T242" s="3" t="str">
        <f>=HYPERLINK("https://applink.feishu.cn/client/todo/task_list?guid=4d92b9af-66d1-4cd7-95d1-4b753a64ca6b", "跃入迷城")</f>
        <v>跃入迷城</v>
      </c>
      <c r="U242" t="inlineStr">
        <is>
          <t>4d92b9af-66d1-4cd7-95d1-4b753a64ca6b</t>
        </is>
      </c>
      <c r="V242" t="inlineStr">
        <is>
          <t>68ec273b-c255-47e0-b857-be903ef98d23</t>
        </is>
      </c>
      <c r="W242"/>
      <c r="X242"/>
      <c r="Y242"/>
      <c r="Z242" t="inlineStr">
        <is>
          <t>0.0.5</t>
        </is>
      </c>
      <c r="AA242" t="inlineStr">
        <is>
          <t>关卡</t>
        </is>
      </c>
      <c r="AB242" t="inlineStr">
        <is>
          <t>已完成</t>
        </is>
      </c>
      <c r="AC242" t="inlineStr">
        <is>
          <t>P1 - Bigger the Better</t>
        </is>
      </c>
      <c r="AD242"/>
      <c r="AE242"/>
    </row>
    <row r="243" ht="25.5" customHeight="1">
      <c r="A243" s="3" t="str">
        <f>=HYPERLINK("https://applink.feishu.cn/client/todo/detail?guid=c95ce90c-3279-41e9-bece-b70a5be0ecc1&amp;suite_entity_num=t100581", "测试指令：指定加载level cnt和map index")</f>
        <v>测试指令：指定加载level cnt和map index</v>
      </c>
      <c r="B243"/>
      <c r="C243" t="inlineStr">
        <is>
          <t>默认分组</t>
        </is>
      </c>
      <c r="D243"/>
      <c r="E243"/>
      <c r="F243" t="inlineStr">
        <is>
          <t>Decay</t>
        </is>
      </c>
      <c r="G243" t="inlineStr">
        <is>
          <t>龚政涛</t>
        </is>
      </c>
      <c r="H243" s="4">
        <v>45719.55574074074</v>
      </c>
      <c r="I243" s="4">
        <v>45721.81866898148</v>
      </c>
      <c r="J243" s="4"/>
      <c r="K243" s="4">
        <v>45721.818657407406</v>
      </c>
      <c r="L243">
        <v>0</v>
      </c>
      <c r="M243">
        <v>1</v>
      </c>
      <c r="N243" t="inlineStr">
        <is>
          <t>NzQxMzM4ODg5NzkxNDY2NzAwOTpjOTVjZTkwYy0zMjc5LTQxZTktYmVjZS1iNzBhNWJlMGVjYzE6M2I4YTg5MjA0MTAxYWQ3ZWVkZmM5OWI5MTQ3ZTMxMWQ6MQ==</t>
        </is>
      </c>
      <c r="O243" t="inlineStr">
        <is>
          <t>1</t>
        </is>
      </c>
      <c r="P243" t="inlineStr">
        <is>
          <t>或签任务</t>
        </is>
      </c>
      <c r="Q243" t="inlineStr">
        <is>
          <t>0</t>
        </is>
      </c>
      <c r="R243" t="inlineStr">
        <is>
          <t>龚政涛,Decay</t>
        </is>
      </c>
      <c r="S243" s="4"/>
      <c r="T243" s="3" t="str">
        <f>=HYPERLINK("https://applink.feishu.cn/client/todo/task_list?guid=4d92b9af-66d1-4cd7-95d1-4b753a64ca6b", "跃入迷城")</f>
        <v>跃入迷城</v>
      </c>
      <c r="U243" t="inlineStr">
        <is>
          <t>4d92b9af-66d1-4cd7-95d1-4b753a64ca6b</t>
        </is>
      </c>
      <c r="V243" t="inlineStr">
        <is>
          <t>c95ce90c-3279-41e9-bece-b70a5be0ecc1</t>
        </is>
      </c>
      <c r="W243"/>
      <c r="X243"/>
      <c r="Y243"/>
      <c r="Z243" t="inlineStr">
        <is>
          <t>0.0.4</t>
        </is>
      </c>
      <c r="AA243" t="inlineStr">
        <is>
          <t>关卡</t>
        </is>
      </c>
      <c r="AB243" t="inlineStr">
        <is>
          <t>已完成</t>
        </is>
      </c>
      <c r="AC243" t="inlineStr">
        <is>
          <t>P1 - Bigger the Better</t>
        </is>
      </c>
      <c r="AD243"/>
      <c r="AE243"/>
    </row>
    <row r="244" ht="25.5" customHeight="1">
      <c r="A244" s="3" t="str">
        <f>=HYPERLINK("https://applink.feishu.cn/client/todo/detail?guid=350a3a9a-342b-4547-8bf1-61f409611911&amp;suite_entity_num=t100582", "🪡修改：武器打印机增加升级当前武器功能")</f>
        <v>🪡修改：武器打印机增加升级当前武器功能</v>
      </c>
      <c r="B244"/>
      <c r="C244" t="inlineStr">
        <is>
          <t>默认分组</t>
        </is>
      </c>
      <c r="D244"/>
      <c r="E244"/>
      <c r="F244" t="inlineStr">
        <is>
          <t>Decay</t>
        </is>
      </c>
      <c r="G244" t="inlineStr">
        <is>
          <t>龚政涛</t>
        </is>
      </c>
      <c r="H244" s="4">
        <v>45719.55872685185</v>
      </c>
      <c r="I244" s="4"/>
      <c r="J244" s="4"/>
      <c r="K244" s="4">
        <v>45895.47199074074</v>
      </c>
      <c r="L244">
        <v>0</v>
      </c>
      <c r="M244">
        <v>0</v>
      </c>
      <c r="N244" t="inlineStr">
        <is>
          <t>NzQxMzM4ODg5NzkxNDY2NzAwOTozNTBhM2E5YS0zNDJiLTQ1NDctOGJmMS02MWY0MDk2MTE5MTE6NGU0MzRiOTU0ODNjMjAwM2EyZDYwOGNmZGVmNGM1YmQ6MQ==</t>
        </is>
      </c>
      <c r="O244" t="inlineStr">
        <is>
          <t>0</t>
        </is>
      </c>
      <c r="P244" t="inlineStr">
        <is>
          <t>或签任务</t>
        </is>
      </c>
      <c r="Q244" t="inlineStr">
        <is>
          <t>0</t>
        </is>
      </c>
      <c r="R244" t="inlineStr">
        <is>
          <t>龚政涛,Decay</t>
        </is>
      </c>
      <c r="S244" s="4">
        <v>45902.333333333336</v>
      </c>
      <c r="T244" s="3" t="str">
        <f>=HYPERLINK("https://applink.feishu.cn/client/todo/task_list?guid=4d92b9af-66d1-4cd7-95d1-4b753a64ca6b", "跃入迷城")</f>
        <v>跃入迷城</v>
      </c>
      <c r="U244" t="inlineStr">
        <is>
          <t>4d92b9af-66d1-4cd7-95d1-4b753a64ca6b</t>
        </is>
      </c>
      <c r="V244" t="inlineStr">
        <is>
          <t>350a3a9a-342b-4547-8bf1-61f409611911</t>
        </is>
      </c>
      <c r="W244" t="inlineStr">
        <is>
          <t>e71b9659-0505-4182-a2e8-e70df773715f</t>
        </is>
      </c>
      <c r="X244" t="inlineStr">
        <is>
          <t>d701f38b-762e-4205-b484-d2328e2c5ccb</t>
        </is>
      </c>
      <c r="Y244"/>
      <c r="Z244" t="inlineStr">
        <is>
          <t>0.0.5</t>
        </is>
      </c>
      <c r="AA244" t="inlineStr">
        <is>
          <t>装备</t>
        </is>
      </c>
      <c r="AB244"/>
      <c r="AC244" t="inlineStr">
        <is>
          <t>P0 - Must (not) Have</t>
        </is>
      </c>
      <c r="AD244" t="inlineStr">
        <is>
          <t>🎮玩法</t>
        </is>
      </c>
      <c r="AE244"/>
    </row>
    <row r="245" ht="25.5" customHeight="1">
      <c r="A245" s="3" t="str">
        <f>=HYPERLINK("https://applink.feishu.cn/client/todo/detail?guid=30b7f61c-ccb5-40db-8cbe-b168bae7ae36&amp;suite_entity_num=t100580", "Boss血条")</f>
        <v>Boss血条</v>
      </c>
      <c r="B245"/>
      <c r="C245" t="inlineStr">
        <is>
          <t>默认分组</t>
        </is>
      </c>
      <c r="D245"/>
      <c r="E245"/>
      <c r="F245" t="inlineStr">
        <is>
          <t>Decay</t>
        </is>
      </c>
      <c r="G245" t="inlineStr">
        <is>
          <t>龚政涛</t>
        </is>
      </c>
      <c r="H245" s="4">
        <v>45719.55289351852</v>
      </c>
      <c r="I245" s="4">
        <v>45722.862222222226</v>
      </c>
      <c r="J245" s="4"/>
      <c r="K245" s="4">
        <v>45866.68662037037</v>
      </c>
      <c r="L245">
        <v>0</v>
      </c>
      <c r="M245">
        <v>0</v>
      </c>
      <c r="N245" t="inlineStr">
        <is>
          <t>NzQxMzM4ODg5NzkxNDY2NzAwOTozMGI3ZjYxYy1jY2I1LTQwZGItOGNiZS1iMTY4YmFlN2FlMzY6N2Y1NWY2MDg0M2MwZTc5YjQ0M2I5ZDZhMTQyN2IwZmQ6MQ==</t>
        </is>
      </c>
      <c r="O245" t="inlineStr">
        <is>
          <t>1</t>
        </is>
      </c>
      <c r="P245" t="inlineStr">
        <is>
          <t>或签任务</t>
        </is>
      </c>
      <c r="Q245" t="inlineStr">
        <is>
          <t>0</t>
        </is>
      </c>
      <c r="R245" t="inlineStr">
        <is>
          <t>Decay,龚政涛</t>
        </is>
      </c>
      <c r="S245" s="4"/>
      <c r="T245" s="3" t="str">
        <f>=HYPERLINK("https://applink.feishu.cn/client/todo/task_list?guid=4d92b9af-66d1-4cd7-95d1-4b753a64ca6b", "跃入迷城")</f>
        <v>跃入迷城</v>
      </c>
      <c r="U245" t="inlineStr">
        <is>
          <t>4d92b9af-66d1-4cd7-95d1-4b753a64ca6b</t>
        </is>
      </c>
      <c r="V245" t="inlineStr">
        <is>
          <t>30b7f61c-ccb5-40db-8cbe-b168bae7ae36</t>
        </is>
      </c>
      <c r="W245"/>
      <c r="X245"/>
      <c r="Y245"/>
      <c r="Z245" t="inlineStr">
        <is>
          <t>0.0.4</t>
        </is>
      </c>
      <c r="AA245" t="inlineStr">
        <is>
          <t>UIUX</t>
        </is>
      </c>
      <c r="AB245" t="inlineStr">
        <is>
          <t>已完成</t>
        </is>
      </c>
      <c r="AC245" t="inlineStr">
        <is>
          <t>P0 - Must (not) Have</t>
        </is>
      </c>
      <c r="AD245" t="inlineStr">
        <is>
          <t>🎨艺术</t>
        </is>
      </c>
      <c r="AE245"/>
    </row>
    <row r="246" ht="25.5" customHeight="1">
      <c r="A246" s="3" t="str">
        <f>=HYPERLINK("https://applink.feishu.cn/client/todo/detail?guid=054bc381-3daf-46be-bb91-924c9a7acbfd&amp;suite_entity_num=t100579", "GUI布局调整&amp;字段关联")</f>
        <v>GUI布局调整&amp;字段关联</v>
      </c>
      <c r="B246"/>
      <c r="C246" t="inlineStr">
        <is>
          <t>默认分组</t>
        </is>
      </c>
      <c r="D246"/>
      <c r="E246"/>
      <c r="F246" t="inlineStr">
        <is>
          <t>苏祺恒,Decay</t>
        </is>
      </c>
      <c r="G246" t="inlineStr">
        <is>
          <t>龚政涛</t>
        </is>
      </c>
      <c r="H246" s="4">
        <v>45719.55017361111</v>
      </c>
      <c r="I246" s="4">
        <v>45866.6641087963</v>
      </c>
      <c r="J246" s="4"/>
      <c r="K246" s="4">
        <v>45866.68675925926</v>
      </c>
      <c r="L246">
        <v>0</v>
      </c>
      <c r="M246">
        <v>0</v>
      </c>
      <c r="N246" t="inlineStr">
        <is>
          <t>NzQxMzM4ODg5NzkxNDY2NzAwOTowNTRiYzM4MS0zZGFmLTQ2YmUtYmI5MS05MjRjOWE3YWNiZmQ6ZGJiZTUzNmI2MjY2ZjQ0OTlkYzVhNjdhZTFlYWE1YjQ6MQ==</t>
        </is>
      </c>
      <c r="O246" t="inlineStr">
        <is>
          <t>1</t>
        </is>
      </c>
      <c r="P246" t="inlineStr">
        <is>
          <t>或签任务</t>
        </is>
      </c>
      <c r="Q246" t="inlineStr">
        <is>
          <t>0</t>
        </is>
      </c>
      <c r="R246" t="inlineStr">
        <is>
          <t>龚政涛,Decay,苏祺恒</t>
        </is>
      </c>
      <c r="S246" s="4"/>
      <c r="T246" s="3" t="str">
        <f>=HYPERLINK("https://applink.feishu.cn/client/todo/task_list?guid=4d92b9af-66d1-4cd7-95d1-4b753a64ca6b", "跃入迷城")</f>
        <v>跃入迷城</v>
      </c>
      <c r="U246" t="inlineStr">
        <is>
          <t>4d92b9af-66d1-4cd7-95d1-4b753a64ca6b</t>
        </is>
      </c>
      <c r="V246" t="inlineStr">
        <is>
          <t>054bc381-3daf-46be-bb91-924c9a7acbfd</t>
        </is>
      </c>
      <c r="W246"/>
      <c r="X246"/>
      <c r="Y246"/>
      <c r="Z246" t="inlineStr">
        <is>
          <t>0.0.4</t>
        </is>
      </c>
      <c r="AA246" t="inlineStr">
        <is>
          <t>UIUX</t>
        </is>
      </c>
      <c r="AB246" t="inlineStr">
        <is>
          <t>工作中</t>
        </is>
      </c>
      <c r="AC246" t="inlineStr">
        <is>
          <t>P0 - Must (not) Have</t>
        </is>
      </c>
      <c r="AD246" t="inlineStr">
        <is>
          <t>🎨艺术</t>
        </is>
      </c>
      <c r="AE246"/>
    </row>
    <row r="247" ht="25.5" customHeight="1">
      <c r="A247" s="3" t="str">
        <f>=HYPERLINK("https://applink.feishu.cn/client/todo/detail?guid=aa9991d2-f998-4f8c-8767-f48b879df586&amp;suite_entity_num=t100583", "BUG：武器打印机阵营不显示 &amp; 随机到NOT VALID对象")</f>
        <v>BUG：武器打印机阵营不显示 &amp; 随机到NOT VALID对象</v>
      </c>
      <c r="B247"/>
      <c r="C247" t="inlineStr">
        <is>
          <t>默认分组</t>
        </is>
      </c>
      <c r="D247"/>
      <c r="E247"/>
      <c r="F247"/>
      <c r="G247" t="inlineStr">
        <is>
          <t>龚政涛</t>
        </is>
      </c>
      <c r="H247" s="4">
        <v>45719.56521990741</v>
      </c>
      <c r="I247" s="4">
        <v>45721.834340277775</v>
      </c>
      <c r="J247" s="4"/>
      <c r="K247" s="4">
        <v>45721.834375</v>
      </c>
      <c r="L247">
        <v>0</v>
      </c>
      <c r="M247">
        <v>1</v>
      </c>
      <c r="N247" t="inlineStr">
        <is>
          <t>NzQxMzM4ODg5NzkxNDY2NzAwOTphYTk5OTFkMi1mOTk4LTRmOGMtODc2Ny1mNDhiODc5ZGY1ODY6NWIzOWJiZTJkNjE5NDc5Y2Q4YmI3NzM3ZDZiY2UxM2Q6MQ==</t>
        </is>
      </c>
      <c r="O247" t="inlineStr">
        <is>
          <t>1</t>
        </is>
      </c>
      <c r="P247" t="inlineStr">
        <is>
          <t>或签任务</t>
        </is>
      </c>
      <c r="Q247" t="inlineStr">
        <is>
          <t>0</t>
        </is>
      </c>
      <c r="R247" t="inlineStr">
        <is>
          <t>龚政涛,Decay</t>
        </is>
      </c>
      <c r="S247" s="4"/>
      <c r="T247" s="3" t="str">
        <f>=HYPERLINK("https://applink.feishu.cn/client/todo/task_list?guid=4d92b9af-66d1-4cd7-95d1-4b753a64ca6b", "跃入迷城")</f>
        <v>跃入迷城</v>
      </c>
      <c r="U247" t="inlineStr">
        <is>
          <t>4d92b9af-66d1-4cd7-95d1-4b753a64ca6b</t>
        </is>
      </c>
      <c r="V247" t="inlineStr">
        <is>
          <t>aa9991d2-f998-4f8c-8767-f48b879df586</t>
        </is>
      </c>
      <c r="W247"/>
      <c r="X247"/>
      <c r="Y247"/>
      <c r="Z247" t="inlineStr">
        <is>
          <t>0.0.4</t>
        </is>
      </c>
      <c r="AA247" t="inlineStr">
        <is>
          <t>装备</t>
        </is>
      </c>
      <c r="AB247" t="inlineStr">
        <is>
          <t>已完成</t>
        </is>
      </c>
      <c r="AC247" t="inlineStr">
        <is>
          <t>P0 - Must (not) Have</t>
        </is>
      </c>
      <c r="AD247"/>
      <c r="AE247"/>
    </row>
    <row r="248" ht="25.5" customHeight="1">
      <c r="A248" s="3" t="str">
        <f>=HYPERLINK("https://applink.feishu.cn/client/todo/detail?guid=86157160-2f96-4e00-b486-b69174b97ced&amp;suite_entity_num=t100586", "武器和角色需要能添加socket mesh")</f>
        <v>武器和角色需要能添加socket mesh</v>
      </c>
      <c r="B248"/>
      <c r="C248" t="inlineStr">
        <is>
          <t>默认分组</t>
        </is>
      </c>
      <c r="D248"/>
      <c r="E248"/>
      <c r="F248"/>
      <c r="G248" t="inlineStr">
        <is>
          <t>龚政涛</t>
        </is>
      </c>
      <c r="H248" s="4">
        <v>45720.58215277778</v>
      </c>
      <c r="I248" s="4">
        <v>45866.66947916667</v>
      </c>
      <c r="J248" s="4"/>
      <c r="K248" s="4">
        <v>45866.68846064815</v>
      </c>
      <c r="L248">
        <v>0</v>
      </c>
      <c r="M248">
        <v>1</v>
      </c>
      <c r="N248" t="inlineStr">
        <is>
          <t>NzQxMzM4ODg5NzkxNDY2NzAwOTo4NjE1NzE2MC0yZjk2LTRlMDAtYjQ4Ni1iNjkxNzRiOTdjZWQ6ZjFlZmM3ZjI3M2Y5MGYxMWQwMzZmMzQyNzRiOWQ1MDY6MQ==</t>
        </is>
      </c>
      <c r="O248" t="inlineStr">
        <is>
          <t>1</t>
        </is>
      </c>
      <c r="P248" t="inlineStr">
        <is>
          <t>或签任务</t>
        </is>
      </c>
      <c r="Q248" t="inlineStr">
        <is>
          <t>0</t>
        </is>
      </c>
      <c r="R248" t="inlineStr">
        <is>
          <t>龚政涛</t>
        </is>
      </c>
      <c r="S248" s="4"/>
      <c r="T248" s="3" t="str">
        <f>=HYPERLINK("https://applink.feishu.cn/client/todo/task_list?guid=4d92b9af-66d1-4cd7-95d1-4b753a64ca6b", "跃入迷城")</f>
        <v>跃入迷城</v>
      </c>
      <c r="U248" t="inlineStr">
        <is>
          <t>4d92b9af-66d1-4cd7-95d1-4b753a64ca6b</t>
        </is>
      </c>
      <c r="V248" t="inlineStr">
        <is>
          <t>86157160-2f96-4e00-b486-b69174b97ced</t>
        </is>
      </c>
      <c r="W248"/>
      <c r="X248"/>
      <c r="Y248"/>
      <c r="Z248" t="inlineStr">
        <is>
          <t>0.0.5</t>
        </is>
      </c>
      <c r="AA248" t="inlineStr">
        <is>
          <t>模型</t>
        </is>
      </c>
      <c r="AB248" t="inlineStr">
        <is>
          <t>已废弃</t>
        </is>
      </c>
      <c r="AC248" t="inlineStr">
        <is>
          <t>P2 - Nice to Have</t>
        </is>
      </c>
      <c r="AD248"/>
      <c r="AE248"/>
    </row>
    <row r="249" ht="25.5" customHeight="1">
      <c r="A249" s="3" t="str">
        <f>=HYPERLINK("https://applink.feishu.cn/client/todo/detail?guid=fbb1179b-f8fc-4c2e-8bde-fa6386ccaa9d&amp;suite_entity_num=t100587", "BUG：电磁属性DEBUFF效果异常")</f>
        <v>BUG：电磁属性DEBUFF效果异常</v>
      </c>
      <c r="B249"/>
      <c r="C249" t="inlineStr">
        <is>
          <t>默认分组</t>
        </is>
      </c>
      <c r="D249"/>
      <c r="E249"/>
      <c r="F249" t="inlineStr">
        <is>
          <t>Decay</t>
        </is>
      </c>
      <c r="G249" t="inlineStr">
        <is>
          <t>龚政涛</t>
        </is>
      </c>
      <c r="H249" s="4">
        <v>45720.6040625</v>
      </c>
      <c r="I249" s="4">
        <v>45721.82221064815</v>
      </c>
      <c r="J249" s="4"/>
      <c r="K249" s="4">
        <v>45721.82219907407</v>
      </c>
      <c r="L249">
        <v>0</v>
      </c>
      <c r="M249">
        <v>1</v>
      </c>
      <c r="N249" t="inlineStr">
        <is>
          <t>NzQxMzM4ODg5NzkxNDY2NzAwOTpmYmIxMTc5Yi1mOGZjLTRjMmUtOGJkZS1mYTYzODZjY2FhOWQ6Mzc0NjU1OTJiNzYxM2Q5NTZlYmRhMmQ5MjI2OTY5YmY6MQ==</t>
        </is>
      </c>
      <c r="O249" t="inlineStr">
        <is>
          <t>1</t>
        </is>
      </c>
      <c r="P249" t="inlineStr">
        <is>
          <t>或签任务</t>
        </is>
      </c>
      <c r="Q249" t="inlineStr">
        <is>
          <t>0</t>
        </is>
      </c>
      <c r="R249" t="inlineStr">
        <is>
          <t>龚政涛,Decay</t>
        </is>
      </c>
      <c r="S249" s="4"/>
      <c r="T249" s="3" t="str">
        <f>=HYPERLINK("https://applink.feishu.cn/client/todo/task_list?guid=4d92b9af-66d1-4cd7-95d1-4b753a64ca6b", "跃入迷城")</f>
        <v>跃入迷城</v>
      </c>
      <c r="U249" t="inlineStr">
        <is>
          <t>4d92b9af-66d1-4cd7-95d1-4b753a64ca6b</t>
        </is>
      </c>
      <c r="V249" t="inlineStr">
        <is>
          <t>fbb1179b-f8fc-4c2e-8bde-fa6386ccaa9d</t>
        </is>
      </c>
      <c r="W249"/>
      <c r="X249"/>
      <c r="Y249"/>
      <c r="Z249" t="inlineStr">
        <is>
          <t>0.0.4</t>
        </is>
      </c>
      <c r="AA249" t="inlineStr">
        <is>
          <t>装备</t>
        </is>
      </c>
      <c r="AB249" t="inlineStr">
        <is>
          <t>已完成</t>
        </is>
      </c>
      <c r="AC249" t="inlineStr">
        <is>
          <t>P0 - Must (not) Have</t>
        </is>
      </c>
      <c r="AD249"/>
      <c r="AE249"/>
    </row>
    <row r="250" ht="25.5" customHeight="1">
      <c r="A250" s="3" t="str">
        <f>=HYPERLINK("https://applink.feishu.cn/client/todo/detail?guid=40747d7c-6360-4424-85de-12c72bf201c7&amp;suite_entity_num=t100588", "修改护甲补强仪（ArmorReinforcer）逻辑")</f>
        <v>修改护甲补强仪（ArmorReinforcer）逻辑</v>
      </c>
      <c r="B250"/>
      <c r="C250" t="inlineStr">
        <is>
          <t>默认分组</t>
        </is>
      </c>
      <c r="D250"/>
      <c r="E250"/>
      <c r="F250" t="inlineStr">
        <is>
          <t>Decay</t>
        </is>
      </c>
      <c r="G250" t="inlineStr">
        <is>
          <t>龚政涛</t>
        </is>
      </c>
      <c r="H250" s="4">
        <v>45721.472395833334</v>
      </c>
      <c r="I250" s="4">
        <v>45728.70700231481</v>
      </c>
      <c r="J250" s="4"/>
      <c r="K250" s="4">
        <v>45728.706967592596</v>
      </c>
      <c r="L250">
        <v>0</v>
      </c>
      <c r="M250">
        <v>5</v>
      </c>
      <c r="N250" t="inlineStr">
        <is>
          <t>NzQxMzM4ODg5NzkxNDY2NzAwOTo0MDc0N2Q3Yy02MzYwLTQ0MjQtODVkZS0xMmM3MmJmMjAxYzc6NDc2MjJhZjFmMzRiM2FhNjYyYjJjMWU2YzFmNzJmMjk6MQ==</t>
        </is>
      </c>
      <c r="O250" t="inlineStr">
        <is>
          <t>1</t>
        </is>
      </c>
      <c r="P250" t="inlineStr">
        <is>
          <t>或签任务</t>
        </is>
      </c>
      <c r="Q250" t="inlineStr">
        <is>
          <t>0</t>
        </is>
      </c>
      <c r="R250" t="inlineStr">
        <is>
          <t>龚政涛,Decay</t>
        </is>
      </c>
      <c r="S250" s="4"/>
      <c r="T250" s="3" t="str">
        <f>=HYPERLINK("https://applink.feishu.cn/client/todo/task_list?guid=4d92b9af-66d1-4cd7-95d1-4b753a64ca6b", "跃入迷城")</f>
        <v>跃入迷城</v>
      </c>
      <c r="U250" t="inlineStr">
        <is>
          <t>4d92b9af-66d1-4cd7-95d1-4b753a64ca6b</t>
        </is>
      </c>
      <c r="V250" t="inlineStr">
        <is>
          <t>40747d7c-6360-4424-85de-12c72bf201c7</t>
        </is>
      </c>
      <c r="W250"/>
      <c r="X250"/>
      <c r="Y250"/>
      <c r="Z250" t="inlineStr">
        <is>
          <t>0.0.4</t>
        </is>
      </c>
      <c r="AA250" t="inlineStr">
        <is>
          <t>装备</t>
        </is>
      </c>
      <c r="AB250" t="inlineStr">
        <is>
          <t>已完成</t>
        </is>
      </c>
      <c r="AC250" t="inlineStr">
        <is>
          <t>P1 - Bigger the Better</t>
        </is>
      </c>
      <c r="AD250"/>
      <c r="AE250"/>
    </row>
    <row r="251" ht="25.5" customHeight="1">
      <c r="A251" s="3" t="str">
        <f>=HYPERLINK("https://applink.feishu.cn/client/todo/detail?guid=9e07af04-9b0c-48ea-8a20-4bdd5a47eb52&amp;suite_entity_num=t100589", "支持无敌人的奖励关卡正常推进")</f>
        <v>支持无敌人的奖励关卡正常推进</v>
      </c>
      <c r="B251"/>
      <c r="C251" t="inlineStr">
        <is>
          <t>默认分组</t>
        </is>
      </c>
      <c r="D251"/>
      <c r="E251"/>
      <c r="F251"/>
      <c r="G251" t="inlineStr">
        <is>
          <t>龚政涛</t>
        </is>
      </c>
      <c r="H251" s="4">
        <v>45721.81851851852</v>
      </c>
      <c r="I251" s="4"/>
      <c r="J251" s="4"/>
      <c r="K251" s="4">
        <v>45721.81859953704</v>
      </c>
      <c r="L251">
        <v>0</v>
      </c>
      <c r="M251">
        <v>0</v>
      </c>
      <c r="N251" t="inlineStr">
        <is>
          <t>NzQxMzM4ODg5NzkxNDY2NzAwOTo5ZTA3YWYwNC05YjBjLTQ4ZWEtOGEyMC00YmRkNWE0N2ViNTI6OTk0MGU4YjZkZGQwNmJjMzZjMzgwOWU1OTMxY2YzZjk6MQ==</t>
        </is>
      </c>
      <c r="O251" t="inlineStr">
        <is>
          <t>0</t>
        </is>
      </c>
      <c r="P251" t="inlineStr">
        <is>
          <t>或签任务</t>
        </is>
      </c>
      <c r="Q251" t="inlineStr">
        <is>
          <t>0</t>
        </is>
      </c>
      <c r="R251" t="inlineStr">
        <is>
          <t>龚政涛</t>
        </is>
      </c>
      <c r="S251" s="4"/>
      <c r="T251" s="3" t="str">
        <f>=HYPERLINK("https://applink.feishu.cn/client/todo/task_list?guid=4d92b9af-66d1-4cd7-95d1-4b753a64ca6b", "跃入迷城")</f>
        <v>跃入迷城</v>
      </c>
      <c r="U251" t="inlineStr">
        <is>
          <t>4d92b9af-66d1-4cd7-95d1-4b753a64ca6b</t>
        </is>
      </c>
      <c r="V251" t="inlineStr">
        <is>
          <t>9e07af04-9b0c-48ea-8a20-4bdd5a47eb52</t>
        </is>
      </c>
      <c r="W251"/>
      <c r="X251"/>
      <c r="Y251"/>
      <c r="Z251" t="inlineStr">
        <is>
          <t>0.1.0</t>
        </is>
      </c>
      <c r="AA251" t="inlineStr">
        <is>
          <t>关卡</t>
        </is>
      </c>
      <c r="AB251" t="inlineStr">
        <is>
          <t>未开始</t>
        </is>
      </c>
      <c r="AC251" t="inlineStr">
        <is>
          <t>P2 - Nice to Have</t>
        </is>
      </c>
      <c r="AD251"/>
      <c r="AE251"/>
    </row>
    <row r="252" ht="25.5" customHeight="1">
      <c r="A252" s="3" t="str">
        <f>=HYPERLINK("https://applink.feishu.cn/client/todo/detail?guid=53eb07a5-a095-43a3-8738-d70614ee7994&amp;suite_entity_num=t100591", "Boss关小怪都被击败后，会触发关灯，玩家Boss还没打完呢")</f>
        <v>Boss关小怪都被击败后，会触发关灯，玩家Boss还没打完呢</v>
      </c>
      <c r="B252"/>
      <c r="C252" t="inlineStr">
        <is>
          <t>默认分组</t>
        </is>
      </c>
      <c r="D252"/>
      <c r="E252"/>
      <c r="F252" t="inlineStr">
        <is>
          <t>Decay</t>
        </is>
      </c>
      <c r="G252" t="inlineStr">
        <is>
          <t>龚政涛</t>
        </is>
      </c>
      <c r="H252" s="4">
        <v>45722.509375</v>
      </c>
      <c r="I252" s="4">
        <v>45726.62474537037</v>
      </c>
      <c r="J252" s="4"/>
      <c r="K252" s="4">
        <v>45726.6247337963</v>
      </c>
      <c r="L252">
        <v>0</v>
      </c>
      <c r="M252">
        <v>1</v>
      </c>
      <c r="N252" t="inlineStr">
        <is>
          <t>NzQxMzM4ODg5NzkxNDY2NzAwOTo1M2ViMDdhNS1hMDk1LTQzYTMtODczOC1kNzA2MTRlZTc5OTQ6OTEyZGEyMTgyOWY2YWVlMTc3ZjIwYzkyNWFhYzM5ZDY6MQ==</t>
        </is>
      </c>
      <c r="O252" t="inlineStr">
        <is>
          <t>1</t>
        </is>
      </c>
      <c r="P252" t="inlineStr">
        <is>
          <t>或签任务</t>
        </is>
      </c>
      <c r="Q252" t="inlineStr">
        <is>
          <t>0</t>
        </is>
      </c>
      <c r="R252" t="inlineStr">
        <is>
          <t>龚政涛,Decay</t>
        </is>
      </c>
      <c r="S252" s="4"/>
      <c r="T252" s="3" t="str">
        <f>=HYPERLINK("https://applink.feishu.cn/client/todo/task_list?guid=4d92b9af-66d1-4cd7-95d1-4b753a64ca6b", "跃入迷城")</f>
        <v>跃入迷城</v>
      </c>
      <c r="U252" t="inlineStr">
        <is>
          <t>4d92b9af-66d1-4cd7-95d1-4b753a64ca6b</t>
        </is>
      </c>
      <c r="V252" t="inlineStr">
        <is>
          <t>53eb07a5-a095-43a3-8738-d70614ee7994</t>
        </is>
      </c>
      <c r="W252"/>
      <c r="X252"/>
      <c r="Y252"/>
      <c r="Z252" t="inlineStr">
        <is>
          <t>0.0.4</t>
        </is>
      </c>
      <c r="AA252" t="inlineStr">
        <is>
          <t>关卡</t>
        </is>
      </c>
      <c r="AB252" t="inlineStr">
        <is>
          <t>已完成</t>
        </is>
      </c>
      <c r="AC252" t="inlineStr">
        <is>
          <t>P0 - Must (not) Have</t>
        </is>
      </c>
      <c r="AD252"/>
      <c r="AE252"/>
    </row>
    <row r="253" ht="25.5" customHeight="1">
      <c r="A253" s="3" t="str">
        <f>=HYPERLINK("https://applink.feishu.cn/client/todo/detail?guid=9eec7457-a96a-4d31-9293-3362becdea86&amp;suite_entity_num=t100590", "霰弹枪攻击逻辑修改")</f>
        <v>霰弹枪攻击逻辑修改</v>
      </c>
      <c r="B253"/>
      <c r="C253" t="inlineStr">
        <is>
          <t>默认分组</t>
        </is>
      </c>
      <c r="D253"/>
      <c r="E253"/>
      <c r="F253" t="inlineStr">
        <is>
          <t>Decay</t>
        </is>
      </c>
      <c r="G253" t="inlineStr">
        <is>
          <t>龚政涛</t>
        </is>
      </c>
      <c r="H253" s="4">
        <v>45722.469872685186</v>
      </c>
      <c r="I253" s="4">
        <v>45728.70679398148</v>
      </c>
      <c r="J253" s="4"/>
      <c r="K253" s="4">
        <v>45874.40498842593</v>
      </c>
      <c r="L253">
        <v>0</v>
      </c>
      <c r="M253">
        <v>7</v>
      </c>
      <c r="N253" t="inlineStr">
        <is>
          <t>NzQxMzM4ODg5NzkxNDY2NzAwOTo5ZWVjNzQ1Ny1hOTZhLTRkMzEtOTI5My0zMzYyYmVjZGVhODY6NDNkOWZkNzY0MTkwZWIyZGY1NDkzNTRlYzU4NmRiZDE6MQ==</t>
        </is>
      </c>
      <c r="O253" t="inlineStr">
        <is>
          <t>1</t>
        </is>
      </c>
      <c r="P253" t="inlineStr">
        <is>
          <t>或签任务</t>
        </is>
      </c>
      <c r="Q253" t="inlineStr">
        <is>
          <t>0</t>
        </is>
      </c>
      <c r="R253" t="inlineStr">
        <is>
          <t>龚政涛,Decay</t>
        </is>
      </c>
      <c r="S253" s="4"/>
      <c r="T253" s="3" t="str">
        <f>=HYPERLINK("https://applink.feishu.cn/client/todo/task_list?guid=4d92b9af-66d1-4cd7-95d1-4b753a64ca6b", "跃入迷城")</f>
        <v>跃入迷城</v>
      </c>
      <c r="U253" t="inlineStr">
        <is>
          <t>4d92b9af-66d1-4cd7-95d1-4b753a64ca6b</t>
        </is>
      </c>
      <c r="V253" t="inlineStr">
        <is>
          <t>9eec7457-a96a-4d31-9293-3362becdea86</t>
        </is>
      </c>
      <c r="W253"/>
      <c r="X253"/>
      <c r="Y253"/>
      <c r="Z253" t="inlineStr">
        <is>
          <t>0.0.5</t>
        </is>
      </c>
      <c r="AA253" t="inlineStr">
        <is>
          <t>装备</t>
        </is>
      </c>
      <c r="AB253" t="inlineStr">
        <is>
          <t>已完成</t>
        </is>
      </c>
      <c r="AC253" t="inlineStr">
        <is>
          <t>P1 - Bigger the Better</t>
        </is>
      </c>
      <c r="AD253" t="inlineStr">
        <is>
          <t>🛠️技术</t>
        </is>
      </c>
      <c r="AE253"/>
    </row>
    <row r="254" ht="25.5" customHeight="1">
      <c r="A254" s="3" t="str">
        <f>=HYPERLINK("https://applink.feishu.cn/client/todo/detail?guid=5c2c2fb4-8a0a-462c-a784-d882e1dc77ac&amp;suite_entity_num=t100592", "Bug：浩虽然有武器socket，但不能正确的把武器换到手里，导致顺劈和旋风斩没有伤害")</f>
        <v>Bug：浩虽然有武器socket，但不能正确的把武器换到手里，导致顺劈和旋风斩没有伤害</v>
      </c>
      <c r="B254"/>
      <c r="C254" t="inlineStr">
        <is>
          <t>默认分组</t>
        </is>
      </c>
      <c r="D254"/>
      <c r="E254"/>
      <c r="F254" t="inlineStr">
        <is>
          <t>Decay</t>
        </is>
      </c>
      <c r="G254" t="inlineStr">
        <is>
          <t>龚政涛</t>
        </is>
      </c>
      <c r="H254" s="4">
        <v>45722.52539351852</v>
      </c>
      <c r="I254" s="4">
        <v>45722.71113425926</v>
      </c>
      <c r="J254" s="4"/>
      <c r="K254" s="4">
        <v>45722.71114583333</v>
      </c>
      <c r="L254">
        <v>0</v>
      </c>
      <c r="M254">
        <v>4</v>
      </c>
      <c r="N254" t="inlineStr">
        <is>
          <t>NzQxMzM4ODg5NzkxNDY2NzAwOTo1YzJjMmZiNC04YTBhLTQ2MmMtYTc4NC1kODgyZTFkYzc3YWM6ODY4YWJlMzVhMzhkOGYyMjkxYmNjOTc2NDRjODZlNjA6MQ==</t>
        </is>
      </c>
      <c r="O254" t="inlineStr">
        <is>
          <t>1</t>
        </is>
      </c>
      <c r="P254" t="inlineStr">
        <is>
          <t>或签任务</t>
        </is>
      </c>
      <c r="Q254" t="inlineStr">
        <is>
          <t>0</t>
        </is>
      </c>
      <c r="R254" t="inlineStr">
        <is>
          <t>龚政涛,Decay</t>
        </is>
      </c>
      <c r="S254" s="4"/>
      <c r="T254" s="3" t="str">
        <f>=HYPERLINK("https://applink.feishu.cn/client/todo/task_list?guid=4d92b9af-66d1-4cd7-95d1-4b753a64ca6b", "跃入迷城")</f>
        <v>跃入迷城</v>
      </c>
      <c r="U254" t="inlineStr">
        <is>
          <t>4d92b9af-66d1-4cd7-95d1-4b753a64ca6b</t>
        </is>
      </c>
      <c r="V254" t="inlineStr">
        <is>
          <t>5c2c2fb4-8a0a-462c-a784-d882e1dc77ac</t>
        </is>
      </c>
      <c r="W254"/>
      <c r="X254"/>
      <c r="Y254"/>
      <c r="Z254" t="inlineStr">
        <is>
          <t>0.0.4</t>
        </is>
      </c>
      <c r="AA254" t="inlineStr">
        <is>
          <t>AI</t>
        </is>
      </c>
      <c r="AB254" t="inlineStr">
        <is>
          <t>已完成</t>
        </is>
      </c>
      <c r="AC254" t="inlineStr">
        <is>
          <t>P0 - Must (not) Have</t>
        </is>
      </c>
      <c r="AD254"/>
      <c r="AE254"/>
    </row>
    <row r="255" ht="25.5" customHeight="1">
      <c r="A255" s="3" t="str">
        <f>=HYPERLINK("https://applink.feishu.cn/client/todo/detail?guid=1f7c0e7e-81bd-430c-9bf7-f76c7d358bca&amp;suite_entity_num=t100594", "配置SFX")</f>
        <v>配置SFX</v>
      </c>
      <c r="B255"/>
      <c r="C255" t="inlineStr">
        <is>
          <t>默认分组</t>
        </is>
      </c>
      <c r="D255"/>
      <c r="E255"/>
      <c r="F255" t="inlineStr">
        <is>
          <t>龚政涛</t>
        </is>
      </c>
      <c r="G255" t="inlineStr">
        <is>
          <t>龚政涛</t>
        </is>
      </c>
      <c r="H255" s="4">
        <v>45722.712013888886</v>
      </c>
      <c r="I255" s="4"/>
      <c r="J255" s="4"/>
      <c r="K255" s="4">
        <v>45866.67017361111</v>
      </c>
      <c r="L255">
        <v>0</v>
      </c>
      <c r="M255">
        <v>0</v>
      </c>
      <c r="N255" t="inlineStr">
        <is>
          <t>NzQxMzM4ODg5NzkxNDY2NzAwOToxZjdjMGU3ZS04MWJkLTQzMGMtOWJmNy1mNzZjN2QzNThiY2E6MzhkZTRmZjNmMDA5ZTg4NThkMWI3Zjg5ZDczNjFjMjg6MQ==</t>
        </is>
      </c>
      <c r="O255" t="inlineStr">
        <is>
          <t>0</t>
        </is>
      </c>
      <c r="P255" t="inlineStr">
        <is>
          <t>或签任务</t>
        </is>
      </c>
      <c r="Q255" t="inlineStr">
        <is>
          <t>0</t>
        </is>
      </c>
      <c r="R255" t="inlineStr">
        <is>
          <t>龚政涛,李奕慧</t>
        </is>
      </c>
      <c r="S255" s="4"/>
      <c r="T255" s="3" t="str">
        <f>=HYPERLINK("https://applink.feishu.cn/client/todo/task_list?guid=4d92b9af-66d1-4cd7-95d1-4b753a64ca6b", "跃入迷城")</f>
        <v>跃入迷城</v>
      </c>
      <c r="U255" t="inlineStr">
        <is>
          <t>4d92b9af-66d1-4cd7-95d1-4b753a64ca6b</t>
        </is>
      </c>
      <c r="V255" t="inlineStr">
        <is>
          <t>1f7c0e7e-81bd-430c-9bf7-f76c7d358bca</t>
        </is>
      </c>
      <c r="W255"/>
      <c r="X255"/>
      <c r="Y255"/>
      <c r="Z255" t="inlineStr">
        <is>
          <t>0.0.5</t>
        </is>
      </c>
      <c r="AA255" t="inlineStr">
        <is>
          <t>音效</t>
        </is>
      </c>
      <c r="AB255" t="inlineStr">
        <is>
          <t>工作中</t>
        </is>
      </c>
      <c r="AC255" t="inlineStr">
        <is>
          <t>P0 - Must (not) Have</t>
        </is>
      </c>
      <c r="AD255" t="inlineStr">
        <is>
          <t>🎨艺术</t>
        </is>
      </c>
      <c r="AE255"/>
    </row>
    <row r="256" ht="25.5" customHeight="1">
      <c r="A256" s="3" t="str">
        <f>=HYPERLINK("https://applink.feishu.cn/client/todo/detail?guid=6c8de962-80ee-442a-8ef0-975787e0d8e8&amp;suite_entity_num=t100593", "系统目前无法区别开始/结束电梯")</f>
        <v>系统目前无法区别开始/结束电梯</v>
      </c>
      <c r="B256"/>
      <c r="C256" t="inlineStr">
        <is>
          <t>默认分组</t>
        </is>
      </c>
      <c r="D256"/>
      <c r="E256"/>
      <c r="F256" t="inlineStr">
        <is>
          <t>Decay</t>
        </is>
      </c>
      <c r="G256" t="inlineStr">
        <is>
          <t>龚政涛</t>
        </is>
      </c>
      <c r="H256" s="4">
        <v>45722.71</v>
      </c>
      <c r="I256" s="4"/>
      <c r="J256" s="4"/>
      <c r="K256" s="4">
        <v>45877.6875462963</v>
      </c>
      <c r="L256">
        <v>0</v>
      </c>
      <c r="M256">
        <v>3</v>
      </c>
      <c r="N256" t="inlineStr">
        <is>
          <t>NzQxMzM4ODg5NzkxNDY2NzAwOTo2YzhkZTk2Mi04MGVlLTQ0MmEtOGVmMC05NzU3ODdlMGQ4ZTg6NjYzNGE3NjFkOWZjNWZiMDMwMGNmYzhkNzlhMzc0OWE6MQ==</t>
        </is>
      </c>
      <c r="O256" t="inlineStr">
        <is>
          <t>0</t>
        </is>
      </c>
      <c r="P256" t="inlineStr">
        <is>
          <t>或签任务</t>
        </is>
      </c>
      <c r="Q256" t="inlineStr">
        <is>
          <t>0</t>
        </is>
      </c>
      <c r="R256" t="inlineStr">
        <is>
          <t>龚政涛,Decay</t>
        </is>
      </c>
      <c r="S256" s="4"/>
      <c r="T256" s="3" t="str">
        <f>=HYPERLINK("https://applink.feishu.cn/client/todo/task_list?guid=4d92b9af-66d1-4cd7-95d1-4b753a64ca6b", "跃入迷城")</f>
        <v>跃入迷城</v>
      </c>
      <c r="U256" t="inlineStr">
        <is>
          <t>4d92b9af-66d1-4cd7-95d1-4b753a64ca6b</t>
        </is>
      </c>
      <c r="V256" t="inlineStr">
        <is>
          <t>6c8de962-80ee-442a-8ef0-975787e0d8e8</t>
        </is>
      </c>
      <c r="W256"/>
      <c r="X256"/>
      <c r="Y256"/>
      <c r="Z256" t="inlineStr">
        <is>
          <t>0.0.5</t>
        </is>
      </c>
      <c r="AA256" t="inlineStr">
        <is>
          <t>关卡</t>
        </is>
      </c>
      <c r="AB256" t="inlineStr">
        <is>
          <t>未开始</t>
        </is>
      </c>
      <c r="AC256" t="inlineStr">
        <is>
          <t>P1 - Bigger the Better</t>
        </is>
      </c>
      <c r="AD256" t="inlineStr">
        <is>
          <t>🎮玩法</t>
        </is>
      </c>
      <c r="AE256"/>
    </row>
    <row r="257" ht="25.5" customHeight="1">
      <c r="A257" s="3" t="str">
        <f>=HYPERLINK("https://applink.feishu.cn/client/todo/detail?guid=af3f7e14-1f34-45d6-81c9-49f9b7167522&amp;suite_entity_num=t100597", "战争迷雾现在无法遮挡浩背后的机械臂")</f>
        <v>战争迷雾现在无法遮挡浩背后的机械臂</v>
      </c>
      <c r="B257"/>
      <c r="C257" t="inlineStr">
        <is>
          <t>默认分组</t>
        </is>
      </c>
      <c r="D257"/>
      <c r="E257"/>
      <c r="F257" t="inlineStr">
        <is>
          <t>Decay</t>
        </is>
      </c>
      <c r="G257" t="inlineStr">
        <is>
          <t>龚政涛</t>
        </is>
      </c>
      <c r="H257" s="4">
        <v>45723.496296296296</v>
      </c>
      <c r="I257" s="4">
        <v>45726.624560185184</v>
      </c>
      <c r="J257" s="4"/>
      <c r="K257" s="4">
        <v>45726.624548611115</v>
      </c>
      <c r="L257">
        <v>0</v>
      </c>
      <c r="M257">
        <v>0</v>
      </c>
      <c r="N257" t="inlineStr">
        <is>
          <t>NzQxMzM4ODg5NzkxNDY2NzAwOTphZjNmN2UxNC0xZjM0LTQ1ZDYtODFjOS00OWY5YjcxNjc1MjI6OTE3ZjFlNTI0Y2U1NThkMGVlN2E1NTMzNjlhYjlhNWE6MQ==</t>
        </is>
      </c>
      <c r="O257" t="inlineStr">
        <is>
          <t>1</t>
        </is>
      </c>
      <c r="P257" t="inlineStr">
        <is>
          <t>或签任务</t>
        </is>
      </c>
      <c r="Q257" t="inlineStr">
        <is>
          <t>0</t>
        </is>
      </c>
      <c r="R257" t="inlineStr">
        <is>
          <t>龚政涛,Decay</t>
        </is>
      </c>
      <c r="S257" s="4"/>
      <c r="T257" s="3" t="str">
        <f>=HYPERLINK("https://applink.feishu.cn/client/todo/task_list?guid=4d92b9af-66d1-4cd7-95d1-4b753a64ca6b", "跃入迷城")</f>
        <v>跃入迷城</v>
      </c>
      <c r="U257" t="inlineStr">
        <is>
          <t>4d92b9af-66d1-4cd7-95d1-4b753a64ca6b</t>
        </is>
      </c>
      <c r="V257" t="inlineStr">
        <is>
          <t>af3f7e14-1f34-45d6-81c9-49f9b7167522</t>
        </is>
      </c>
      <c r="W257"/>
      <c r="X257"/>
      <c r="Y257"/>
      <c r="Z257" t="inlineStr">
        <is>
          <t>0.0.4</t>
        </is>
      </c>
      <c r="AA257" t="inlineStr">
        <is>
          <t>镜头</t>
        </is>
      </c>
      <c r="AB257" t="inlineStr">
        <is>
          <t>已完成</t>
        </is>
      </c>
      <c r="AC257" t="inlineStr">
        <is>
          <t>P0 - Must (not) Have</t>
        </is>
      </c>
      <c r="AD257"/>
      <c r="AE257"/>
    </row>
    <row r="258" ht="25.5" customHeight="1">
      <c r="A258" s="3" t="str">
        <f>=HYPERLINK("https://applink.feishu.cn/client/todo/detail?guid=87cf0259-f436-432b-80f4-1e9bca25fc10&amp;suite_entity_num=t100595", "Boss有些技能会朝着没人的地方释放，并且远程技能现在没有判断是否真的能打到玩家")</f>
        <v>Boss有些技能会朝着没人的地方释放，并且远程技能现在没有判断是否真的能打到玩家</v>
      </c>
      <c r="B258"/>
      <c r="C258" t="inlineStr">
        <is>
          <t>默认分组</t>
        </is>
      </c>
      <c r="D258"/>
      <c r="E258"/>
      <c r="F258" t="inlineStr">
        <is>
          <t>龚政涛</t>
        </is>
      </c>
      <c r="G258" t="inlineStr">
        <is>
          <t>龚政涛</t>
        </is>
      </c>
      <c r="H258" s="4">
        <v>45723.47403935185</v>
      </c>
      <c r="I258" s="4"/>
      <c r="J258" s="4">
        <v>45912.333333333336</v>
      </c>
      <c r="K258" s="4">
        <v>45904.908217592594</v>
      </c>
      <c r="L258">
        <v>0</v>
      </c>
      <c r="M258">
        <v>0</v>
      </c>
      <c r="N258" t="inlineStr">
        <is>
          <t>NzQxMzM4ODg5NzkxNDY2NzAwOTo4N2NmMDI1OS1mNDM2LTQzMmItODBmNC0xZTliY2EyNWZjMTA6YmU3ZmMyOTUwNmQ5ZWZiNjY0OGI3MTRkN2IyNDJmMGQ6MQ==</t>
        </is>
      </c>
      <c r="O258" t="inlineStr">
        <is>
          <t>0</t>
        </is>
      </c>
      <c r="P258" t="inlineStr">
        <is>
          <t>或签任务</t>
        </is>
      </c>
      <c r="Q258" t="inlineStr">
        <is>
          <t>0</t>
        </is>
      </c>
      <c r="R258" t="inlineStr">
        <is>
          <t>龚政涛</t>
        </is>
      </c>
      <c r="S258" s="4"/>
      <c r="T258" s="3" t="str">
        <f>=HYPERLINK("https://applink.feishu.cn/client/todo/task_list?guid=4d92b9af-66d1-4cd7-95d1-4b753a64ca6b", "跃入迷城")</f>
        <v>跃入迷城</v>
      </c>
      <c r="U258" t="inlineStr">
        <is>
          <t>4d92b9af-66d1-4cd7-95d1-4b753a64ca6b</t>
        </is>
      </c>
      <c r="V258" t="inlineStr">
        <is>
          <t>87cf0259-f436-432b-80f4-1e9bca25fc10</t>
        </is>
      </c>
      <c r="W258"/>
      <c r="X258"/>
      <c r="Y258"/>
      <c r="Z258" t="inlineStr">
        <is>
          <t>0.0.5</t>
        </is>
      </c>
      <c r="AA258" t="inlineStr">
        <is>
          <t>AI</t>
        </is>
      </c>
      <c r="AB258" t="inlineStr">
        <is>
          <t>未开始</t>
        </is>
      </c>
      <c r="AC258" t="inlineStr">
        <is>
          <t>P1 - Bigger the Better</t>
        </is>
      </c>
      <c r="AD258" t="inlineStr">
        <is>
          <t>🎮玩法</t>
        </is>
      </c>
      <c r="AE258"/>
    </row>
    <row r="259" ht="25.5" customHeight="1">
      <c r="A259" s="3" t="str">
        <f>=HYPERLINK("https://applink.feishu.cn/client/todo/detail?guid=9cb5ce61-a764-4fec-8812-d6aefa785c04&amp;suite_entity_num=t100598", "霰弹枪类武器（多发武器）的poise damage计算有些问题")</f>
        <v>霰弹枪类武器（多发武器）的poise damage计算有些问题</v>
      </c>
      <c r="B259"/>
      <c r="C259" t="inlineStr">
        <is>
          <t>默认分组</t>
        </is>
      </c>
      <c r="D259"/>
      <c r="E259"/>
      <c r="F259" t="inlineStr">
        <is>
          <t>Decay</t>
        </is>
      </c>
      <c r="G259" t="inlineStr">
        <is>
          <t>龚政涛</t>
        </is>
      </c>
      <c r="H259" s="4">
        <v>45726.489594907405</v>
      </c>
      <c r="I259" s="4"/>
      <c r="J259" s="4"/>
      <c r="K259" s="4">
        <v>45866.66761574074</v>
      </c>
      <c r="L259">
        <v>0</v>
      </c>
      <c r="M259">
        <v>1</v>
      </c>
      <c r="N259" t="inlineStr">
        <is>
          <t>NzQxMzM4ODg5NzkxNDY2NzAwOTo5Y2I1Y2U2MS1hNzY0LTRmZWMtODgxMi1kNmFlZmE3ODVjMDQ6MDBmZmZhZjUxMjY5ZGRmNWZjZTE5NzFiODQzYzI3N2Y6MQ==</t>
        </is>
      </c>
      <c r="O259" t="inlineStr">
        <is>
          <t>0</t>
        </is>
      </c>
      <c r="P259" t="inlineStr">
        <is>
          <t>或签任务</t>
        </is>
      </c>
      <c r="Q259" t="inlineStr">
        <is>
          <t>0</t>
        </is>
      </c>
      <c r="R259" t="inlineStr">
        <is>
          <t>龚政涛,Decay</t>
        </is>
      </c>
      <c r="S259" s="4"/>
      <c r="T259" s="3" t="str">
        <f>=HYPERLINK("https://applink.feishu.cn/client/todo/task_list?guid=4d92b9af-66d1-4cd7-95d1-4b753a64ca6b", "跃入迷城")</f>
        <v>跃入迷城</v>
      </c>
      <c r="U259" t="inlineStr">
        <is>
          <t>4d92b9af-66d1-4cd7-95d1-4b753a64ca6b</t>
        </is>
      </c>
      <c r="V259" t="inlineStr">
        <is>
          <t>9cb5ce61-a764-4fec-8812-d6aefa785c04</t>
        </is>
      </c>
      <c r="W259"/>
      <c r="X259"/>
      <c r="Y259"/>
      <c r="Z259" t="inlineStr">
        <is>
          <t>0.0.5</t>
        </is>
      </c>
      <c r="AA259" t="inlineStr">
        <is>
          <t>角色</t>
        </is>
      </c>
      <c r="AB259" t="inlineStr">
        <is>
          <t>未开始</t>
        </is>
      </c>
      <c r="AC259" t="inlineStr">
        <is>
          <t>P1 - Bigger the Better</t>
        </is>
      </c>
      <c r="AD259" t="inlineStr">
        <is>
          <t>🛠️技术</t>
        </is>
      </c>
      <c r="AE259"/>
    </row>
    <row r="260" ht="25.5" customHeight="1">
      <c xml:space="preserve" r="A260" s="3" t="str">
        <f>=HYPERLINK("https://applink.feishu.cn/client/todo/detail?guid=7c51035c-b0b2-4d03-ab81-6be594d49004&amp;suite_entity_num=t100609", "允许玩家在同一Level前往不同Sector的Map（连接门），再次战斗获取奖励 &lt; ✨新增：平级关卡切换的功能：玩家现在可以在同一个游戏强度（Level）下，访问其他地图，进行额外的挑战以获得额外奖励，该访问功能需要消耗特定的局内资源，同样的资源也可以用于刷新奖励 ")</f>
        <v>允许玩家在同一Level前往不同Sector的Map（连接门），再次战斗获取奖励 &lt; ✨新增：平级关卡切换的功能：玩家现在可以在同一个游戏强度（Level）下，访问其他地图，进行额外的挑战以获得额外奖励，该访问功能需要消耗特定的局内资源，同样的资源也可以用于刷新奖励 </v>
      </c>
      <c r="B260"/>
      <c r="C260"/>
      <c r="D260"/>
      <c r="E260"/>
      <c r="F260" t="inlineStr">
        <is>
          <t>Decay</t>
        </is>
      </c>
      <c r="G260" t="inlineStr">
        <is>
          <t>龚政涛</t>
        </is>
      </c>
      <c r="H260" s="4">
        <v>45730.46503472222</v>
      </c>
      <c r="I260" s="4">
        <v>45868.43292824074</v>
      </c>
      <c r="J260" s="4"/>
      <c r="K260" s="4">
        <v>45868.43375</v>
      </c>
      <c r="L260">
        <v>0</v>
      </c>
      <c r="M260">
        <v>0</v>
      </c>
      <c r="N260" t="inlineStr">
        <is>
          <t>NzQxMzM4ODg5NzkxNDY2NzAwOTo3YzUxMDM1Yy1iMGIyLTRkMDMtYWI4MS02YmU1OTRkNDkwMDQ6YTVlZDUyYWMwZDZhZGRiMDM5YWYwNmQ4ZjI0ZGM5M2U6MQ==</t>
        </is>
      </c>
      <c r="O260" t="inlineStr">
        <is>
          <t>1</t>
        </is>
      </c>
      <c r="P260" t="inlineStr">
        <is>
          <t>或签任务</t>
        </is>
      </c>
      <c r="Q260" t="inlineStr">
        <is>
          <t>0</t>
        </is>
      </c>
      <c r="R260" t="inlineStr">
        <is>
          <t>龚政涛,Decay</t>
        </is>
      </c>
      <c r="S260" s="4"/>
      <c r="T260" s="3" t="str">
        <f>=HYPERLINK("https://applink.feishu.cn/client/todo/task_list?guid=4d92b9af-66d1-4cd7-95d1-4b753a64ca6b", "跃入迷城")</f>
        <v>跃入迷城</v>
      </c>
      <c r="U260" t="inlineStr">
        <is>
          <t>4d92b9af-66d1-4cd7-95d1-4b753a64ca6b</t>
        </is>
      </c>
      <c r="V260" t="inlineStr">
        <is>
          <t>7c51035c-b0b2-4d03-ab81-6be594d49004</t>
        </is>
      </c>
      <c r="W260"/>
      <c r="X260"/>
      <c r="Y260" t="inlineStr">
        <is>
          <t>ac428c2f-96e9-4cd8-83aa-b78ec9473ea1</t>
        </is>
      </c>
      <c r="Z260" t="inlineStr">
        <is>
          <t>0.0.5</t>
        </is>
      </c>
      <c r="AA260" t="inlineStr">
        <is>
          <t>关卡</t>
        </is>
      </c>
      <c r="AB260" t="inlineStr">
        <is>
          <t>工作中</t>
        </is>
      </c>
      <c r="AC260" t="inlineStr">
        <is>
          <t>P0 - Must (not) Have</t>
        </is>
      </c>
      <c r="AD260" t="inlineStr">
        <is>
          <t>🎮玩法</t>
        </is>
      </c>
      <c r="AE260"/>
    </row>
    <row r="261" ht="25.5" customHeight="1">
      <c r="A261" s="3" t="str">
        <f>=HYPERLINK("https://applink.feishu.cn/client/todo/detail?guid=7428279e-e94a-47ca-8466-87861d983e55&amp;suite_entity_num=t100631", "整理白模地图，确保不同Sector的任意Variante之间可以彼此不干涉")</f>
        <v>整理白模地图，确保不同Sector的任意Variante之间可以彼此不干涉</v>
      </c>
      <c r="B261"/>
      <c r="C261" t="inlineStr">
        <is>
          <t>默认分组</t>
        </is>
      </c>
      <c r="D261"/>
      <c r="E261"/>
      <c r="F261" t="inlineStr">
        <is>
          <t>rio</t>
        </is>
      </c>
      <c r="G261" t="inlineStr">
        <is>
          <t>龚政涛</t>
        </is>
      </c>
      <c r="H261" s="4">
        <v>45730.49084490741</v>
      </c>
      <c r="I261" s="4">
        <v>45868.43315972222</v>
      </c>
      <c r="J261" s="4"/>
      <c r="K261" s="4">
        <v>45868.43315972222</v>
      </c>
      <c r="L261">
        <v>0</v>
      </c>
      <c r="M261">
        <v>0</v>
      </c>
      <c r="N261" t="inlineStr">
        <is>
          <t>NzQxMzM4ODg5NzkxNDY2NzAwOTo3NDI4Mjc5ZS1lOTRhLTQ3Y2EtODQ2Ni04Nzg2MWQ5ODNlNTU6ZTU3ZGMxMDc5YTEyYWI0NDI0YzgxYWUxMjYyZjFlNDE6MQ==</t>
        </is>
      </c>
      <c r="O261" t="inlineStr">
        <is>
          <t>1</t>
        </is>
      </c>
      <c r="P261" t="inlineStr">
        <is>
          <t>或签任务</t>
        </is>
      </c>
      <c r="Q261" t="inlineStr">
        <is>
          <t>0</t>
        </is>
      </c>
      <c r="R261" t="inlineStr">
        <is>
          <t>刘禹希,龚政涛,rio,苏祺恒</t>
        </is>
      </c>
      <c r="S261" s="4"/>
      <c r="T261" s="3" t="str">
        <f>=HYPERLINK("https://applink.feishu.cn/client/todo/task_list?guid=4d92b9af-66d1-4cd7-95d1-4b753a64ca6b", "跃入迷城")</f>
        <v>跃入迷城</v>
      </c>
      <c r="U261" t="inlineStr">
        <is>
          <t>4d92b9af-66d1-4cd7-95d1-4b753a64ca6b</t>
        </is>
      </c>
      <c r="V261" t="inlineStr">
        <is>
          <t>7428279e-e94a-47ca-8466-87861d983e55</t>
        </is>
      </c>
      <c r="W261"/>
      <c r="X261"/>
      <c r="Y261"/>
      <c r="Z261" t="inlineStr">
        <is>
          <t>0.0.5</t>
        </is>
      </c>
      <c r="AA261" t="inlineStr">
        <is>
          <t>关卡</t>
        </is>
      </c>
      <c r="AB261" t="inlineStr">
        <is>
          <t>未开始</t>
        </is>
      </c>
      <c r="AC261" t="inlineStr">
        <is>
          <t>P0 - Must (not) Have</t>
        </is>
      </c>
      <c r="AD261" t="inlineStr">
        <is>
          <t>🎮玩法</t>
        </is>
      </c>
      <c r="AE261"/>
    </row>
    <row r="262" ht="25.5" customHeight="1">
      <c xml:space="preserve" r="A262" s="3" t="str">
        <f>=HYPERLINK("https://applink.feishu.cn/client/todo/detail?guid=279c4a14-dde6-4f66-a121-e73c2367d0a0&amp;suite_entity_num=t100610", "允许玩家用**特殊资源**,1. 刷新电梯奖励,2. 开section gate（section gate奖励无法刷新） &lt; ✨新增：平级关卡切换的功能：玩家现在可以在同一个游戏强度（Level）下，访问其他地图，进行额外的挑战以获得额外奖励，该访问功能需要消耗特定的局内资源，同样的资源也可以用于刷新奖励 ")</f>
        <v>允许玩家用**特殊资源**,1. 刷新电梯奖励,2. 开section gate（section gate奖励无法刷新） &lt; ✨新增：平级关卡切换的功能：玩家现在可以在同一个游戏强度（Level）下，访问其他地图，进行额外的挑战以获得额外奖励，该访问功能需要消耗特定的局内资源，同样的资源也可以用于刷新奖励 </v>
      </c>
      <c r="B262" t="inlineStr">
        <is>
          <t>预配10个点数用于切换关卡/刷新奖励</t>
        </is>
      </c>
      <c r="C262"/>
      <c r="D262"/>
      <c r="E262"/>
      <c r="F262" t="inlineStr">
        <is>
          <t>Decay</t>
        </is>
      </c>
      <c r="G262" t="inlineStr">
        <is>
          <t>龚政涛</t>
        </is>
      </c>
      <c r="H262" s="4">
        <v>45730.46505787037</v>
      </c>
      <c r="I262" s="4"/>
      <c r="J262" s="4">
        <v>45886.333333333336</v>
      </c>
      <c r="K262" s="4">
        <v>45918.57969907407</v>
      </c>
      <c r="L262">
        <v>0</v>
      </c>
      <c r="M262">
        <v>5</v>
      </c>
      <c r="N262" t="inlineStr">
        <is>
          <t>NzQxMzM4ODg5NzkxNDY2NzAwOToyNzljNGExNC1kZGU2LTRmNjYtYTEyMS1lNzNjMjM2N2QwYTA6NTFmNmUyMzIzNDAwMGRkMDVlMjEyZDA3MDdhNzNhNGQ6MQ==</t>
        </is>
      </c>
      <c r="O262" t="inlineStr">
        <is>
          <t>0</t>
        </is>
      </c>
      <c r="P262" t="inlineStr">
        <is>
          <t>或签任务</t>
        </is>
      </c>
      <c r="Q262" t="inlineStr">
        <is>
          <t>0</t>
        </is>
      </c>
      <c r="R262" t="inlineStr">
        <is>
          <t>龚政涛,Decay</t>
        </is>
      </c>
      <c r="S262" s="4">
        <v>45886.333333333336</v>
      </c>
      <c r="T262" s="3" t="str">
        <f>=HYPERLINK("https://applink.feishu.cn/client/todo/task_list?guid=4d92b9af-66d1-4cd7-95d1-4b753a64ca6b", "跃入迷城")</f>
        <v>跃入迷城</v>
      </c>
      <c r="U262" t="inlineStr">
        <is>
          <t>4d92b9af-66d1-4cd7-95d1-4b753a64ca6b</t>
        </is>
      </c>
      <c r="V262" t="inlineStr">
        <is>
          <t>279c4a14-dde6-4f66-a121-e73c2367d0a0</t>
        </is>
      </c>
      <c r="W262"/>
      <c r="X262"/>
      <c r="Y262" t="inlineStr">
        <is>
          <t>ac428c2f-96e9-4cd8-83aa-b78ec9473ea1</t>
        </is>
      </c>
      <c r="Z262" t="inlineStr">
        <is>
          <t>0.0.5</t>
        </is>
      </c>
      <c r="AA262" t="inlineStr">
        <is>
          <t>关卡</t>
        </is>
      </c>
      <c r="AB262" t="inlineStr">
        <is>
          <t>工作中</t>
        </is>
      </c>
      <c r="AC262" t="inlineStr">
        <is>
          <t>P0 - Must (not) Have</t>
        </is>
      </c>
      <c r="AD262" t="inlineStr">
        <is>
          <t>🎮玩法</t>
        </is>
      </c>
      <c r="AE262"/>
    </row>
    <row r="263" ht="25.5" customHeight="1">
      <c r="A263" s="3" t="str">
        <f>=HYPERLINK("https://applink.feishu.cn/client/todo/detail?guid=ae288124-eca5-4bb8-9c90-824a0dbb6abf&amp;suite_entity_num=t100606", "挖掘工（Tunnelrat）：顶盾缓慢靠近+强力近战 &lt; 🪡修改：调整了部分敌人的AI逻辑")</f>
        <v>挖掘工（Tunnelrat）：顶盾缓慢靠近+强力近战 &lt; 🪡修改：调整了部分敌人的AI逻辑</v>
      </c>
      <c r="B263"/>
      <c r="C263" t="inlineStr">
        <is>
          <t>默认分组</t>
        </is>
      </c>
      <c r="D263"/>
      <c r="E263"/>
      <c r="F263" t="inlineStr">
        <is>
          <t>龚政涛</t>
        </is>
      </c>
      <c r="G263" t="inlineStr">
        <is>
          <t>龚政涛</t>
        </is>
      </c>
      <c r="H263" s="4">
        <v>45730.46472222222</v>
      </c>
      <c r="I263" s="4"/>
      <c r="J263" s="4">
        <v>45912.333333333336</v>
      </c>
      <c r="K263" s="4">
        <v>45904.90797453704</v>
      </c>
      <c r="L263">
        <v>0</v>
      </c>
      <c r="M263">
        <v>3</v>
      </c>
      <c r="N263" t="inlineStr">
        <is>
          <t>NzQxMzM4ODg5NzkxNDY2NzAwOTphZTI4ODEyNC1lY2E1LTRiYjgtOWM5MC04MjRhMGRiYjZhYmY6ODJlZTVmM2Q3MWY4OTAwNWM5MWY5NGU1ZjJiZmJjMzg6MQ==</t>
        </is>
      </c>
      <c r="O263" t="inlineStr">
        <is>
          <t>0</t>
        </is>
      </c>
      <c r="P263" t="inlineStr">
        <is>
          <t>或签任务</t>
        </is>
      </c>
      <c r="Q263" t="inlineStr">
        <is>
          <t>0</t>
        </is>
      </c>
      <c r="R263" t="inlineStr">
        <is>
          <t>龚政涛,Decay</t>
        </is>
      </c>
      <c r="S263" s="4"/>
      <c r="T263" s="3" t="str">
        <f>=HYPERLINK("https://applink.feishu.cn/client/todo/task_list?guid=4d92b9af-66d1-4cd7-95d1-4b753a64ca6b", "跃入迷城")</f>
        <v>跃入迷城</v>
      </c>
      <c r="U263" t="inlineStr">
        <is>
          <t>4d92b9af-66d1-4cd7-95d1-4b753a64ca6b</t>
        </is>
      </c>
      <c r="V263" t="inlineStr">
        <is>
          <t>ae288124-eca5-4bb8-9c90-824a0dbb6abf</t>
        </is>
      </c>
      <c r="W263" t="inlineStr">
        <is>
          <t>cdb237d9-e5cf-4f65-b655-36028f7f4536</t>
        </is>
      </c>
      <c r="X263" t="inlineStr">
        <is>
          <t>29db56f9-8d80-45a4-80dd-ad7c28e41586</t>
        </is>
      </c>
      <c r="Y263" t="inlineStr">
        <is>
          <t>74155b8e-e39e-4605-8fff-083e0187df5a</t>
        </is>
      </c>
      <c r="Z263" t="inlineStr">
        <is>
          <t>0.0.5</t>
        </is>
      </c>
      <c r="AA263" t="inlineStr">
        <is>
          <t>AI</t>
        </is>
      </c>
      <c r="AB263" t="inlineStr">
        <is>
          <t>未开始</t>
        </is>
      </c>
      <c r="AC263" t="inlineStr">
        <is>
          <t>P0 - Must (not) Have</t>
        </is>
      </c>
      <c r="AD263" t="inlineStr">
        <is>
          <t>🎮玩法</t>
        </is>
      </c>
      <c r="AE263"/>
    </row>
    <row r="264" ht="25.5" customHeight="1">
      <c r="A264" s="3" t="str">
        <f>=HYPERLINK("https://applink.feishu.cn/client/todo/detail?guid=250437c6-3d06-47a9-b853-27d71d0441da&amp;suite_entity_num=t100612", "增加远程武器攻击的动画幅度，使其更加明显")</f>
        <v>增加远程武器攻击的动画幅度，使其更加明显</v>
      </c>
      <c r="B264"/>
      <c r="C264" t="inlineStr">
        <is>
          <t>默认分组</t>
        </is>
      </c>
      <c r="D264"/>
      <c r="E264"/>
      <c r="F264" t="inlineStr">
        <is>
          <t>Decay</t>
        </is>
      </c>
      <c r="G264" t="inlineStr">
        <is>
          <t>龚政涛</t>
        </is>
      </c>
      <c r="H264" s="4">
        <v>45730.4662962963</v>
      </c>
      <c r="I264" s="4"/>
      <c r="J264" s="4"/>
      <c r="K264" s="4">
        <v>45866.669120370374</v>
      </c>
      <c r="L264">
        <v>0</v>
      </c>
      <c r="M264">
        <v>0</v>
      </c>
      <c r="N264" t="inlineStr">
        <is>
          <t>NzQxMzM4ODg5NzkxNDY2NzAwOToyNTA0MzdjNi0zZDA2LTQ3YTktYjg1My0yN2Q3MWQwNDQxZGE6ZGZkZmZlY2M5NTY4MzUxYTk3Yzc2YTQ4MjRkYmNmNTM6MQ==</t>
        </is>
      </c>
      <c r="O264" t="inlineStr">
        <is>
          <t>0</t>
        </is>
      </c>
      <c r="P264" t="inlineStr">
        <is>
          <t>或签任务</t>
        </is>
      </c>
      <c r="Q264" t="inlineStr">
        <is>
          <t>0</t>
        </is>
      </c>
      <c r="R264" t="inlineStr">
        <is>
          <t>龚政涛,Decay</t>
        </is>
      </c>
      <c r="S264" s="4"/>
      <c r="T264" s="3" t="str">
        <f>=HYPERLINK("https://applink.feishu.cn/client/todo/task_list?guid=4d92b9af-66d1-4cd7-95d1-4b753a64ca6b", "跃入迷城")</f>
        <v>跃入迷城</v>
      </c>
      <c r="U264" t="inlineStr">
        <is>
          <t>4d92b9af-66d1-4cd7-95d1-4b753a64ca6b</t>
        </is>
      </c>
      <c r="V264" t="inlineStr">
        <is>
          <t>250437c6-3d06-47a9-b853-27d71d0441da</t>
        </is>
      </c>
      <c r="W264"/>
      <c r="X264"/>
      <c r="Y264"/>
      <c r="Z264" t="inlineStr">
        <is>
          <t>0.0.5</t>
        </is>
      </c>
      <c r="AA264" t="inlineStr">
        <is>
          <t>动画</t>
        </is>
      </c>
      <c r="AB264" t="inlineStr">
        <is>
          <t>未开始</t>
        </is>
      </c>
      <c r="AC264" t="inlineStr">
        <is>
          <t>P2 - Nice to Have</t>
        </is>
      </c>
      <c r="AD264" t="inlineStr">
        <is>
          <t>🎨艺术</t>
        </is>
      </c>
      <c r="AE264"/>
    </row>
    <row r="265" ht="25.5" customHeight="1">
      <c r="A265" s="3" t="str">
        <f>=HYPERLINK("https://applink.feishu.cn/client/todo/detail?guid=3082fc6c-f618-4c50-9830-7480974a16b1&amp;suite_entity_num=t100614", "将武器技能改为双动画驱动，分为前摇、释放动画")</f>
        <v>将武器技能改为双动画驱动，分为前摇、释放动画</v>
      </c>
      <c r="B265"/>
      <c r="C265" t="inlineStr">
        <is>
          <t>默认分组</t>
        </is>
      </c>
      <c r="D265"/>
      <c r="E265"/>
      <c r="F265" t="inlineStr">
        <is>
          <t>Decay</t>
        </is>
      </c>
      <c r="G265" t="inlineStr">
        <is>
          <t>龚政涛</t>
        </is>
      </c>
      <c r="H265" s="4">
        <v>45730.468877314815</v>
      </c>
      <c r="I265" s="4">
        <v>45750.44196759259</v>
      </c>
      <c r="J265" s="4"/>
      <c r="K265" s="4">
        <v>45866.688726851855</v>
      </c>
      <c r="L265">
        <v>0</v>
      </c>
      <c r="M265">
        <v>0</v>
      </c>
      <c r="N265" t="inlineStr">
        <is>
          <t>NzQxMzM4ODg5NzkxNDY2NzAwOTozMDgyZmM2Yy1mNjE4LTRjNTAtOTgzMC03NDgwOTc0YTE2YjE6NzE3MjE5ZTRhNzk3NjcxYjc2ZWI5Mjc0NWVjMzIyZDE6MQ==</t>
        </is>
      </c>
      <c r="O265" t="inlineStr">
        <is>
          <t>1</t>
        </is>
      </c>
      <c r="P265" t="inlineStr">
        <is>
          <t>或签任务</t>
        </is>
      </c>
      <c r="Q265" t="inlineStr">
        <is>
          <t>0</t>
        </is>
      </c>
      <c r="R265" t="inlineStr">
        <is>
          <t>龚政涛,Decay</t>
        </is>
      </c>
      <c r="S265" s="4"/>
      <c r="T265" s="3" t="str">
        <f>=HYPERLINK("https://applink.feishu.cn/client/todo/task_list?guid=4d92b9af-66d1-4cd7-95d1-4b753a64ca6b", "跃入迷城")</f>
        <v>跃入迷城</v>
      </c>
      <c r="U265" t="inlineStr">
        <is>
          <t>4d92b9af-66d1-4cd7-95d1-4b753a64ca6b</t>
        </is>
      </c>
      <c r="V265" t="inlineStr">
        <is>
          <t>3082fc6c-f618-4c50-9830-7480974a16b1</t>
        </is>
      </c>
      <c r="W265"/>
      <c r="X265"/>
      <c r="Y265"/>
      <c r="Z265" t="inlineStr">
        <is>
          <t>0.0.5</t>
        </is>
      </c>
      <c r="AA265" t="inlineStr">
        <is>
          <t>动画</t>
        </is>
      </c>
      <c r="AB265" t="inlineStr">
        <is>
          <t>未开始</t>
        </is>
      </c>
      <c r="AC265" t="inlineStr">
        <is>
          <t>P0 - Must (not) Have</t>
        </is>
      </c>
      <c r="AD265" t="inlineStr">
        <is>
          <t>🛠️技术</t>
        </is>
      </c>
      <c r="AE265"/>
    </row>
    <row r="266" ht="25.5" customHeight="1">
      <c r="A266" s="3" t="str">
        <f>=HYPERLINK("https://applink.feishu.cn/client/todo/detail?guid=cedfc4ae-c05f-41f1-afe2-cdb5cb08739f&amp;suite_entity_num=t100616", "时间必须玩家待在阳台里才能积攒，不能开始逃生后满世界跑")</f>
        <v>时间必须玩家待在阳台里才能积攒，不能开始逃生后满世界跑</v>
      </c>
      <c r="B266"/>
      <c r="C266" t="inlineStr">
        <is>
          <t>默认分组</t>
        </is>
      </c>
      <c r="D266"/>
      <c r="E266"/>
      <c r="F266" t="inlineStr">
        <is>
          <t>Decay</t>
        </is>
      </c>
      <c r="G266" t="inlineStr">
        <is>
          <t>龚政涛</t>
        </is>
      </c>
      <c r="H266" s="4">
        <v>45730.47091435185</v>
      </c>
      <c r="I266" s="4">
        <v>45868.43288194444</v>
      </c>
      <c r="J266" s="4"/>
      <c r="K266" s="4">
        <v>45868.43300925926</v>
      </c>
      <c r="L266">
        <v>0</v>
      </c>
      <c r="M266">
        <v>0</v>
      </c>
      <c r="N266" t="inlineStr">
        <is>
          <t>NzQxMzM4ODg5NzkxNDY2NzAwOTpjZWRmYzRhZS1jMDVmLTQxZjEtYWZlMi1jZGI1Y2IwODczOWY6NjgwMGJkNTA4ZGI2ZGNiOTQ1NWRlZjg2ZDkzZDY5ZDM6MQ==</t>
        </is>
      </c>
      <c r="O266" t="inlineStr">
        <is>
          <t>1</t>
        </is>
      </c>
      <c r="P266" t="inlineStr">
        <is>
          <t>或签任务</t>
        </is>
      </c>
      <c r="Q266" t="inlineStr">
        <is>
          <t>0</t>
        </is>
      </c>
      <c r="R266" t="inlineStr">
        <is>
          <t>龚政涛,Decay</t>
        </is>
      </c>
      <c r="S266" s="4"/>
      <c r="T266" s="3" t="str">
        <f>=HYPERLINK("https://applink.feishu.cn/client/todo/task_list?guid=4d92b9af-66d1-4cd7-95d1-4b753a64ca6b", "跃入迷城")</f>
        <v>跃入迷城</v>
      </c>
      <c r="U266" t="inlineStr">
        <is>
          <t>4d92b9af-66d1-4cd7-95d1-4b753a64ca6b</t>
        </is>
      </c>
      <c r="V266" t="inlineStr">
        <is>
          <t>cedfc4ae-c05f-41f1-afe2-cdb5cb08739f</t>
        </is>
      </c>
      <c r="W266"/>
      <c r="X266"/>
      <c r="Y266"/>
      <c r="Z266" t="inlineStr">
        <is>
          <t>0.0.5</t>
        </is>
      </c>
      <c r="AA266" t="inlineStr">
        <is>
          <t>关卡</t>
        </is>
      </c>
      <c r="AB266" t="inlineStr">
        <is>
          <t>未开始</t>
        </is>
      </c>
      <c r="AC266" t="inlineStr">
        <is>
          <t>P1 - Bigger the Better</t>
        </is>
      </c>
      <c r="AD266" t="inlineStr">
        <is>
          <t>🎮玩法</t>
        </is>
      </c>
      <c r="AE266"/>
    </row>
    <row r="267" ht="25.5" customHeight="1">
      <c r="A267" s="3" t="str">
        <f>=HYPERLINK("https://applink.feishu.cn/client/todo/detail?guid=fdeac1f4-7c5d-4f5e-87d4-18dc176b2bca&amp;suite_entity_num=t100604", "在UI上显示玩家所在的level和剩余敌人数量")</f>
        <v>在UI上显示玩家所在的level和剩余敌人数量</v>
      </c>
      <c r="B267"/>
      <c r="C267" t="inlineStr">
        <is>
          <t>默认分组</t>
        </is>
      </c>
      <c r="D267"/>
      <c r="E267"/>
      <c r="F267" t="inlineStr">
        <is>
          <t>Decay</t>
        </is>
      </c>
      <c r="G267" t="inlineStr">
        <is>
          <t>龚政涛</t>
        </is>
      </c>
      <c r="H267" s="4">
        <v>45730.46466435185</v>
      </c>
      <c r="I267" s="4">
        <v>45733.70784722222</v>
      </c>
      <c r="J267" s="4">
        <v>45874.333333333336</v>
      </c>
      <c r="K267" s="4">
        <v>45877.59841435185</v>
      </c>
      <c r="L267">
        <v>0</v>
      </c>
      <c r="M267">
        <v>1</v>
      </c>
      <c r="N267" t="inlineStr">
        <is>
          <t>NzQxMzM4ODg5NzkxNDY2NzAwOTpmZGVhYzFmNC03YzVkLTRmNWUtODdkNC0xOGRjMTc2YjJiY2E6OTc1YTE2M2JiMWYyNDU1ZTZmYjU4ZDkwYTVlZDU3Y2M6MQ==</t>
        </is>
      </c>
      <c r="O267" t="inlineStr">
        <is>
          <t>1</t>
        </is>
      </c>
      <c r="P267" t="inlineStr">
        <is>
          <t>或签任务</t>
        </is>
      </c>
      <c r="Q267" t="inlineStr">
        <is>
          <t>0</t>
        </is>
      </c>
      <c r="R267" t="inlineStr">
        <is>
          <t>龚政涛,Decay,苏祺恒</t>
        </is>
      </c>
      <c r="S267" s="4">
        <v>45874.333333333336</v>
      </c>
      <c r="T267" s="3" t="str">
        <f>=HYPERLINK("https://applink.feishu.cn/client/todo/task_list?guid=4d92b9af-66d1-4cd7-95d1-4b753a64ca6b", "跃入迷城")</f>
        <v>跃入迷城</v>
      </c>
      <c r="U267" t="inlineStr">
        <is>
          <t>4d92b9af-66d1-4cd7-95d1-4b753a64ca6b</t>
        </is>
      </c>
      <c r="V267" t="inlineStr">
        <is>
          <t>fdeac1f4-7c5d-4f5e-87d4-18dc176b2bca</t>
        </is>
      </c>
      <c r="W267"/>
      <c r="X267"/>
      <c r="Y267"/>
      <c r="Z267" t="inlineStr">
        <is>
          <t>0.0.5</t>
        </is>
      </c>
      <c r="AA267" t="inlineStr">
        <is>
          <t>UIUX</t>
        </is>
      </c>
      <c r="AB267" t="inlineStr">
        <is>
          <t>已完成</t>
        </is>
      </c>
      <c r="AC267" t="inlineStr">
        <is>
          <t>P0 - Must (not) Have</t>
        </is>
      </c>
      <c r="AD267" t="inlineStr">
        <is>
          <t>🎨艺术</t>
        </is>
      </c>
      <c r="AE267"/>
    </row>
    <row r="268" ht="25.5" customHeight="1">
      <c r="A268" s="3" t="str">
        <f>=HYPERLINK("https://applink.feishu.cn/client/todo/detail?guid=59294aca-6ef5-46cd-8fec-1c31388d7c76&amp;suite_entity_num=t100603", "提高子弹打印机的掉率到100%")</f>
        <v>提高子弹打印机的掉率到100%</v>
      </c>
      <c r="B268"/>
      <c r="C268" t="inlineStr">
        <is>
          <t>默认分组</t>
        </is>
      </c>
      <c r="D268"/>
      <c r="E268"/>
      <c r="F268" t="inlineStr">
        <is>
          <t>苏祺恒</t>
        </is>
      </c>
      <c r="G268" t="inlineStr">
        <is>
          <t>龚政涛</t>
        </is>
      </c>
      <c r="H268" s="4">
        <v>45730.464594907404</v>
      </c>
      <c r="I268" s="4">
        <v>45750.44137731481</v>
      </c>
      <c r="J268" s="4"/>
      <c r="K268" s="4">
        <v>45750.44137731481</v>
      </c>
      <c r="L268">
        <v>0</v>
      </c>
      <c r="M268">
        <v>0</v>
      </c>
      <c r="N268" t="inlineStr">
        <is>
          <t>NzQxMzM4ODg5NzkxNDY2NzAwOTo1OTI5NGFjYS02ZWY1LTQ2Y2QtOGZlYy0xYzMxMzg4ZDdjNzY6NjUxMjcxYzk3YjRiODE3MjY1MWJkOWZmYmFjZWE5NzQ6MQ==</t>
        </is>
      </c>
      <c r="O268" t="inlineStr">
        <is>
          <t>1</t>
        </is>
      </c>
      <c r="P268" t="inlineStr">
        <is>
          <t>或签任务</t>
        </is>
      </c>
      <c r="Q268" t="inlineStr">
        <is>
          <t>0</t>
        </is>
      </c>
      <c r="R268" t="inlineStr">
        <is>
          <t>龚政涛,苏祺恒</t>
        </is>
      </c>
      <c r="S268" s="4"/>
      <c r="T268" s="3" t="str">
        <f>=HYPERLINK("https://applink.feishu.cn/client/todo/task_list?guid=4d92b9af-66d1-4cd7-95d1-4b753a64ca6b", "跃入迷城")</f>
        <v>跃入迷城</v>
      </c>
      <c r="U268" t="inlineStr">
        <is>
          <t>4d92b9af-66d1-4cd7-95d1-4b753a64ca6b</t>
        </is>
      </c>
      <c r="V268" t="inlineStr">
        <is>
          <t>59294aca-6ef5-46cd-8fec-1c31388d7c76</t>
        </is>
      </c>
      <c r="W268"/>
      <c r="X268"/>
      <c r="Y268"/>
      <c r="Z268" t="inlineStr">
        <is>
          <t>0.0.5</t>
        </is>
      </c>
      <c r="AA268" t="inlineStr">
        <is>
          <t>关卡</t>
        </is>
      </c>
      <c r="AB268" t="inlineStr">
        <is>
          <t>未开始</t>
        </is>
      </c>
      <c r="AC268" t="inlineStr">
        <is>
          <t>P0 - Must (not) Have</t>
        </is>
      </c>
      <c r="AD268"/>
      <c r="AE268"/>
    </row>
    <row r="269" ht="25.5" customHeight="1">
      <c r="A269" s="3" t="str">
        <f>=HYPERLINK("https://applink.feishu.cn/client/todo/detail?guid=d19fae62-229c-4772-a74e-b9485a121c7c&amp;suite_entity_num=t100629", "重装工头（Steel Foreman）：高机动冲刺/瞬移/火箭冲刺攻击 &lt; 🪡修改：调整了部分敌人的AI逻辑")</f>
        <v>重装工头（Steel Foreman）：高机动冲刺/瞬移/火箭冲刺攻击 &lt; 🪡修改：调整了部分敌人的AI逻辑</v>
      </c>
      <c r="B269"/>
      <c r="C269" t="inlineStr">
        <is>
          <t>默认分组</t>
        </is>
      </c>
      <c r="D269"/>
      <c r="E269"/>
      <c r="F269" t="inlineStr">
        <is>
          <t>龚政涛</t>
        </is>
      </c>
      <c r="G269" t="inlineStr">
        <is>
          <t>龚政涛</t>
        </is>
      </c>
      <c r="H269" s="4">
        <v>45730.486863425926</v>
      </c>
      <c r="I269" s="4"/>
      <c r="J269" s="4">
        <v>45912.333333333336</v>
      </c>
      <c r="K269" s="4">
        <v>45904.90793981482</v>
      </c>
      <c r="L269">
        <v>0</v>
      </c>
      <c r="M269">
        <v>3</v>
      </c>
      <c r="N269" t="inlineStr">
        <is>
          <t>NzQxMzM4ODg5NzkxNDY2NzAwOTpkMTlmYWU2Mi0yMjljLTQ3NzItYTc0ZS1iOTQ4NWExMjFjN2M6YTAxNzcwMGE5OTdkZjhmMTBiMGVjMzU3NmIzYTY5MTM6MQ==</t>
        </is>
      </c>
      <c r="O269" t="inlineStr">
        <is>
          <t>0</t>
        </is>
      </c>
      <c r="P269" t="inlineStr">
        <is>
          <t>或签任务</t>
        </is>
      </c>
      <c r="Q269" t="inlineStr">
        <is>
          <t>0</t>
        </is>
      </c>
      <c r="R269" t="inlineStr">
        <is>
          <t>龚政涛,Decay</t>
        </is>
      </c>
      <c r="S269" s="4"/>
      <c r="T269" s="3" t="str">
        <f>=HYPERLINK("https://applink.feishu.cn/client/todo/task_list?guid=4d92b9af-66d1-4cd7-95d1-4b753a64ca6b", "跃入迷城")</f>
        <v>跃入迷城</v>
      </c>
      <c r="U269" t="inlineStr">
        <is>
          <t>4d92b9af-66d1-4cd7-95d1-4b753a64ca6b</t>
        </is>
      </c>
      <c r="V269" t="inlineStr">
        <is>
          <t>d19fae62-229c-4772-a74e-b9485a121c7c</t>
        </is>
      </c>
      <c r="W269" t="inlineStr">
        <is>
          <t>47cd0e08-b1e0-4cf0-8fc1-5cf180a65615</t>
        </is>
      </c>
      <c r="X269" t="inlineStr">
        <is>
          <t>cdb237d9-e5cf-4f65-b655-36028f7f4536</t>
        </is>
      </c>
      <c r="Y269" t="inlineStr">
        <is>
          <t>74155b8e-e39e-4605-8fff-083e0187df5a</t>
        </is>
      </c>
      <c r="Z269" t="inlineStr">
        <is>
          <t>0.0.5</t>
        </is>
      </c>
      <c r="AA269" t="inlineStr">
        <is>
          <t>AI</t>
        </is>
      </c>
      <c r="AB269" t="inlineStr">
        <is>
          <t>未开始</t>
        </is>
      </c>
      <c r="AC269" t="inlineStr">
        <is>
          <t>P0 - Must (not) Have</t>
        </is>
      </c>
      <c r="AD269" t="inlineStr">
        <is>
          <t>🎮玩法</t>
        </is>
      </c>
      <c r="AE269"/>
    </row>
    <row r="270" ht="25.5" customHeight="1">
      <c r="A270" s="3" t="str">
        <f>=HYPERLINK("https://applink.feishu.cn/client/todo/detail?guid=6ff0aed9-e953-43ea-a97c-042dd33e5590&amp;suite_entity_num=t100617", "逃生触发后需要一定时间才能离开")</f>
        <v>逃生触发后需要一定时间才能离开</v>
      </c>
      <c r="B270"/>
      <c r="C270" t="inlineStr">
        <is>
          <t>默认分组</t>
        </is>
      </c>
      <c r="D270"/>
      <c r="E270"/>
      <c r="F270" t="inlineStr">
        <is>
          <t>Decay</t>
        </is>
      </c>
      <c r="G270" t="inlineStr">
        <is>
          <t>龚政涛</t>
        </is>
      </c>
      <c r="H270" s="4">
        <v>45730.47091435185</v>
      </c>
      <c r="I270" s="4">
        <v>45868.432858796295</v>
      </c>
      <c r="J270" s="4"/>
      <c r="K270" s="4">
        <v>45868.433020833334</v>
      </c>
      <c r="L270">
        <v>0</v>
      </c>
      <c r="M270">
        <v>0</v>
      </c>
      <c r="N270" t="inlineStr">
        <is>
          <t>NzQxMzM4ODg5NzkxNDY2NzAwOTo2ZmYwYWVkOS1lOTUzLTQzZWEtYTk3Yy0wNDJkZDMzZTU1OTA6MGRiM2EwNTFiNmZlZDEwODU4YjI2NTMxY2I3NDJlZWU6MQ==</t>
        </is>
      </c>
      <c r="O270" t="inlineStr">
        <is>
          <t>1</t>
        </is>
      </c>
      <c r="P270" t="inlineStr">
        <is>
          <t>或签任务</t>
        </is>
      </c>
      <c r="Q270" t="inlineStr">
        <is>
          <t>0</t>
        </is>
      </c>
      <c r="R270" t="inlineStr">
        <is>
          <t>龚政涛,Decay</t>
        </is>
      </c>
      <c r="S270" s="4"/>
      <c r="T270" s="3" t="str">
        <f>=HYPERLINK("https://applink.feishu.cn/client/todo/task_list?guid=4d92b9af-66d1-4cd7-95d1-4b753a64ca6b", "跃入迷城")</f>
        <v>跃入迷城</v>
      </c>
      <c r="U270" t="inlineStr">
        <is>
          <t>4d92b9af-66d1-4cd7-95d1-4b753a64ca6b</t>
        </is>
      </c>
      <c r="V270" t="inlineStr">
        <is>
          <t>6ff0aed9-e953-43ea-a97c-042dd33e5590</t>
        </is>
      </c>
      <c r="W270"/>
      <c r="X270"/>
      <c r="Y270"/>
      <c r="Z270" t="inlineStr">
        <is>
          <t>0.0.5</t>
        </is>
      </c>
      <c r="AA270" t="inlineStr">
        <is>
          <t>关卡</t>
        </is>
      </c>
      <c r="AB270" t="inlineStr">
        <is>
          <t>未开始</t>
        </is>
      </c>
      <c r="AC270" t="inlineStr">
        <is>
          <t>P1 - Bigger the Better</t>
        </is>
      </c>
      <c r="AD270" t="inlineStr">
        <is>
          <t>🎮玩法</t>
        </is>
      </c>
      <c r="AE270"/>
    </row>
    <row r="271" ht="25.5" customHeight="1">
      <c r="A271" s="3" t="str">
        <f>=HYPERLINK("https://applink.feishu.cn/client/todo/detail?guid=9437973c-a596-4535-bf39-2ccdefe348ed&amp;suite_entity_num=t100620", "或者用更明显的雷达透视VFX来解决该问题")</f>
        <v>或者用更明显的雷达透视VFX来解决该问题</v>
      </c>
      <c r="B271"/>
      <c r="C271" t="inlineStr">
        <is>
          <t>默认分组</t>
        </is>
      </c>
      <c r="D271"/>
      <c r="E271"/>
      <c r="F271" t="inlineStr">
        <is>
          <t>龚政涛</t>
        </is>
      </c>
      <c r="G271" t="inlineStr">
        <is>
          <t>龚政涛</t>
        </is>
      </c>
      <c r="H271" s="4">
        <v>45730.482256944444</v>
      </c>
      <c r="I271" s="4"/>
      <c r="J271" s="4"/>
      <c r="K271" s="4">
        <v>45812.45479166666</v>
      </c>
      <c r="L271">
        <v>0</v>
      </c>
      <c r="M271">
        <v>0</v>
      </c>
      <c r="N271" t="inlineStr">
        <is>
          <t>NzQxMzM4ODg5NzkxNDY2NzAwOTo5NDM3OTczYy1hNTk2LTQ1MzUtYmYzOS0yY2NkZWZlMzQ4ZWQ6MWIyYzNiYTE0MzhiODRhY2E1M2RhZjI5NDRiY2JlNWY6MQ==</t>
        </is>
      </c>
      <c r="O271" t="inlineStr">
        <is>
          <t>0</t>
        </is>
      </c>
      <c r="P271" t="inlineStr">
        <is>
          <t>或签任务</t>
        </is>
      </c>
      <c r="Q271" t="inlineStr">
        <is>
          <t>0</t>
        </is>
      </c>
      <c r="R271" t="inlineStr">
        <is>
          <t>龚政涛,Decay</t>
        </is>
      </c>
      <c r="S271" s="4"/>
      <c r="T271" s="3" t="str">
        <f>=HYPERLINK("https://applink.feishu.cn/client/todo/task_list?guid=4d92b9af-66d1-4cd7-95d1-4b753a64ca6b", "跃入迷城")</f>
        <v>跃入迷城</v>
      </c>
      <c r="U271" t="inlineStr">
        <is>
          <t>4d92b9af-66d1-4cd7-95d1-4b753a64ca6b</t>
        </is>
      </c>
      <c r="V271" t="inlineStr">
        <is>
          <t>9437973c-a596-4535-bf39-2ccdefe348ed</t>
        </is>
      </c>
      <c r="W271"/>
      <c r="X271"/>
      <c r="Y271"/>
      <c r="Z271" t="inlineStr">
        <is>
          <t>0.1.0</t>
        </is>
      </c>
      <c r="AA271" t="inlineStr">
        <is>
          <t>镜头</t>
        </is>
      </c>
      <c r="AB271" t="inlineStr">
        <is>
          <t>未开始</t>
        </is>
      </c>
      <c r="AC271" t="inlineStr">
        <is>
          <t>P3 - Not Related</t>
        </is>
      </c>
      <c r="AD271"/>
      <c r="AE271"/>
    </row>
    <row r="272" ht="25.5" customHeight="1">
      <c r="A272" s="3" t="str">
        <f>=HYPERLINK("https://applink.feishu.cn/client/todo/detail?guid=4aa74eb9-0b9c-4726-9882-e51003564c53&amp;suite_entity_num=t100601", "调整新武器的获取机制，使其不消耗库存子弹，拿到手里就是满弹夹")</f>
        <v>调整新武器的获取机制，使其不消耗库存子弹，拿到手里就是满弹夹</v>
      </c>
      <c r="B272"/>
      <c r="C272" t="inlineStr">
        <is>
          <t>默认分组</t>
        </is>
      </c>
      <c r="D272"/>
      <c r="E272"/>
      <c r="F272" t="inlineStr">
        <is>
          <t>Decay</t>
        </is>
      </c>
      <c r="G272" t="inlineStr">
        <is>
          <t>龚政涛</t>
        </is>
      </c>
      <c r="H272" s="4">
        <v>45730.464479166665</v>
      </c>
      <c r="I272" s="4">
        <v>45733.800474537034</v>
      </c>
      <c r="J272" s="4"/>
      <c r="K272" s="4">
        <v>45874.4050462963</v>
      </c>
      <c r="L272">
        <v>0</v>
      </c>
      <c r="M272">
        <v>1</v>
      </c>
      <c r="N272" t="inlineStr">
        <is>
          <t>NzQxMzM4ODg5NzkxNDY2NzAwOTo0YWE3NGViOS0wYjljLTQ3MjYtOTg4Mi1lNTEwMDM1NjRjNTM6NTVjNDJhMWRmZGEzZTIzZDFhODhjOTc2ODdkOTlkNmY6MQ==</t>
        </is>
      </c>
      <c r="O272" t="inlineStr">
        <is>
          <t>1</t>
        </is>
      </c>
      <c r="P272" t="inlineStr">
        <is>
          <t>或签任务</t>
        </is>
      </c>
      <c r="Q272" t="inlineStr">
        <is>
          <t>0</t>
        </is>
      </c>
      <c r="R272" t="inlineStr">
        <is>
          <t>龚政涛,Decay</t>
        </is>
      </c>
      <c r="S272" s="4"/>
      <c r="T272" s="3" t="str">
        <f>=HYPERLINK("https://applink.feishu.cn/client/todo/task_list?guid=4d92b9af-66d1-4cd7-95d1-4b753a64ca6b", "跃入迷城")</f>
        <v>跃入迷城</v>
      </c>
      <c r="U272" t="inlineStr">
        <is>
          <t>4d92b9af-66d1-4cd7-95d1-4b753a64ca6b</t>
        </is>
      </c>
      <c r="V272" t="inlineStr">
        <is>
          <t>4aa74eb9-0b9c-4726-9882-e51003564c53</t>
        </is>
      </c>
      <c r="W272"/>
      <c r="X272"/>
      <c r="Y272"/>
      <c r="Z272" t="inlineStr">
        <is>
          <t>0.0.5</t>
        </is>
      </c>
      <c r="AA272" t="inlineStr">
        <is>
          <t>装备</t>
        </is>
      </c>
      <c r="AB272" t="inlineStr">
        <is>
          <t>已完成</t>
        </is>
      </c>
      <c r="AC272" t="inlineStr">
        <is>
          <t>P0 - Must (not) Have</t>
        </is>
      </c>
      <c r="AD272" t="inlineStr">
        <is>
          <t>🎮玩法</t>
        </is>
      </c>
      <c r="AE272"/>
    </row>
    <row r="273" ht="25.5" customHeight="1">
      <c r="A273" s="3" t="str">
        <f>=HYPERLINK("https://applink.feishu.cn/client/todo/detail?guid=8ce54c0c-6206-45bb-a384-8860c30dc208&amp;suite_entity_num=t100600", "将被武器打印机替换的武器丢在地上供玩家反复选择")</f>
        <v>将被武器打印机替换的武器丢在地上供玩家反复选择</v>
      </c>
      <c r="B273"/>
      <c r="C273" t="inlineStr">
        <is>
          <t>默认分组</t>
        </is>
      </c>
      <c r="D273"/>
      <c r="E273"/>
      <c r="F273" t="inlineStr">
        <is>
          <t>Decay</t>
        </is>
      </c>
      <c r="G273" t="inlineStr">
        <is>
          <t>龚政涛</t>
        </is>
      </c>
      <c r="H273" s="4">
        <v>45730.46440972222</v>
      </c>
      <c r="I273" s="4">
        <v>45734.48511574074</v>
      </c>
      <c r="J273" s="4"/>
      <c r="K273" s="4">
        <v>45874.405</v>
      </c>
      <c r="L273">
        <v>0</v>
      </c>
      <c r="M273">
        <v>7</v>
      </c>
      <c r="N273" t="inlineStr">
        <is>
          <t>NzQxMzM4ODg5NzkxNDY2NzAwOTo4Y2U1NGMwYy02MjA2LTQ1YmItYTM4NC04ODYwYzMwZGMyMDg6ODFmMzhkMzhjOTY4MTFmM2NmYzIwNzMwNTU2ODdkNjY6MQ==</t>
        </is>
      </c>
      <c r="O273" t="inlineStr">
        <is>
          <t>1</t>
        </is>
      </c>
      <c r="P273" t="inlineStr">
        <is>
          <t>或签任务</t>
        </is>
      </c>
      <c r="Q273" t="inlineStr">
        <is>
          <t>0</t>
        </is>
      </c>
      <c r="R273" t="inlineStr">
        <is>
          <t>Decay,龚政涛</t>
        </is>
      </c>
      <c r="S273" s="4"/>
      <c r="T273" s="3" t="str">
        <f>=HYPERLINK("https://applink.feishu.cn/client/todo/task_list?guid=4d92b9af-66d1-4cd7-95d1-4b753a64ca6b", "跃入迷城")</f>
        <v>跃入迷城</v>
      </c>
      <c r="U273" t="inlineStr">
        <is>
          <t>4d92b9af-66d1-4cd7-95d1-4b753a64ca6b</t>
        </is>
      </c>
      <c r="V273" t="inlineStr">
        <is>
          <t>8ce54c0c-6206-45bb-a384-8860c30dc208</t>
        </is>
      </c>
      <c r="W273"/>
      <c r="X273"/>
      <c r="Y273"/>
      <c r="Z273" t="inlineStr">
        <is>
          <t>0.0.5</t>
        </is>
      </c>
      <c r="AA273" t="inlineStr">
        <is>
          <t>装备</t>
        </is>
      </c>
      <c r="AB273" t="inlineStr">
        <is>
          <t>已完成</t>
        </is>
      </c>
      <c r="AC273" t="inlineStr">
        <is>
          <t>P0 - Must (not) Have</t>
        </is>
      </c>
      <c r="AD273" t="inlineStr">
        <is>
          <t>🎮玩法</t>
        </is>
      </c>
      <c r="AE273"/>
    </row>
    <row r="274" ht="25.5" customHeight="1">
      <c r="A274" s="3" t="str">
        <f>=HYPERLINK("https://applink.feishu.cn/client/todo/detail?guid=518ddcb2-7e05-4168-9011-921c63cdb1e8&amp;suite_entity_num=t100626", "增加受击打停顿效果")</f>
        <v>增加受击打停顿效果</v>
      </c>
      <c r="B274"/>
      <c r="C274" t="inlineStr">
        <is>
          <t>默认分组</t>
        </is>
      </c>
      <c r="D274"/>
      <c r="E274"/>
      <c r="F274" t="inlineStr">
        <is>
          <t>Decay</t>
        </is>
      </c>
      <c r="G274" t="inlineStr">
        <is>
          <t>龚政涛</t>
        </is>
      </c>
      <c r="H274" s="4">
        <v>45730.48525462963</v>
      </c>
      <c r="I274" s="4">
        <v>45750.44425925926</v>
      </c>
      <c r="J274" s="4"/>
      <c r="K274" s="4">
        <v>45866.68875</v>
      </c>
      <c r="L274">
        <v>0</v>
      </c>
      <c r="M274">
        <v>0</v>
      </c>
      <c r="N274" t="inlineStr">
        <is>
          <t>NzQxMzM4ODg5NzkxNDY2NzAwOTo1MThkZGNiMi03ZTA1LTQxNjgtOTAxMS05MjFjNjNjZGIxZTg6NGFkNzE2MzQ1NWU2ZjRiOGMxNDk4ZGJhYjk4YWMxNDU6MQ==</t>
        </is>
      </c>
      <c r="O274" t="inlineStr">
        <is>
          <t>1</t>
        </is>
      </c>
      <c r="P274" t="inlineStr">
        <is>
          <t>或签任务</t>
        </is>
      </c>
      <c r="Q274" t="inlineStr">
        <is>
          <t>0</t>
        </is>
      </c>
      <c r="R274" t="inlineStr">
        <is>
          <t>Decay,龚政涛</t>
        </is>
      </c>
      <c r="S274" s="4"/>
      <c r="T274" s="3" t="str">
        <f>=HYPERLINK("https://applink.feishu.cn/client/todo/task_list?guid=4d92b9af-66d1-4cd7-95d1-4b753a64ca6b", "跃入迷城")</f>
        <v>跃入迷城</v>
      </c>
      <c r="U274" t="inlineStr">
        <is>
          <t>4d92b9af-66d1-4cd7-95d1-4b753a64ca6b</t>
        </is>
      </c>
      <c r="V274" t="inlineStr">
        <is>
          <t>518ddcb2-7e05-4168-9011-921c63cdb1e8</t>
        </is>
      </c>
      <c r="W274"/>
      <c r="X274"/>
      <c r="Y274"/>
      <c r="Z274" t="inlineStr">
        <is>
          <t>0.0.5</t>
        </is>
      </c>
      <c r="AA274" t="inlineStr">
        <is>
          <t>动画</t>
        </is>
      </c>
      <c r="AB274" t="inlineStr">
        <is>
          <t>未开始</t>
        </is>
      </c>
      <c r="AC274" t="inlineStr">
        <is>
          <t>P0 - Must (not) Have</t>
        </is>
      </c>
      <c r="AD274" t="inlineStr">
        <is>
          <t>🛠️技术</t>
        </is>
      </c>
      <c r="AE274"/>
    </row>
    <row r="275" ht="25.5" customHeight="1">
      <c r="A275" s="3" t="str">
        <f>=HYPERLINK("https://applink.feishu.cn/client/todo/detail?guid=252f120f-163b-40db-ad99-60fe00abf282&amp;suite_entity_num=t100599", "增加攻击吸附逻辑")</f>
        <v>增加攻击吸附逻辑</v>
      </c>
      <c r="B275"/>
      <c r="C275" t="inlineStr">
        <is>
          <t>默认分组</t>
        </is>
      </c>
      <c r="D275"/>
      <c r="E275"/>
      <c r="F275" t="inlineStr">
        <is>
          <t>Decay</t>
        </is>
      </c>
      <c r="G275" t="inlineStr">
        <is>
          <t>龚政涛</t>
        </is>
      </c>
      <c r="H275" s="4">
        <v>45730.46428240741</v>
      </c>
      <c r="I275" s="4">
        <v>45775.81789351852</v>
      </c>
      <c r="J275" s="4"/>
      <c r="K275" s="4">
        <v>45868.03827546296</v>
      </c>
      <c r="L275">
        <v>0</v>
      </c>
      <c r="M275">
        <v>27</v>
      </c>
      <c r="N275" t="inlineStr">
        <is>
          <t>NzQxMzM4ODg5NzkxNDY2NzAwOToyNTJmMTIwZi0xNjNiLTQwZGItYWQ5OS02MGZlMDBhYmYyODI6ZGI1YTc4ZjM1NDkxNDI0ZDk5NTU3N2ZkZmM4NjA2NzE6MQ==</t>
        </is>
      </c>
      <c r="O275" t="inlineStr">
        <is>
          <t>1</t>
        </is>
      </c>
      <c r="P275" t="inlineStr">
        <is>
          <t>或签任务</t>
        </is>
      </c>
      <c r="Q275" t="inlineStr">
        <is>
          <t>0</t>
        </is>
      </c>
      <c r="R275" t="inlineStr">
        <is>
          <t>龚政涛,Decay</t>
        </is>
      </c>
      <c r="S275" s="4"/>
      <c r="T275" s="3" t="str">
        <f>=HYPERLINK("https://applink.feishu.cn/client/todo/task_list?guid=4d92b9af-66d1-4cd7-95d1-4b753a64ca6b", "跃入迷城")</f>
        <v>跃入迷城</v>
      </c>
      <c r="U275" t="inlineStr">
        <is>
          <t>4d92b9af-66d1-4cd7-95d1-4b753a64ca6b</t>
        </is>
      </c>
      <c r="V275" t="inlineStr">
        <is>
          <t>252f120f-163b-40db-ad99-60fe00abf282</t>
        </is>
      </c>
      <c r="W275"/>
      <c r="X275"/>
      <c r="Y275"/>
      <c r="Z275" t="inlineStr">
        <is>
          <t>0.0.5</t>
        </is>
      </c>
      <c r="AA275" t="inlineStr">
        <is>
          <t>操作</t>
        </is>
      </c>
      <c r="AB275" t="inlineStr">
        <is>
          <t>工作中</t>
        </is>
      </c>
      <c r="AC275" t="inlineStr">
        <is>
          <t>P1 - Bigger the Better</t>
        </is>
      </c>
      <c r="AD275" t="inlineStr">
        <is>
          <t>🎮玩法</t>
        </is>
      </c>
      <c r="AE275"/>
    </row>
    <row r="276" ht="25.5" customHeight="1">
      <c r="A276" s="3" t="str">
        <f>=HYPERLINK("https://applink.feishu.cn/client/todo/detail?guid=3c7b30a1-cd9e-4cb4-b332-0b4d8dceef30&amp;suite_entity_num=t100613", "增加冲刺CD，增加冲刺冷却UI")</f>
        <v>增加冲刺CD，增加冲刺冷却UI</v>
      </c>
      <c r="B276"/>
      <c r="C276" t="inlineStr">
        <is>
          <t>默认分组</t>
        </is>
      </c>
      <c r="D276"/>
      <c r="E276"/>
      <c r="F276" t="inlineStr">
        <is>
          <t>龚政涛,Decay</t>
        </is>
      </c>
      <c r="G276" t="inlineStr">
        <is>
          <t>龚政涛</t>
        </is>
      </c>
      <c r="H276" s="4">
        <v>45730.46795138889</v>
      </c>
      <c r="I276" s="4">
        <v>45733.795439814814</v>
      </c>
      <c r="J276" s="4"/>
      <c r="K276" s="4">
        <v>45868.03869212963</v>
      </c>
      <c r="L276">
        <v>0</v>
      </c>
      <c r="M276">
        <v>4</v>
      </c>
      <c r="N276" t="inlineStr">
        <is>
          <t>NzQxMzM4ODg5NzkxNDY2NzAwOTozYzdiMzBhMS1jZDllLTRjYjQtYjMzMi0wYjRkOGRjZWVmMzA6ZTBlMWRhNWY0ZmVmYWYyMGIzMjk4NWM2YThhMjhhMWU6MQ==</t>
        </is>
      </c>
      <c r="O276" t="inlineStr">
        <is>
          <t>1</t>
        </is>
      </c>
      <c r="P276" t="inlineStr">
        <is>
          <t>或签任务</t>
        </is>
      </c>
      <c r="Q276" t="inlineStr">
        <is>
          <t>0</t>
        </is>
      </c>
      <c r="R276" t="inlineStr">
        <is>
          <t>龚政涛,Decay</t>
        </is>
      </c>
      <c r="S276" s="4"/>
      <c r="T276" s="3" t="str">
        <f>=HYPERLINK("https://applink.feishu.cn/client/todo/task_list?guid=4d92b9af-66d1-4cd7-95d1-4b753a64ca6b", "跃入迷城")</f>
        <v>跃入迷城</v>
      </c>
      <c r="U276" t="inlineStr">
        <is>
          <t>4d92b9af-66d1-4cd7-95d1-4b753a64ca6b</t>
        </is>
      </c>
      <c r="V276" t="inlineStr">
        <is>
          <t>3c7b30a1-cd9e-4cb4-b332-0b4d8dceef30</t>
        </is>
      </c>
      <c r="W276"/>
      <c r="X276"/>
      <c r="Y276"/>
      <c r="Z276" t="inlineStr">
        <is>
          <t>0.0.5</t>
        </is>
      </c>
      <c r="AA276" t="inlineStr">
        <is>
          <t>操作</t>
        </is>
      </c>
      <c r="AB276" t="inlineStr">
        <is>
          <t>已完成</t>
        </is>
      </c>
      <c r="AC276" t="inlineStr">
        <is>
          <t>P0 - Must (not) Have</t>
        </is>
      </c>
      <c r="AD276" t="inlineStr">
        <is>
          <t>🎮玩法</t>
        </is>
      </c>
      <c r="AE276"/>
    </row>
    <row r="277" ht="25.5" customHeight="1">
      <c r="A277" s="3" t="str">
        <f>=HYPERLINK("https://applink.feishu.cn/client/todo/detail?guid=cdb237d9-e5cf-4f65-b655-36028f7f4536&amp;suite_entity_num=t100607", "管线技师（Pipewright）：扇形攻击+低血量自爆 &lt; 🪡修改：调整了部分敌人的AI逻辑")</f>
        <v>管线技师（Pipewright）：扇形攻击+低血量自爆 &lt; 🪡修改：调整了部分敌人的AI逻辑</v>
      </c>
      <c r="B277"/>
      <c r="C277" t="inlineStr">
        <is>
          <t>默认分组</t>
        </is>
      </c>
      <c r="D277"/>
      <c r="E277"/>
      <c r="F277" t="inlineStr">
        <is>
          <t>龚政涛</t>
        </is>
      </c>
      <c r="G277" t="inlineStr">
        <is>
          <t>龚政涛</t>
        </is>
      </c>
      <c r="H277" s="4">
        <v>45730.464733796296</v>
      </c>
      <c r="I277" s="4"/>
      <c r="J277" s="4">
        <v>45912.333333333336</v>
      </c>
      <c r="K277" s="4">
        <v>45904.90796296296</v>
      </c>
      <c r="L277">
        <v>0</v>
      </c>
      <c r="M277">
        <v>8</v>
      </c>
      <c r="N277" t="inlineStr">
        <is>
          <t>NzQxMzM4ODg5NzkxNDY2NzAwOTpjZGIyMzdkOS1lNWNmLTRmNjUtYjY1NS0zNjAyOGY3ZjQ1MzY6ZWE5ODljYTg3ZjM5YmRiYjk4MmM1ZmU2ZTI4NDIxOTE6MQ==</t>
        </is>
      </c>
      <c r="O277" t="inlineStr">
        <is>
          <t>0</t>
        </is>
      </c>
      <c r="P277" t="inlineStr">
        <is>
          <t>或签任务</t>
        </is>
      </c>
      <c r="Q277" t="inlineStr">
        <is>
          <t>0</t>
        </is>
      </c>
      <c r="R277" t="inlineStr">
        <is>
          <t>龚政涛,Decay</t>
        </is>
      </c>
      <c r="S277" s="4"/>
      <c r="T277" s="3" t="str">
        <f>=HYPERLINK("https://applink.feishu.cn/client/todo/task_list?guid=4d92b9af-66d1-4cd7-95d1-4b753a64ca6b", "跃入迷城")</f>
        <v>跃入迷城</v>
      </c>
      <c r="U277" t="inlineStr">
        <is>
          <t>4d92b9af-66d1-4cd7-95d1-4b753a64ca6b</t>
        </is>
      </c>
      <c r="V277" t="inlineStr">
        <is>
          <t>cdb237d9-e5cf-4f65-b655-36028f7f4536</t>
        </is>
      </c>
      <c r="W277" t="inlineStr">
        <is>
          <t>d19fae62-229c-4772-a74e-b9485a121c7c</t>
        </is>
      </c>
      <c r="X277" t="inlineStr">
        <is>
          <t>ae288124-eca5-4bb8-9c90-824a0dbb6abf</t>
        </is>
      </c>
      <c r="Y277" t="inlineStr">
        <is>
          <t>74155b8e-e39e-4605-8fff-083e0187df5a</t>
        </is>
      </c>
      <c r="Z277" t="inlineStr">
        <is>
          <t>0.0.5</t>
        </is>
      </c>
      <c r="AA277" t="inlineStr">
        <is>
          <t>AI</t>
        </is>
      </c>
      <c r="AB277" t="inlineStr">
        <is>
          <t>未开始</t>
        </is>
      </c>
      <c r="AC277" t="inlineStr">
        <is>
          <t>P0 - Must (not) Have</t>
        </is>
      </c>
      <c r="AD277" t="inlineStr">
        <is>
          <t>🎮玩法</t>
        </is>
      </c>
      <c r="AE277"/>
    </row>
    <row r="278" ht="25.5" customHeight="1">
      <c r="A278" s="3" t="str">
        <f>=HYPERLINK("https://applink.feishu.cn/client/todo/detail?guid=e4b118ec-d48f-49ea-aa65-9928051128ed&amp;suite_entity_num=t100602", "增加一个“V”键普攻的能力，作为近战或远程武器的补充攻击方式")</f>
        <v>增加一个“V”键普攻的能力，作为近战或远程武器的补充攻击方式</v>
      </c>
      <c r="B278"/>
      <c r="C278" t="inlineStr">
        <is>
          <t>默认分组</t>
        </is>
      </c>
      <c r="D278"/>
      <c r="E278"/>
      <c r="F278" t="inlineStr">
        <is>
          <t>Decay</t>
        </is>
      </c>
      <c r="G278" t="inlineStr">
        <is>
          <t>龚政涛</t>
        </is>
      </c>
      <c r="H278" s="4">
        <v>45730.464537037034</v>
      </c>
      <c r="I278" s="4">
        <v>45775.81780092593</v>
      </c>
      <c r="J278" s="4"/>
      <c r="K278" s="4">
        <v>45868.038564814815</v>
      </c>
      <c r="L278">
        <v>0</v>
      </c>
      <c r="M278">
        <v>18</v>
      </c>
      <c r="N278" t="inlineStr">
        <is>
          <t>NzQxMzM4ODg5NzkxNDY2NzAwOTplNGIxMThlYy1kNDhmLTQ5ZWEtYWE2NS05OTI4MDUxMTI4ZWQ6MGMwMTdhNTNkMmFlMGQ4MDEwY2VkOTNjNjM1ZjMyMGQ6MQ==</t>
        </is>
      </c>
      <c r="O278" t="inlineStr">
        <is>
          <t>1</t>
        </is>
      </c>
      <c r="P278" t="inlineStr">
        <is>
          <t>或签任务</t>
        </is>
      </c>
      <c r="Q278" t="inlineStr">
        <is>
          <t>0</t>
        </is>
      </c>
      <c r="R278" t="inlineStr">
        <is>
          <t>龚政涛,Decay</t>
        </is>
      </c>
      <c r="S278" s="4"/>
      <c r="T278" s="3" t="str">
        <f>=HYPERLINK("https://applink.feishu.cn/client/todo/task_list?guid=4d92b9af-66d1-4cd7-95d1-4b753a64ca6b", "跃入迷城")</f>
        <v>跃入迷城</v>
      </c>
      <c r="U278" t="inlineStr">
        <is>
          <t>4d92b9af-66d1-4cd7-95d1-4b753a64ca6b</t>
        </is>
      </c>
      <c r="V278" t="inlineStr">
        <is>
          <t>e4b118ec-d48f-49ea-aa65-9928051128ed</t>
        </is>
      </c>
      <c r="W278"/>
      <c r="X278"/>
      <c r="Y278"/>
      <c r="Z278" t="inlineStr">
        <is>
          <t>0.0.5</t>
        </is>
      </c>
      <c r="AA278" t="inlineStr">
        <is>
          <t>操作</t>
        </is>
      </c>
      <c r="AB278" t="inlineStr">
        <is>
          <t>已完成</t>
        </is>
      </c>
      <c r="AC278" t="inlineStr">
        <is>
          <t>P0 - Must (not) Have</t>
        </is>
      </c>
      <c r="AD278" t="inlineStr">
        <is>
          <t>🎮玩法</t>
        </is>
      </c>
      <c r="AE278"/>
    </row>
    <row r="279" ht="25.5" customHeight="1">
      <c r="A279" s="3" t="str">
        <f>=HYPERLINK("https://applink.feishu.cn/client/todo/detail?guid=70c41387-7bf5-4490-88a5-d90d669565ef&amp;suite_entity_num=t100622", "实现敌人离开玩家视野后渐变消失的效果")</f>
        <v>实现敌人离开玩家视野后渐变消失的效果</v>
      </c>
      <c r="B279"/>
      <c r="C279" t="inlineStr">
        <is>
          <t>默认分组</t>
        </is>
      </c>
      <c r="D279"/>
      <c r="E279"/>
      <c r="F279" t="inlineStr">
        <is>
          <t>Decay</t>
        </is>
      </c>
      <c r="G279" t="inlineStr">
        <is>
          <t>龚政涛</t>
        </is>
      </c>
      <c r="H279" s="4">
        <v>45730.48290509259</v>
      </c>
      <c r="I279" s="4">
        <v>45812.454675925925</v>
      </c>
      <c r="J279" s="4"/>
      <c r="K279" s="4">
        <v>45812.4546875</v>
      </c>
      <c r="L279">
        <v>0</v>
      </c>
      <c r="M279">
        <v>1</v>
      </c>
      <c r="N279" t="inlineStr">
        <is>
          <t>NzQxMzM4ODg5NzkxNDY2NzAwOTo3MGM0MTM4Ny03YmY1LTQ0OTAtODhhNS1kOTBkNjY5NTY1ZWY6NDIyZDI1NzY1ZTZkZTlhMDkyZTg2NDhmOWRlZTgwZGM6MQ==</t>
        </is>
      </c>
      <c r="O279" t="inlineStr">
        <is>
          <t>1</t>
        </is>
      </c>
      <c r="P279" t="inlineStr">
        <is>
          <t>或签任务</t>
        </is>
      </c>
      <c r="Q279" t="inlineStr">
        <is>
          <t>0</t>
        </is>
      </c>
      <c r="R279" t="inlineStr">
        <is>
          <t>Decay,龚政涛</t>
        </is>
      </c>
      <c r="S279" s="4"/>
      <c r="T279" s="3" t="str">
        <f>=HYPERLINK("https://applink.feishu.cn/client/todo/task_list?guid=4d92b9af-66d1-4cd7-95d1-4b753a64ca6b", "跃入迷城")</f>
        <v>跃入迷城</v>
      </c>
      <c r="U279" t="inlineStr">
        <is>
          <t>4d92b9af-66d1-4cd7-95d1-4b753a64ca6b</t>
        </is>
      </c>
      <c r="V279" t="inlineStr">
        <is>
          <t>70c41387-7bf5-4490-88a5-d90d669565ef</t>
        </is>
      </c>
      <c r="W279"/>
      <c r="X279"/>
      <c r="Y279"/>
      <c r="Z279" t="inlineStr">
        <is>
          <t>0.0.5</t>
        </is>
      </c>
      <c r="AA279" t="inlineStr">
        <is>
          <t>镜头</t>
        </is>
      </c>
      <c r="AB279" t="inlineStr">
        <is>
          <t>已废弃</t>
        </is>
      </c>
      <c r="AC279" t="inlineStr">
        <is>
          <t>P1 - Bigger the Better</t>
        </is>
      </c>
      <c r="AD279"/>
      <c r="AE279"/>
    </row>
    <row r="280" ht="25.5" customHeight="1">
      <c r="A280" s="3" t="str">
        <f>=HYPERLINK("https://applink.feishu.cn/client/todo/detail?guid=0fd90676-175a-46ed-b698-3aec2966bb56&amp;suite_entity_num=t100619", "例如劳旅 (Labor)可以做移动平台/移动障碍物")</f>
        <v>例如劳旅 (Labor)可以做移动平台/移动障碍物</v>
      </c>
      <c r="B280"/>
      <c r="C280" t="inlineStr">
        <is>
          <t>默认分组</t>
        </is>
      </c>
      <c r="D280"/>
      <c r="E280"/>
      <c r="F280" t="inlineStr">
        <is>
          <t>刘禹希,苏祺恒</t>
        </is>
      </c>
      <c r="G280" t="inlineStr">
        <is>
          <t>龚政涛</t>
        </is>
      </c>
      <c r="H280" s="4">
        <v>45730.48013888889</v>
      </c>
      <c r="I280" s="4"/>
      <c r="J280" s="4"/>
      <c r="K280" s="4">
        <v>45868.43274305556</v>
      </c>
      <c r="L280">
        <v>0</v>
      </c>
      <c r="M280">
        <v>0</v>
      </c>
      <c r="N280" t="inlineStr">
        <is>
          <t>NzQxMzM4ODg5NzkxNDY2NzAwOTowZmQ5MDY3Ni0xNzVhLTQ2ZWQtYjY5OC0zYWVjMjk2NmJiNTY6YWVkY2M4NjJjYzAzN2E5MTRiYmZlOWZjYzU3YTFlNzI6MQ==</t>
        </is>
      </c>
      <c r="O280" t="inlineStr">
        <is>
          <t>0</t>
        </is>
      </c>
      <c r="P280" t="inlineStr">
        <is>
          <t>或签任务</t>
        </is>
      </c>
      <c r="Q280" t="inlineStr">
        <is>
          <t>0</t>
        </is>
      </c>
      <c r="R280" t="inlineStr">
        <is>
          <t>龚政涛,刘禹希,苏祺恒</t>
        </is>
      </c>
      <c r="S280" s="4"/>
      <c r="T280" s="3" t="str">
        <f>=HYPERLINK("https://applink.feishu.cn/client/todo/task_list?guid=4d92b9af-66d1-4cd7-95d1-4b753a64ca6b", "跃入迷城")</f>
        <v>跃入迷城</v>
      </c>
      <c r="U280" t="inlineStr">
        <is>
          <t>4d92b9af-66d1-4cd7-95d1-4b753a64ca6b</t>
        </is>
      </c>
      <c r="V280" t="inlineStr">
        <is>
          <t>0fd90676-175a-46ed-b698-3aec2966bb56</t>
        </is>
      </c>
      <c r="W280"/>
      <c r="X280"/>
      <c r="Y280"/>
      <c r="Z280" t="inlineStr">
        <is>
          <t>0.1.0</t>
        </is>
      </c>
      <c r="AA280" t="inlineStr">
        <is>
          <t>关卡</t>
        </is>
      </c>
      <c r="AB280" t="inlineStr">
        <is>
          <t>未开始</t>
        </is>
      </c>
      <c r="AC280" t="inlineStr">
        <is>
          <t>P2 - Nice to Have</t>
        </is>
      </c>
      <c r="AD280"/>
      <c r="AE280"/>
    </row>
    <row r="281" ht="25.5" customHeight="1">
      <c r="A281" s="3" t="str">
        <f>=HYPERLINK("https://applink.feishu.cn/client/todo/detail?guid=0dff95a5-4eff-4b7c-aaa6-3d49f2be7380&amp;suite_entity_num=t100618", "逃生触发时，警告全图（SECTION）敌人，报告玩家位置")</f>
        <v>逃生触发时，警告全图（SECTION）敌人，报告玩家位置</v>
      </c>
      <c r="B281"/>
      <c r="C281" t="inlineStr">
        <is>
          <t>默认分组</t>
        </is>
      </c>
      <c r="D281"/>
      <c r="E281"/>
      <c r="F281" t="inlineStr">
        <is>
          <t>Decay</t>
        </is>
      </c>
      <c r="G281" t="inlineStr">
        <is>
          <t>龚政涛</t>
        </is>
      </c>
      <c r="H281" s="4">
        <v>45730.4709375</v>
      </c>
      <c r="I281" s="4">
        <v>45868.43283564815</v>
      </c>
      <c r="J281" s="4"/>
      <c r="K281" s="4">
        <v>45868.43304398148</v>
      </c>
      <c r="L281">
        <v>0</v>
      </c>
      <c r="M281">
        <v>0</v>
      </c>
      <c r="N281" t="inlineStr">
        <is>
          <t>NzQxMzM4ODg5NzkxNDY2NzAwOTowZGZmOTVhNS00ZWZmLTRiN2MtYWFhNi0zZDQ5ZjJiZTczODA6YTAxNThjNzg0MTNlNTkwODE2YjBkNGFhNTkzMzc5N2I6MQ==</t>
        </is>
      </c>
      <c r="O281" t="inlineStr">
        <is>
          <t>1</t>
        </is>
      </c>
      <c r="P281" t="inlineStr">
        <is>
          <t>或签任务</t>
        </is>
      </c>
      <c r="Q281" t="inlineStr">
        <is>
          <t>0</t>
        </is>
      </c>
      <c r="R281" t="inlineStr">
        <is>
          <t>龚政涛,Decay</t>
        </is>
      </c>
      <c r="S281" s="4"/>
      <c r="T281" s="3" t="str">
        <f>=HYPERLINK("https://applink.feishu.cn/client/todo/task_list?guid=4d92b9af-66d1-4cd7-95d1-4b753a64ca6b", "跃入迷城")</f>
        <v>跃入迷城</v>
      </c>
      <c r="U281" t="inlineStr">
        <is>
          <t>4d92b9af-66d1-4cd7-95d1-4b753a64ca6b</t>
        </is>
      </c>
      <c r="V281" t="inlineStr">
        <is>
          <t>0dff95a5-4eff-4b7c-aaa6-3d49f2be7380</t>
        </is>
      </c>
      <c r="W281"/>
      <c r="X281"/>
      <c r="Y281"/>
      <c r="Z281" t="inlineStr">
        <is>
          <t>0.0.5</t>
        </is>
      </c>
      <c r="AA281" t="inlineStr">
        <is>
          <t>关卡</t>
        </is>
      </c>
      <c r="AB281" t="inlineStr">
        <is>
          <t>未开始</t>
        </is>
      </c>
      <c r="AC281" t="inlineStr">
        <is>
          <t>P1 - Bigger the Better</t>
        </is>
      </c>
      <c r="AD281" t="inlineStr">
        <is>
          <t>🎮玩法</t>
        </is>
      </c>
      <c r="AE281"/>
    </row>
    <row r="282" ht="25.5" customHeight="1">
      <c r="A282" s="3" t="str">
        <f>=HYPERLINK("https://applink.feishu.cn/client/todo/detail?guid=55744e4e-772d-49eb-b101-d0ad60871660&amp;suite_entity_num=t100627", "增加近战攻击的击中停顿效果")</f>
        <v>增加近战攻击的击中停顿效果</v>
      </c>
      <c r="B282"/>
      <c r="C282" t="inlineStr">
        <is>
          <t>默认分组</t>
        </is>
      </c>
      <c r="D282"/>
      <c r="E282"/>
      <c r="F282" t="inlineStr">
        <is>
          <t>Decay</t>
        </is>
      </c>
      <c r="G282" t="inlineStr">
        <is>
          <t>龚政涛</t>
        </is>
      </c>
      <c r="H282" s="4">
        <v>45730.4852662037</v>
      </c>
      <c r="I282" s="4">
        <v>45750.44427083333</v>
      </c>
      <c r="J282" s="4"/>
      <c r="K282" s="4">
        <v>45866.68875</v>
      </c>
      <c r="L282">
        <v>0</v>
      </c>
      <c r="M282">
        <v>3</v>
      </c>
      <c r="N282" t="inlineStr">
        <is>
          <t>NzQxMzM4ODg5NzkxNDY2NzAwOTo1NTc0NGU0ZS03NzJkLTQ5ZWItYjEwMS1kMGFkNjA4NzE2NjA6M2JiODE4ZjEyNDNkYjlhNDQ3MDIyNGUzNTI3NDZjZjQ6MQ==</t>
        </is>
      </c>
      <c r="O282" t="inlineStr">
        <is>
          <t>1</t>
        </is>
      </c>
      <c r="P282" t="inlineStr">
        <is>
          <t>或签任务</t>
        </is>
      </c>
      <c r="Q282" t="inlineStr">
        <is>
          <t>0</t>
        </is>
      </c>
      <c r="R282" t="inlineStr">
        <is>
          <t>龚政涛,Decay</t>
        </is>
      </c>
      <c r="S282" s="4"/>
      <c r="T282" s="3" t="str">
        <f>=HYPERLINK("https://applink.feishu.cn/client/todo/task_list?guid=4d92b9af-66d1-4cd7-95d1-4b753a64ca6b", "跃入迷城")</f>
        <v>跃入迷城</v>
      </c>
      <c r="U282" t="inlineStr">
        <is>
          <t>4d92b9af-66d1-4cd7-95d1-4b753a64ca6b</t>
        </is>
      </c>
      <c r="V282" t="inlineStr">
        <is>
          <t>55744e4e-772d-49eb-b101-d0ad60871660</t>
        </is>
      </c>
      <c r="W282"/>
      <c r="X282"/>
      <c r="Y282"/>
      <c r="Z282" t="inlineStr">
        <is>
          <t>0.0.5</t>
        </is>
      </c>
      <c r="AA282" t="inlineStr">
        <is>
          <t>动画</t>
        </is>
      </c>
      <c r="AB282" t="inlineStr">
        <is>
          <t>工作中</t>
        </is>
      </c>
      <c r="AC282" t="inlineStr">
        <is>
          <t>P1 - Bigger the Better</t>
        </is>
      </c>
      <c r="AD282" t="inlineStr">
        <is>
          <t>🛠️技术</t>
        </is>
      </c>
      <c r="AE282"/>
    </row>
    <row r="283" ht="25.5" customHeight="1">
      <c r="A283" s="3" t="str">
        <f>=HYPERLINK("https://applink.feishu.cn/client/todo/detail?guid=f68bd40b-1e20-46bb-9a0c-0ffff0f3d3ee&amp;suite_entity_num=t100634", "换子弹、奔跑、冲刺时，隐藏瞄准激光")</f>
        <v>换子弹、奔跑、冲刺时，隐藏瞄准激光</v>
      </c>
      <c r="B283"/>
      <c r="C283" t="inlineStr">
        <is>
          <t>默认分组</t>
        </is>
      </c>
      <c r="D283"/>
      <c r="E283"/>
      <c r="F283" t="inlineStr">
        <is>
          <t>Decay</t>
        </is>
      </c>
      <c r="G283" t="inlineStr">
        <is>
          <t>龚政涛</t>
        </is>
      </c>
      <c r="H283" s="4">
        <v>45730.63921296296</v>
      </c>
      <c r="I283" s="4"/>
      <c r="J283" s="4"/>
      <c r="K283" s="4">
        <v>45866.669074074074</v>
      </c>
      <c r="L283">
        <v>0</v>
      </c>
      <c r="M283">
        <v>0</v>
      </c>
      <c r="N283" t="inlineStr">
        <is>
          <t>NzQxMzM4ODg5NzkxNDY2NzAwOTpmNjhiZDQwYi0xZTIwLTQ2YmItOWEwYy0wZmZmZjBmM2QzZWU6OGEwNDE5NGI4M2RmOGVlOTljZjM0NzkxNjJiMTA5Yjk6MQ==</t>
        </is>
      </c>
      <c r="O283" t="inlineStr">
        <is>
          <t>0</t>
        </is>
      </c>
      <c r="P283" t="inlineStr">
        <is>
          <t>或签任务</t>
        </is>
      </c>
      <c r="Q283" t="inlineStr">
        <is>
          <t>0</t>
        </is>
      </c>
      <c r="R283" t="inlineStr">
        <is>
          <t>龚政涛,Decay</t>
        </is>
      </c>
      <c r="S283" s="4"/>
      <c r="T283" s="3" t="str">
        <f>=HYPERLINK("https://applink.feishu.cn/client/todo/task_list?guid=4d92b9af-66d1-4cd7-95d1-4b753a64ca6b", "跃入迷城")</f>
        <v>跃入迷城</v>
      </c>
      <c r="U283" t="inlineStr">
        <is>
          <t>4d92b9af-66d1-4cd7-95d1-4b753a64ca6b</t>
        </is>
      </c>
      <c r="V283" t="inlineStr">
        <is>
          <t>f68bd40b-1e20-46bb-9a0c-0ffff0f3d3ee</t>
        </is>
      </c>
      <c r="W283"/>
      <c r="X283"/>
      <c r="Y283"/>
      <c r="Z283" t="inlineStr">
        <is>
          <t>0.0.5</t>
        </is>
      </c>
      <c r="AA283" t="inlineStr">
        <is>
          <t>动画</t>
        </is>
      </c>
      <c r="AB283" t="inlineStr">
        <is>
          <t>未开始</t>
        </is>
      </c>
      <c r="AC283" t="inlineStr">
        <is>
          <t>P1 - Bigger the Better</t>
        </is>
      </c>
      <c r="AD283" t="inlineStr">
        <is>
          <t>🛠️技术</t>
        </is>
      </c>
      <c r="AE283"/>
    </row>
    <row r="284" ht="25.5" customHeight="1">
      <c r="A284" s="3" t="str">
        <f>=HYPERLINK("https://applink.feishu.cn/client/todo/detail?guid=b6b0bf21-70dc-456c-9071-a5b8429c8678&amp;suite_entity_num=t100636", "搭建关卡场景")</f>
        <v>搭建关卡场景</v>
      </c>
      <c r="B284"/>
      <c r="C284" t="inlineStr">
        <is>
          <t>默认分组</t>
        </is>
      </c>
      <c r="D284"/>
      <c r="E284"/>
      <c r="F284" t="inlineStr">
        <is>
          <t>惠康</t>
        </is>
      </c>
      <c r="G284" t="inlineStr">
        <is>
          <t>龚政涛</t>
        </is>
      </c>
      <c r="H284" s="4">
        <v>45734.502650462964</v>
      </c>
      <c r="I284" s="4"/>
      <c r="J284" s="4"/>
      <c r="K284" s="4">
        <v>45950.57618055555</v>
      </c>
      <c r="L284">
        <v>0</v>
      </c>
      <c r="M284">
        <v>0</v>
      </c>
      <c r="N284" t="inlineStr">
        <is>
          <t>NzQxMzM4ODg5NzkxNDY2NzAwOTpiNmIwYmYyMS03MGRjLTQ1NmMtOTA3MS1hNWI4NDI5Yzg2Nzg6N2Y4MGEwODQ5YjViMjgxNjNiNWIyNjk5Yjg1OTg3Yjk6MQ==</t>
        </is>
      </c>
      <c r="O284" t="inlineStr">
        <is>
          <t>0</t>
        </is>
      </c>
      <c r="P284" t="inlineStr">
        <is>
          <t>或签任务</t>
        </is>
      </c>
      <c r="Q284" t="inlineStr">
        <is>
          <t>0</t>
        </is>
      </c>
      <c r="R284" t="inlineStr">
        <is>
          <t>龚政涛,惠康</t>
        </is>
      </c>
      <c r="S284" s="4"/>
      <c r="T284" s="3" t="str">
        <f>=HYPERLINK("https://applink.feishu.cn/client/todo/task_list?guid=4d92b9af-66d1-4cd7-95d1-4b753a64ca6b", "跃入迷城")</f>
        <v>跃入迷城</v>
      </c>
      <c r="U284" t="inlineStr">
        <is>
          <t>4d92b9af-66d1-4cd7-95d1-4b753a64ca6b</t>
        </is>
      </c>
      <c r="V284" t="inlineStr">
        <is>
          <t>b6b0bf21-70dc-456c-9071-a5b8429c8678</t>
        </is>
      </c>
      <c r="W284"/>
      <c r="X284"/>
      <c r="Y284"/>
      <c r="Z284" t="inlineStr">
        <is>
          <t>0.0.5</t>
        </is>
      </c>
      <c r="AA284" t="inlineStr">
        <is>
          <t>场景搭建</t>
        </is>
      </c>
      <c r="AB284" t="inlineStr">
        <is>
          <t>工作中</t>
        </is>
      </c>
      <c r="AC284" t="inlineStr">
        <is>
          <t>P0 - Must (not) Have</t>
        </is>
      </c>
      <c r="AD284" t="inlineStr">
        <is>
          <t>🎨艺术</t>
        </is>
      </c>
      <c r="AE284"/>
    </row>
    <row r="285" ht="25.5" customHeight="1">
      <c r="A285" s="3" t="str">
        <f>=HYPERLINK("https://applink.feishu.cn/client/todo/detail?guid=d874ed11-8e14-47d5-ad2f-4924d953d1fc&amp;suite_entity_num=t100640", "移除关卡清空后锁定奖励的设计，增加锁定阳台的设计")</f>
        <v>移除关卡清空后锁定奖励的设计，增加锁定阳台的设计</v>
      </c>
      <c r="B285"/>
      <c r="C285" t="inlineStr">
        <is>
          <t>默认分组</t>
        </is>
      </c>
      <c r="D285"/>
      <c r="E285"/>
      <c r="F285" t="inlineStr">
        <is>
          <t>Decay</t>
        </is>
      </c>
      <c r="G285" t="inlineStr">
        <is>
          <t>龚政涛</t>
        </is>
      </c>
      <c r="H285" s="4">
        <v>45740.693391203706</v>
      </c>
      <c r="I285" s="4">
        <v>45890.4784375</v>
      </c>
      <c r="J285" s="4"/>
      <c r="K285" s="4">
        <v>45890.47844907407</v>
      </c>
      <c r="L285">
        <v>0</v>
      </c>
      <c r="M285">
        <v>2</v>
      </c>
      <c r="N285" t="inlineStr">
        <is>
          <t>NzQxMzM4ODg5NzkxNDY2NzAwOTpkODc0ZWQxMS04ZTE0LTQ3ZDUtYWQyZi00OTI0ZDk1M2QxZmM6OTY1NTFkYTY2ZjI0MTBiOGViNzllZDhlMDk3OTA3MmM6MQ==</t>
        </is>
      </c>
      <c r="O285" t="inlineStr">
        <is>
          <t>1</t>
        </is>
      </c>
      <c r="P285" t="inlineStr">
        <is>
          <t>或签任务</t>
        </is>
      </c>
      <c r="Q285" t="inlineStr">
        <is>
          <t>0</t>
        </is>
      </c>
      <c r="R285" t="inlineStr">
        <is>
          <t>龚政涛,Decay</t>
        </is>
      </c>
      <c r="S285" s="4"/>
      <c r="T285" s="3" t="str">
        <f>=HYPERLINK("https://applink.feishu.cn/client/todo/task_list?guid=4d92b9af-66d1-4cd7-95d1-4b753a64ca6b", "跃入迷城")</f>
        <v>跃入迷城</v>
      </c>
      <c r="U285" t="inlineStr">
        <is>
          <t>4d92b9af-66d1-4cd7-95d1-4b753a64ca6b</t>
        </is>
      </c>
      <c r="V285" t="inlineStr">
        <is>
          <t>d874ed11-8e14-47d5-ad2f-4924d953d1fc</t>
        </is>
      </c>
      <c r="W285"/>
      <c r="X285"/>
      <c r="Y285"/>
      <c r="Z285" t="inlineStr">
        <is>
          <t>0.0.5</t>
        </is>
      </c>
      <c r="AA285" t="inlineStr">
        <is>
          <t>关卡</t>
        </is>
      </c>
      <c r="AB285" t="inlineStr">
        <is>
          <t>已完成</t>
        </is>
      </c>
      <c r="AC285" t="inlineStr">
        <is>
          <t>P0 - Must (not) Have</t>
        </is>
      </c>
      <c r="AD285" t="inlineStr">
        <is>
          <t>🎮玩法</t>
        </is>
      </c>
      <c r="AE285"/>
    </row>
    <row r="286" ht="25.5" customHeight="1">
      <c r="A286" s="3" t="str">
        <f>=HYPERLINK("https://applink.feishu.cn/client/todo/detail?guid=0098bdeb-e18b-48f3-9f16-1a1226bf2c3b&amp;suite_entity_num=t100641", "冲刺增加推动/冲击效果来避免玩家被围死的情况 &lt; 🪡修改：翻滚现在会小幅度推开途径的敌人，以确保玩家不会被多个敌人围困")</f>
        <v>冲刺增加推动/冲击效果来避免玩家被围死的情况 &lt; 🪡修改：翻滚现在会小幅度推开途径的敌人，以确保玩家不会被多个敌人围困</v>
      </c>
      <c r="B286"/>
      <c r="C286"/>
      <c r="D286"/>
      <c r="E286"/>
      <c r="F286" t="inlineStr">
        <is>
          <t>Decay</t>
        </is>
      </c>
      <c r="G286" t="inlineStr">
        <is>
          <t>龚政涛</t>
        </is>
      </c>
      <c r="H286" s="4">
        <v>45740.77782407407</v>
      </c>
      <c r="I286" s="4">
        <v>45812.475127314814</v>
      </c>
      <c r="J286" s="4"/>
      <c r="K286" s="4">
        <v>45868.0375</v>
      </c>
      <c r="L286">
        <v>0</v>
      </c>
      <c r="M286">
        <v>1</v>
      </c>
      <c r="N286" t="inlineStr">
        <is>
          <t>NzQxMzM4ODg5NzkxNDY2NzAwOTowMDk4YmRlYi1lMThiLTQ4ZjMtOWYxNi0xYTEyMjZiZjJjM2I6YzQ5MGQ4YjI4OTIxMjM3MDRjNDg3M2I3ZDdjOTE1NDQ6MQ==</t>
        </is>
      </c>
      <c r="O286" t="inlineStr">
        <is>
          <t>1</t>
        </is>
      </c>
      <c r="P286" t="inlineStr">
        <is>
          <t>或签任务</t>
        </is>
      </c>
      <c r="Q286" t="inlineStr">
        <is>
          <t>0</t>
        </is>
      </c>
      <c r="R286" t="inlineStr">
        <is>
          <t>龚政涛,Decay</t>
        </is>
      </c>
      <c r="S286" s="4"/>
      <c r="T286" s="3" t="str">
        <f>=HYPERLINK("https://applink.feishu.cn/client/todo/task_list?guid=4d92b9af-66d1-4cd7-95d1-4b753a64ca6b", "跃入迷城")</f>
        <v>跃入迷城</v>
      </c>
      <c r="U286" t="inlineStr">
        <is>
          <t>4d92b9af-66d1-4cd7-95d1-4b753a64ca6b</t>
        </is>
      </c>
      <c r="V286" t="inlineStr">
        <is>
          <t>0098bdeb-e18b-48f3-9f16-1a1226bf2c3b</t>
        </is>
      </c>
      <c r="W286"/>
      <c r="X286"/>
      <c r="Y286" t="inlineStr">
        <is>
          <t>3f5923cc-e7eb-404f-9195-cbad5aac3171</t>
        </is>
      </c>
      <c r="Z286" t="inlineStr">
        <is>
          <t>0.0.5</t>
        </is>
      </c>
      <c r="AA286" t="inlineStr">
        <is>
          <t>操作</t>
        </is>
      </c>
      <c r="AB286" t="inlineStr">
        <is>
          <t>已完成</t>
        </is>
      </c>
      <c r="AC286" t="inlineStr">
        <is>
          <t>P2 - Nice to Have</t>
        </is>
      </c>
      <c r="AD286" t="inlineStr">
        <is>
          <t>🎮玩法</t>
        </is>
      </c>
      <c r="AE286"/>
    </row>
    <row r="287" ht="25.5" customHeight="1">
      <c r="A287" s="3" t="str">
        <f>=HYPERLINK("https://applink.feishu.cn/client/todo/detail?guid=83514326-e0bf-496c-9de2-407d38650f06&amp;suite_entity_num=t100642", "Section Gate改为双filter解决方向问题")</f>
        <v>Section Gate改为双filter解决方向问题</v>
      </c>
      <c r="B287"/>
      <c r="C287" t="inlineStr">
        <is>
          <t>默认分组</t>
        </is>
      </c>
      <c r="D287"/>
      <c r="E287"/>
      <c r="F287" t="inlineStr">
        <is>
          <t>Decay</t>
        </is>
      </c>
      <c r="G287" t="inlineStr">
        <is>
          <t>龚政涛</t>
        </is>
      </c>
      <c r="H287" s="4">
        <v>45741.56076388889</v>
      </c>
      <c r="I287" s="4">
        <v>45868.433217592596</v>
      </c>
      <c r="J287" s="4"/>
      <c r="K287" s="4">
        <v>45868.433217592596</v>
      </c>
      <c r="L287">
        <v>0</v>
      </c>
      <c r="M287">
        <v>1</v>
      </c>
      <c r="N287" t="inlineStr">
        <is>
          <t>NzQxMzM4ODg5NzkxNDY2NzAwOTo4MzUxNDMyNi1lMGJmLTQ5NmMtOWRlMi00MDdkMzg2NTBmMDY6YWUyNzQxZmNkOTEyY2M2MjNlZjgyN2E3NzQ4MWRjNWY6MQ==</t>
        </is>
      </c>
      <c r="O287" t="inlineStr">
        <is>
          <t>1</t>
        </is>
      </c>
      <c r="P287" t="inlineStr">
        <is>
          <t>或签任务</t>
        </is>
      </c>
      <c r="Q287" t="inlineStr">
        <is>
          <t>0</t>
        </is>
      </c>
      <c r="R287" t="inlineStr">
        <is>
          <t>龚政涛,Decay</t>
        </is>
      </c>
      <c r="S287" s="4"/>
      <c r="T287" s="3" t="str">
        <f>=HYPERLINK("https://applink.feishu.cn/client/todo/task_list?guid=4d92b9af-66d1-4cd7-95d1-4b753a64ca6b", "跃入迷城")</f>
        <v>跃入迷城</v>
      </c>
      <c r="U287" t="inlineStr">
        <is>
          <t>4d92b9af-66d1-4cd7-95d1-4b753a64ca6b</t>
        </is>
      </c>
      <c r="V287" t="inlineStr">
        <is>
          <t>83514326-e0bf-496c-9de2-407d38650f06</t>
        </is>
      </c>
      <c r="W287"/>
      <c r="X287"/>
      <c r="Y287"/>
      <c r="Z287" t="inlineStr">
        <is>
          <t>0.0.5</t>
        </is>
      </c>
      <c r="AA287" t="inlineStr">
        <is>
          <t>关卡</t>
        </is>
      </c>
      <c r="AB287" t="inlineStr">
        <is>
          <t>待验证</t>
        </is>
      </c>
      <c r="AC287" t="inlineStr">
        <is>
          <t>P0 - Must (not) Have</t>
        </is>
      </c>
      <c r="AD287" t="inlineStr">
        <is>
          <t>🎮玩法</t>
        </is>
      </c>
      <c r="AE287"/>
    </row>
    <row r="288" ht="25.5" customHeight="1">
      <c r="A288" s="3" t="str">
        <f>=HYPERLINK("https://applink.feishu.cn/client/todo/detail?guid=c45e48c2-2365-40c1-82ba-8f2e36a22919&amp;suite_entity_num=t100652", "技能 - 闪亮登场 (Hall/玩家)")</f>
        <v>技能 - 闪亮登场 (Hall/玩家)</v>
      </c>
      <c r="B288"/>
      <c r="C288" t="inlineStr">
        <is>
          <t>默认分组</t>
        </is>
      </c>
      <c r="D288"/>
      <c r="E288"/>
      <c r="F288" t="inlineStr">
        <is>
          <t>Decay</t>
        </is>
      </c>
      <c r="G288" t="inlineStr">
        <is>
          <t>Decay</t>
        </is>
      </c>
      <c r="H288" s="4">
        <v>45746.861284722225</v>
      </c>
      <c r="I288" s="4">
        <v>45748.493368055555</v>
      </c>
      <c r="J288" s="4"/>
      <c r="K288" s="4">
        <v>45874.40422453704</v>
      </c>
      <c r="L288">
        <v>0</v>
      </c>
      <c r="M288">
        <v>27</v>
      </c>
      <c r="N288" t="inlineStr">
        <is>
          <t>NzQxMzM4ODg5NzkxNDY2NzAwOTpjNDVlNDhjMi0yMzY1LTQwYzEtODJiYS04ZjJlMzZhMjI5MTk6OGU4MTEzNzIxYWIxZTQ2NTNlZDZiZTI5MGNmMTY5YzQ6MQ==</t>
        </is>
      </c>
      <c r="O288" t="inlineStr">
        <is>
          <t>1</t>
        </is>
      </c>
      <c r="P288" t="inlineStr">
        <is>
          <t>或签任务</t>
        </is>
      </c>
      <c r="Q288" t="inlineStr">
        <is>
          <t>0</t>
        </is>
      </c>
      <c r="R288" t="inlineStr">
        <is>
          <t>Decay,龚政涛</t>
        </is>
      </c>
      <c r="S288" s="4"/>
      <c r="T288" s="3" t="str">
        <f>=HYPERLINK("https://applink.feishu.cn/client/todo/task_list?guid=4d92b9af-66d1-4cd7-95d1-4b753a64ca6b", "跃入迷城")</f>
        <v>跃入迷城</v>
      </c>
      <c r="U288" t="inlineStr">
        <is>
          <t>4d92b9af-66d1-4cd7-95d1-4b753a64ca6b</t>
        </is>
      </c>
      <c r="V288" t="inlineStr">
        <is>
          <t>c45e48c2-2365-40c1-82ba-8f2e36a22919</t>
        </is>
      </c>
      <c r="W288"/>
      <c r="X288"/>
      <c r="Y288"/>
      <c r="Z288" t="inlineStr">
        <is>
          <t>0.0.5</t>
        </is>
      </c>
      <c r="AA288" t="inlineStr">
        <is>
          <t>技能</t>
        </is>
      </c>
      <c r="AB288" t="inlineStr">
        <is>
          <t>已完成</t>
        </is>
      </c>
      <c r="AC288" t="inlineStr">
        <is>
          <t>P0 - Must (not) Have</t>
        </is>
      </c>
      <c r="AD288" t="inlineStr">
        <is>
          <t>🎮玩法</t>
        </is>
      </c>
      <c r="AE288"/>
    </row>
    <row r="289" ht="25.5" customHeight="1">
      <c r="A289" s="3" t="str">
        <f>=HYPERLINK("https://applink.feishu.cn/client/todo/detail?guid=af1a565a-a9f9-4c59-a349-e7321edd8320&amp;suite_entity_num=t100653", "增加瞄准VFX")</f>
        <v>增加瞄准VFX</v>
      </c>
      <c r="B289"/>
      <c r="C289" t="inlineStr">
        <is>
          <t>默认分组</t>
        </is>
      </c>
      <c r="D289"/>
      <c r="E289"/>
      <c r="F289" t="inlineStr">
        <is>
          <t>Decay</t>
        </is>
      </c>
      <c r="G289" t="inlineStr">
        <is>
          <t>龚政涛</t>
        </is>
      </c>
      <c r="H289" s="4">
        <v>45749.525034722225</v>
      </c>
      <c r="I289" s="4">
        <v>45812.440787037034</v>
      </c>
      <c r="J289" s="4"/>
      <c r="K289" s="4">
        <v>45812.440787037034</v>
      </c>
      <c r="L289">
        <v>0</v>
      </c>
      <c r="M289">
        <v>6</v>
      </c>
      <c r="N289" t="inlineStr">
        <is>
          <t>NzQxMzM4ODg5NzkxNDY2NzAwOTphZjFhNTY1YS1hOWY5LTRjNTktYTM0OS1lNzMyMWVkZDgzMjA6N2NlZjI3ZWY4YzFlNDE2NTljNDU1ZmZlZTc4NGI4YzA6MQ==</t>
        </is>
      </c>
      <c r="O289" t="inlineStr">
        <is>
          <t>1</t>
        </is>
      </c>
      <c r="P289" t="inlineStr">
        <is>
          <t>或签任务</t>
        </is>
      </c>
      <c r="Q289" t="inlineStr">
        <is>
          <t>0</t>
        </is>
      </c>
      <c r="R289" t="inlineStr">
        <is>
          <t>龚政涛,Decay</t>
        </is>
      </c>
      <c r="S289" s="4"/>
      <c r="T289" s="3" t="str">
        <f>=HYPERLINK("https://applink.feishu.cn/client/todo/task_list?guid=4d92b9af-66d1-4cd7-95d1-4b753a64ca6b", "跃入迷城")</f>
        <v>跃入迷城</v>
      </c>
      <c r="U289" t="inlineStr">
        <is>
          <t>4d92b9af-66d1-4cd7-95d1-4b753a64ca6b</t>
        </is>
      </c>
      <c r="V289" t="inlineStr">
        <is>
          <t>af1a565a-a9f9-4c59-a349-e7321edd8320</t>
        </is>
      </c>
      <c r="W289"/>
      <c r="X289"/>
      <c r="Y289"/>
      <c r="Z289" t="inlineStr">
        <is>
          <t>0.0.5</t>
        </is>
      </c>
      <c r="AA289" t="inlineStr">
        <is>
          <t>平面美术</t>
        </is>
      </c>
      <c r="AB289" t="inlineStr">
        <is>
          <t>已完成</t>
        </is>
      </c>
      <c r="AC289" t="inlineStr">
        <is>
          <t>P2 - Nice to Have</t>
        </is>
      </c>
      <c r="AD289"/>
      <c r="AE289"/>
    </row>
    <row r="290" ht="25.5" customHeight="1">
      <c r="A290" s="3" t="str">
        <f>=HYPERLINK("https://applink.feishu.cn/client/todo/detail?guid=1b9437c2-5e46-452c-93e4-aeb47a61ef8f&amp;suite_entity_num=t100655", "武器吸附功能2.0")</f>
        <v>武器吸附功能2.0</v>
      </c>
      <c r="B290"/>
      <c r="C290" t="inlineStr">
        <is>
          <t>默认分组</t>
        </is>
      </c>
      <c r="D290"/>
      <c r="E290"/>
      <c r="F290"/>
      <c r="G290" t="inlineStr">
        <is>
          <t>龚政涛</t>
        </is>
      </c>
      <c r="H290" s="4">
        <v>45753.532905092594</v>
      </c>
      <c r="I290" s="4"/>
      <c r="J290" s="4"/>
      <c r="K290" s="4">
        <v>45896.500081018516</v>
      </c>
      <c r="L290">
        <v>0</v>
      </c>
      <c r="M290">
        <v>0</v>
      </c>
      <c r="N290" t="inlineStr">
        <is>
          <t>NzQxMzM4ODg5NzkxNDY2NzAwOToxYjk0MzdjMi01ZTQ2LTQ1MmMtOTNlNC1hZWI0N2E2MWVmOGY6MjBhODY1NTY4ZTg3NTc0NmIyNDc1MTBhYzc3MTk4MmQ6MQ==</t>
        </is>
      </c>
      <c r="O290" t="inlineStr">
        <is>
          <t>0</t>
        </is>
      </c>
      <c r="P290" t="inlineStr">
        <is>
          <t>或签任务</t>
        </is>
      </c>
      <c r="Q290" t="inlineStr">
        <is>
          <t>0</t>
        </is>
      </c>
      <c r="R290" t="inlineStr">
        <is>
          <t>龚政涛</t>
        </is>
      </c>
      <c r="S290" s="4"/>
      <c r="T290" s="3" t="str">
        <f>=HYPERLINK("https://applink.feishu.cn/client/todo/task_list?guid=4d92b9af-66d1-4cd7-95d1-4b753a64ca6b", "跃入迷城")</f>
        <v>跃入迷城</v>
      </c>
      <c r="U290" t="inlineStr">
        <is>
          <t>4d92b9af-66d1-4cd7-95d1-4b753a64ca6b</t>
        </is>
      </c>
      <c r="V290" t="inlineStr">
        <is>
          <t>1b9437c2-5e46-452c-93e4-aeb47a61ef8f</t>
        </is>
      </c>
      <c r="W290"/>
      <c r="X290"/>
      <c r="Y290"/>
      <c r="Z290" t="inlineStr">
        <is>
          <t>0.1.0</t>
        </is>
      </c>
      <c r="AA290" t="inlineStr">
        <is>
          <t>操作</t>
        </is>
      </c>
      <c r="AB290"/>
      <c r="AC290" t="inlineStr">
        <is>
          <t>P3 - Not Related</t>
        </is>
      </c>
      <c r="AD290" t="inlineStr">
        <is>
          <t>🛠️技术</t>
        </is>
      </c>
      <c r="AE290"/>
    </row>
    <row r="291" ht="25.5" customHeight="1">
      <c r="A291" s="3" t="str">
        <f>=HYPERLINK("https://applink.feishu.cn/client/todo/detail?guid=70bd6615-8c85-4b53-8d65-a298053fa1b0&amp;suite_entity_num=t100656", "自动制导")</f>
        <v>自动制导</v>
      </c>
      <c r="B291"/>
      <c r="C291" t="inlineStr">
        <is>
          <t>默认分组</t>
        </is>
      </c>
      <c r="D291"/>
      <c r="E291"/>
      <c r="F291" t="inlineStr">
        <is>
          <t>Decay</t>
        </is>
      </c>
      <c r="G291" t="inlineStr">
        <is>
          <t>Decay</t>
        </is>
      </c>
      <c r="H291" s="4">
        <v>45756.91063657407</v>
      </c>
      <c r="I291" s="4">
        <v>45758.67983796296</v>
      </c>
      <c r="J291" s="4"/>
      <c r="K291" s="4">
        <v>45874.40420138889</v>
      </c>
      <c r="L291">
        <v>0</v>
      </c>
      <c r="M291">
        <v>7</v>
      </c>
      <c r="N291" t="inlineStr">
        <is>
          <t>NzQxMzM4ODg5NzkxNDY2NzAwOTo3MGJkNjYxNS04Yzg1LTRiNTMtOGQ2NS1hMjk4MDUzZmExYjA6NTc2ZWMzZDM4ZTBlNDMwYWVhNDAxNWE1YWMyZGM1ZTA6MQ==</t>
        </is>
      </c>
      <c r="O291" t="inlineStr">
        <is>
          <t>1</t>
        </is>
      </c>
      <c r="P291" t="inlineStr">
        <is>
          <t>或签任务</t>
        </is>
      </c>
      <c r="Q291" t="inlineStr">
        <is>
          <t>0</t>
        </is>
      </c>
      <c r="R291" t="inlineStr">
        <is>
          <t>Decay,龚政涛</t>
        </is>
      </c>
      <c r="S291" s="4"/>
      <c r="T291" s="3" t="str">
        <f>=HYPERLINK("https://applink.feishu.cn/client/todo/task_list?guid=4d92b9af-66d1-4cd7-95d1-4b753a64ca6b", "跃入迷城")</f>
        <v>跃入迷城</v>
      </c>
      <c r="U291" t="inlineStr">
        <is>
          <t>4d92b9af-66d1-4cd7-95d1-4b753a64ca6b</t>
        </is>
      </c>
      <c r="V291" t="inlineStr">
        <is>
          <t>70bd6615-8c85-4b53-8d65-a298053fa1b0</t>
        </is>
      </c>
      <c r="W291"/>
      <c r="X291"/>
      <c r="Y291"/>
      <c r="Z291" t="inlineStr">
        <is>
          <t>0.0.5</t>
        </is>
      </c>
      <c r="AA291" t="inlineStr">
        <is>
          <t>技能</t>
        </is>
      </c>
      <c r="AB291" t="inlineStr">
        <is>
          <t>已完成</t>
        </is>
      </c>
      <c r="AC291" t="inlineStr">
        <is>
          <t>P0 - Must (not) Have</t>
        </is>
      </c>
      <c r="AD291" t="inlineStr">
        <is>
          <t>🎮玩法</t>
        </is>
      </c>
      <c r="AE291"/>
    </row>
    <row r="292" ht="25.5" customHeight="1">
      <c r="A292" s="3" t="str">
        <f>=HYPERLINK("https://applink.feishu.cn/client/todo/detail?guid=8d41de26-6ccf-4109-b73d-177a9b59ab50&amp;suite_entity_num=t100659", "体力与翻滚冷却 &lt; 🪡修改：彻底更新了场景内、HUD的UI效果")</f>
        <v>体力与翻滚冷却 &lt; 🪡修改：彻底更新了场景内、HUD的UI效果</v>
      </c>
      <c r="B292"/>
      <c r="C292" t="inlineStr">
        <is>
          <t>默认分组</t>
        </is>
      </c>
      <c r="D292"/>
      <c r="E292"/>
      <c r="F292" t="inlineStr">
        <is>
          <t>郭斯已</t>
        </is>
      </c>
      <c r="G292" t="inlineStr">
        <is>
          <t>龚政涛</t>
        </is>
      </c>
      <c r="H292" s="4">
        <v>45758.62782407407</v>
      </c>
      <c r="I292" s="4">
        <v>45890.49041666667</v>
      </c>
      <c r="J292" s="4">
        <v>45883.333333333336</v>
      </c>
      <c r="K292" s="4">
        <v>45890.491423611114</v>
      </c>
      <c r="L292">
        <v>0</v>
      </c>
      <c r="M292">
        <v>1</v>
      </c>
      <c r="N292" t="inlineStr">
        <is>
          <t>NzQxMzM4ODg5NzkxNDY2NzAwOTo4ZDQxZGUyNi02Y2NmLTQxMDktYjczZC0xNzdhOWI1OWFiNTA6ODNhNmJmNmUwZTAwMTQzNjE1NGMyMjk3ZTkxOTYwNDM6MQ==</t>
        </is>
      </c>
      <c r="O292" t="inlineStr">
        <is>
          <t>1</t>
        </is>
      </c>
      <c r="P292" t="inlineStr">
        <is>
          <t>或签任务</t>
        </is>
      </c>
      <c r="Q292" t="inlineStr">
        <is>
          <t>0</t>
        </is>
      </c>
      <c r="R292" t="inlineStr">
        <is>
          <t>龚政涛,郭斯已</t>
        </is>
      </c>
      <c r="S292" s="4">
        <v>45881.333333333336</v>
      </c>
      <c r="T292" s="3" t="str">
        <f>=HYPERLINK("https://applink.feishu.cn/client/todo/task_list?guid=4d92b9af-66d1-4cd7-95d1-4b753a64ca6b", "跃入迷城")</f>
        <v>跃入迷城</v>
      </c>
      <c r="U292" t="inlineStr">
        <is>
          <t>4d92b9af-66d1-4cd7-95d1-4b753a64ca6b</t>
        </is>
      </c>
      <c r="V292" t="inlineStr">
        <is>
          <t>8d41de26-6ccf-4109-b73d-177a9b59ab50</t>
        </is>
      </c>
      <c r="W292"/>
      <c r="X292"/>
      <c r="Y292" t="inlineStr">
        <is>
          <t>ee9e782f-8625-473f-ba1b-d97ed6c6e2f9</t>
        </is>
      </c>
      <c r="Z292" t="inlineStr">
        <is>
          <t>0.0.5</t>
        </is>
      </c>
      <c r="AA292" t="inlineStr">
        <is>
          <t>UIUX</t>
        </is>
      </c>
      <c r="AB292" t="inlineStr">
        <is>
          <t>已完成</t>
        </is>
      </c>
      <c r="AC292" t="inlineStr">
        <is>
          <t>P2 - Nice to Have</t>
        </is>
      </c>
      <c r="AD292" t="inlineStr">
        <is>
          <t>🎨艺术</t>
        </is>
      </c>
      <c r="AE292">
        <v>4</v>
      </c>
    </row>
    <row r="293" ht="25.5" customHeight="1">
      <c r="A293" s="3" t="str">
        <f>=HYPERLINK("https://applink.feishu.cn/client/todo/detail?guid=b6d7436e-d23a-4c2d-8f44-6cff5d10f6a4&amp;suite_entity_num=t100661", "体力恢复的冷却计算存在问题")</f>
        <v>体力恢复的冷却计算存在问题</v>
      </c>
      <c r="B293"/>
      <c r="C293" t="inlineStr">
        <is>
          <t>默认分组</t>
        </is>
      </c>
      <c r="D293"/>
      <c r="E293"/>
      <c r="F293"/>
      <c r="G293" t="inlineStr">
        <is>
          <t>龚政涛</t>
        </is>
      </c>
      <c r="H293" s="4">
        <v>45758.63311342592</v>
      </c>
      <c r="I293" s="4"/>
      <c r="J293" s="4"/>
      <c r="K293" s="4">
        <v>45896.50005787037</v>
      </c>
      <c r="L293">
        <v>0</v>
      </c>
      <c r="M293">
        <v>0</v>
      </c>
      <c r="N293" t="inlineStr">
        <is>
          <t>NzQxMzM4ODg5NzkxNDY2NzAwOTpiNmQ3NDM2ZS1kMjNhLTRjMmQtOGY0NC02Y2ZmNWQxMGY2YTQ6NjAzMzRiMDQ5MjIzY2JmYTgxNDA3NWE3MjJhOWY1Yjc6MQ==</t>
        </is>
      </c>
      <c r="O293" t="inlineStr">
        <is>
          <t>0</t>
        </is>
      </c>
      <c r="P293" t="inlineStr">
        <is>
          <t>或签任务</t>
        </is>
      </c>
      <c r="Q293" t="inlineStr">
        <is>
          <t>0</t>
        </is>
      </c>
      <c r="R293" t="inlineStr">
        <is>
          <t>龚政涛</t>
        </is>
      </c>
      <c r="S293" s="4"/>
      <c r="T293" s="3" t="str">
        <f>=HYPERLINK("https://applink.feishu.cn/client/todo/task_list?guid=4d92b9af-66d1-4cd7-95d1-4b753a64ca6b", "跃入迷城")</f>
        <v>跃入迷城</v>
      </c>
      <c r="U293" t="inlineStr">
        <is>
          <t>4d92b9af-66d1-4cd7-95d1-4b753a64ca6b</t>
        </is>
      </c>
      <c r="V293" t="inlineStr">
        <is>
          <t>b6d7436e-d23a-4c2d-8f44-6cff5d10f6a4</t>
        </is>
      </c>
      <c r="W293"/>
      <c r="X293"/>
      <c r="Y293"/>
      <c r="Z293"/>
      <c r="AA293" t="inlineStr">
        <is>
          <t>操作</t>
        </is>
      </c>
      <c r="AB293"/>
      <c r="AC293"/>
      <c r="AD293" t="inlineStr">
        <is>
          <t>🛠️技术</t>
        </is>
      </c>
      <c r="AE293"/>
    </row>
    <row r="294" ht="25.5" customHeight="1">
      <c r="A294" s="3" t="str">
        <f>=HYPERLINK("https://applink.feishu.cn/client/todo/detail?guid=16d7c4af-1e84-411c-bd9b-9550d5c0e5d9&amp;suite_entity_num=t100660", "调整镜头抖动系统")</f>
        <v>调整镜头抖动系统</v>
      </c>
      <c r="B294" t="inlineStr">
        <is>
          <t xml:space="preserve">前置任务：t100296 </t>
        </is>
      </c>
      <c r="C294" t="inlineStr">
        <is>
          <t>默认分组</t>
        </is>
      </c>
      <c r="D294"/>
      <c r="E294"/>
      <c r="F294" t="inlineStr">
        <is>
          <t>龚政涛</t>
        </is>
      </c>
      <c r="G294" t="inlineStr">
        <is>
          <t>龚政涛</t>
        </is>
      </c>
      <c r="H294" s="4">
        <v>45758.63134259259</v>
      </c>
      <c r="I294" s="4">
        <v>45865.948379629626</v>
      </c>
      <c r="J294" s="4"/>
      <c r="K294" s="4">
        <v>45868.43054398148</v>
      </c>
      <c r="L294">
        <v>0</v>
      </c>
      <c r="M294">
        <v>2</v>
      </c>
      <c r="N294" t="inlineStr">
        <is>
          <t>NzQxMzM4ODg5NzkxNDY2NzAwOToxNmQ3YzRhZi0xZTg0LTQxMWMtYmQ5Yi05NTUwZDVjMGU1ZDk6NzFlYTI2N2E3ZmVjNzNhMDRkYjgxYmE4OGJlNDMzNTA6MQ==</t>
        </is>
      </c>
      <c r="O294" t="inlineStr">
        <is>
          <t>1</t>
        </is>
      </c>
      <c r="P294" t="inlineStr">
        <is>
          <t>或签任务</t>
        </is>
      </c>
      <c r="Q294" t="inlineStr">
        <is>
          <t>0</t>
        </is>
      </c>
      <c r="R294" t="inlineStr">
        <is>
          <t>龚政涛</t>
        </is>
      </c>
      <c r="S294" s="4"/>
      <c r="T294" s="3" t="str">
        <f>=HYPERLINK("https://applink.feishu.cn/client/todo/task_list?guid=4d92b9af-66d1-4cd7-95d1-4b753a64ca6b", "跃入迷城")</f>
        <v>跃入迷城</v>
      </c>
      <c r="U294" t="inlineStr">
        <is>
          <t>4d92b9af-66d1-4cd7-95d1-4b753a64ca6b</t>
        </is>
      </c>
      <c r="V294" t="inlineStr">
        <is>
          <t>16d7c4af-1e84-411c-bd9b-9550d5c0e5d9</t>
        </is>
      </c>
      <c r="W294"/>
      <c r="X294"/>
      <c r="Y294"/>
      <c r="Z294" t="inlineStr">
        <is>
          <t>0.0.5</t>
        </is>
      </c>
      <c r="AA294" t="inlineStr">
        <is>
          <t>镜头</t>
        </is>
      </c>
      <c r="AB294" t="inlineStr">
        <is>
          <t>未开始</t>
        </is>
      </c>
      <c r="AC294" t="inlineStr">
        <is>
          <t>P3 - Not Related</t>
        </is>
      </c>
      <c r="AD294" t="inlineStr">
        <is>
          <t>🛠️技术</t>
        </is>
      </c>
      <c r="AE294"/>
    </row>
    <row r="295" ht="25.5" customHeight="1">
      <c r="A295" s="3" t="str">
        <f>=HYPERLINK("https://applink.feishu.cn/client/todo/detail?guid=0ab773e3-759c-4b32-a6b0-e1ea4c0c6d23&amp;suite_entity_num=t100662", "震荡波")</f>
        <v>震荡波</v>
      </c>
      <c r="B295"/>
      <c r="C295" t="inlineStr">
        <is>
          <t>默认分组</t>
        </is>
      </c>
      <c r="D295"/>
      <c r="E295"/>
      <c r="F295" t="inlineStr">
        <is>
          <t>Decay</t>
        </is>
      </c>
      <c r="G295" t="inlineStr">
        <is>
          <t>Decay</t>
        </is>
      </c>
      <c r="H295" s="4">
        <v>45759.63922453704</v>
      </c>
      <c r="I295" s="4">
        <v>45763.60637731481</v>
      </c>
      <c r="J295" s="4"/>
      <c r="K295" s="4">
        <v>45874.404131944444</v>
      </c>
      <c r="L295">
        <v>0</v>
      </c>
      <c r="M295">
        <v>2</v>
      </c>
      <c r="N295" t="inlineStr">
        <is>
          <t>NzQxMzM4ODg5NzkxNDY2NzAwOTowYWI3NzNlMy03NTljLTRiMzItYTZiMC1lMWVhNGMwYzZkMjM6YThmZjQ4MDM2ZDNlOTMwNDVjMTJmNGY3MWZjNGRhYTc6MQ==</t>
        </is>
      </c>
      <c r="O295" t="inlineStr">
        <is>
          <t>1</t>
        </is>
      </c>
      <c r="P295" t="inlineStr">
        <is>
          <t>或签任务</t>
        </is>
      </c>
      <c r="Q295" t="inlineStr">
        <is>
          <t>0</t>
        </is>
      </c>
      <c r="R295" t="inlineStr">
        <is>
          <t>Decay,龚政涛</t>
        </is>
      </c>
      <c r="S295" s="4"/>
      <c r="T295" s="3" t="str">
        <f>=HYPERLINK("https://applink.feishu.cn/client/todo/task_list?guid=4d92b9af-66d1-4cd7-95d1-4b753a64ca6b", "跃入迷城")</f>
        <v>跃入迷城</v>
      </c>
      <c r="U295" t="inlineStr">
        <is>
          <t>4d92b9af-66d1-4cd7-95d1-4b753a64ca6b</t>
        </is>
      </c>
      <c r="V295" t="inlineStr">
        <is>
          <t>0ab773e3-759c-4b32-a6b0-e1ea4c0c6d23</t>
        </is>
      </c>
      <c r="W295"/>
      <c r="X295"/>
      <c r="Y295"/>
      <c r="Z295" t="inlineStr">
        <is>
          <t>0.0.5</t>
        </is>
      </c>
      <c r="AA295" t="inlineStr">
        <is>
          <t>技能</t>
        </is>
      </c>
      <c r="AB295" t="inlineStr">
        <is>
          <t>已完成</t>
        </is>
      </c>
      <c r="AC295" t="inlineStr">
        <is>
          <t>P0 - Must (not) Have</t>
        </is>
      </c>
      <c r="AD295" t="inlineStr">
        <is>
          <t>🎮玩法</t>
        </is>
      </c>
      <c r="AE295"/>
    </row>
    <row r="296" ht="25.5" customHeight="1">
      <c r="A296" s="3" t="str">
        <f>=HYPERLINK("https://applink.feishu.cn/client/todo/detail?guid=7268d5a2-ac77-455b-8966-7470b7201897&amp;suite_entity_num=t100663", "技能 - 宣泄")</f>
        <v>技能 - 宣泄</v>
      </c>
      <c r="B296"/>
      <c r="C296" t="inlineStr">
        <is>
          <t>默认分组</t>
        </is>
      </c>
      <c r="D296"/>
      <c r="E296"/>
      <c r="F296" t="inlineStr">
        <is>
          <t>Decay</t>
        </is>
      </c>
      <c r="G296" t="inlineStr">
        <is>
          <t>Decay</t>
        </is>
      </c>
      <c r="H296" s="4">
        <v>45761.892430555556</v>
      </c>
      <c r="I296" s="4">
        <v>45763.64003472222</v>
      </c>
      <c r="J296" s="4"/>
      <c r="K296" s="4">
        <v>45874.40414351852</v>
      </c>
      <c r="L296">
        <v>0</v>
      </c>
      <c r="M296">
        <v>1</v>
      </c>
      <c r="N296" t="inlineStr">
        <is>
          <t>NzQxMzM4ODg5NzkxNDY2NzAwOTo3MjY4ZDVhMi1hYzc3LTQ1NWItODk2Ni03NDcwYjcyMDE4OTc6YTk2NjZiNGFlZjJjOTZmNTVjNGEwNzAxMGMxMDMxMDM6MQ==</t>
        </is>
      </c>
      <c r="O296" t="inlineStr">
        <is>
          <t>1</t>
        </is>
      </c>
      <c r="P296" t="inlineStr">
        <is>
          <t>或签任务</t>
        </is>
      </c>
      <c r="Q296" t="inlineStr">
        <is>
          <t>0</t>
        </is>
      </c>
      <c r="R296" t="inlineStr">
        <is>
          <t>Decay,龚政涛</t>
        </is>
      </c>
      <c r="S296" s="4"/>
      <c r="T296" s="3" t="str">
        <f>=HYPERLINK("https://applink.feishu.cn/client/todo/task_list?guid=4d92b9af-66d1-4cd7-95d1-4b753a64ca6b", "跃入迷城")</f>
        <v>跃入迷城</v>
      </c>
      <c r="U296" t="inlineStr">
        <is>
          <t>4d92b9af-66d1-4cd7-95d1-4b753a64ca6b</t>
        </is>
      </c>
      <c r="V296" t="inlineStr">
        <is>
          <t>7268d5a2-ac77-455b-8966-7470b7201897</t>
        </is>
      </c>
      <c r="W296"/>
      <c r="X296"/>
      <c r="Y296"/>
      <c r="Z296" t="inlineStr">
        <is>
          <t>0.0.5</t>
        </is>
      </c>
      <c r="AA296" t="inlineStr">
        <is>
          <t>技能</t>
        </is>
      </c>
      <c r="AB296" t="inlineStr">
        <is>
          <t>已完成</t>
        </is>
      </c>
      <c r="AC296" t="inlineStr">
        <is>
          <t>P2 - Nice to Have</t>
        </is>
      </c>
      <c r="AD296" t="inlineStr">
        <is>
          <t>🎮玩法</t>
        </is>
      </c>
      <c r="AE296"/>
    </row>
    <row r="297" ht="25.5" customHeight="1">
      <c r="A297" s="3" t="str">
        <f>=HYPERLINK("https://applink.feishu.cn/client/todo/detail?guid=8121760a-1499-49b4-ae5c-74f179ba2b70&amp;suite_entity_num=t100664", "后坐力")</f>
        <v>后坐力</v>
      </c>
      <c r="B297"/>
      <c r="C297" t="inlineStr">
        <is>
          <t>默认分组</t>
        </is>
      </c>
      <c r="D297"/>
      <c r="E297"/>
      <c r="F297" t="inlineStr">
        <is>
          <t>Decay</t>
        </is>
      </c>
      <c r="G297" t="inlineStr">
        <is>
          <t>Decay</t>
        </is>
      </c>
      <c r="H297" s="4">
        <v>45762.87299768518</v>
      </c>
      <c r="I297" s="4">
        <v>45764.73924768518</v>
      </c>
      <c r="J297" s="4"/>
      <c r="K297" s="4">
        <v>45874.40415509259</v>
      </c>
      <c r="L297">
        <v>0</v>
      </c>
      <c r="M297">
        <v>2</v>
      </c>
      <c r="N297" t="inlineStr">
        <is>
          <t>NzQxMzM4ODg5NzkxNDY2NzAwOTo4MTIxNzYwYS0xNDk5LTQ5YjQtYWU1Yy03NGYxNzliYTJiNzA6MTIyNTViM2E2MDY4NTEwYmUzNzViODFjMGUzMTYyNDc6MQ==</t>
        </is>
      </c>
      <c r="O297" t="inlineStr">
        <is>
          <t>1</t>
        </is>
      </c>
      <c r="P297" t="inlineStr">
        <is>
          <t>或签任务</t>
        </is>
      </c>
      <c r="Q297" t="inlineStr">
        <is>
          <t>0</t>
        </is>
      </c>
      <c r="R297" t="inlineStr">
        <is>
          <t>Decay,龚政涛</t>
        </is>
      </c>
      <c r="S297" s="4"/>
      <c r="T297" s="3" t="str">
        <f>=HYPERLINK("https://applink.feishu.cn/client/todo/task_list?guid=4d92b9af-66d1-4cd7-95d1-4b753a64ca6b", "跃入迷城")</f>
        <v>跃入迷城</v>
      </c>
      <c r="U297" t="inlineStr">
        <is>
          <t>4d92b9af-66d1-4cd7-95d1-4b753a64ca6b</t>
        </is>
      </c>
      <c r="V297" t="inlineStr">
        <is>
          <t>8121760a-1499-49b4-ae5c-74f179ba2b70</t>
        </is>
      </c>
      <c r="W297"/>
      <c r="X297"/>
      <c r="Y297"/>
      <c r="Z297" t="inlineStr">
        <is>
          <t>0.0.5</t>
        </is>
      </c>
      <c r="AA297" t="inlineStr">
        <is>
          <t>技能</t>
        </is>
      </c>
      <c r="AB297" t="inlineStr">
        <is>
          <t>已完成</t>
        </is>
      </c>
      <c r="AC297" t="inlineStr">
        <is>
          <t>P2 - Nice to Have</t>
        </is>
      </c>
      <c r="AD297" t="inlineStr">
        <is>
          <t>🎮玩法</t>
        </is>
      </c>
      <c r="AE297"/>
    </row>
    <row r="298" ht="25.5" customHeight="1">
      <c r="A298" s="3" t="str">
        <f>=HYPERLINK("https://applink.feishu.cn/client/todo/detail?guid=1a60153a-d6a3-40dc-b73d-6fe7fe9f66a9&amp;suite_entity_num=t100665", "技能 - 偷袭")</f>
        <v>技能 - 偷袭</v>
      </c>
      <c r="B298"/>
      <c r="C298" t="inlineStr">
        <is>
          <t>默认分组</t>
        </is>
      </c>
      <c r="D298"/>
      <c r="E298"/>
      <c r="F298" t="inlineStr">
        <is>
          <t>Decay</t>
        </is>
      </c>
      <c r="G298" t="inlineStr">
        <is>
          <t>Decay</t>
        </is>
      </c>
      <c r="H298" s="4">
        <v>45763.718090277776</v>
      </c>
      <c r="I298" s="4">
        <v>45764.727164351854</v>
      </c>
      <c r="J298" s="4"/>
      <c r="K298" s="4">
        <v>45874.404178240744</v>
      </c>
      <c r="L298">
        <v>0</v>
      </c>
      <c r="M298">
        <v>1</v>
      </c>
      <c r="N298" t="inlineStr">
        <is>
          <t>NzQxMzM4ODg5NzkxNDY2NzAwOToxYTYwMTUzYS1kNmEzLTQwZGMtYjczZC02ZmU3ZmU5ZjY2YTk6NWVlYTM2MjEyY2NiNTY0ODA2NWZkMmE3MjBkZGVlY2I6MQ==</t>
        </is>
      </c>
      <c r="O298" t="inlineStr">
        <is>
          <t>1</t>
        </is>
      </c>
      <c r="P298" t="inlineStr">
        <is>
          <t>或签任务</t>
        </is>
      </c>
      <c r="Q298" t="inlineStr">
        <is>
          <t>0</t>
        </is>
      </c>
      <c r="R298" t="inlineStr">
        <is>
          <t>Decay,龚政涛</t>
        </is>
      </c>
      <c r="S298" s="4"/>
      <c r="T298" s="3" t="str">
        <f>=HYPERLINK("https://applink.feishu.cn/client/todo/task_list?guid=4d92b9af-66d1-4cd7-95d1-4b753a64ca6b", "跃入迷城")</f>
        <v>跃入迷城</v>
      </c>
      <c r="U298" t="inlineStr">
        <is>
          <t>4d92b9af-66d1-4cd7-95d1-4b753a64ca6b</t>
        </is>
      </c>
      <c r="V298" t="inlineStr">
        <is>
          <t>1a60153a-d6a3-40dc-b73d-6fe7fe9f66a9</t>
        </is>
      </c>
      <c r="W298"/>
      <c r="X298"/>
      <c r="Y298"/>
      <c r="Z298" t="inlineStr">
        <is>
          <t>0.0.5</t>
        </is>
      </c>
      <c r="AA298" t="inlineStr">
        <is>
          <t>技能</t>
        </is>
      </c>
      <c r="AB298" t="inlineStr">
        <is>
          <t>已完成</t>
        </is>
      </c>
      <c r="AC298" t="inlineStr">
        <is>
          <t>P2 - Nice to Have</t>
        </is>
      </c>
      <c r="AD298" t="inlineStr">
        <is>
          <t>🎮玩法</t>
        </is>
      </c>
      <c r="AE298"/>
    </row>
    <row r="299" ht="25.5" customHeight="1">
      <c r="A299" s="3" t="str">
        <f>=HYPERLINK("https://applink.feishu.cn/client/todo/detail?guid=0ae3d61b-0343-4e52-b965-661353050ea8&amp;suite_entity_num=t100666", "技能 - 集中喷射")</f>
        <v>技能 - 集中喷射</v>
      </c>
      <c r="B299"/>
      <c r="C299" t="inlineStr">
        <is>
          <t>默认分组</t>
        </is>
      </c>
      <c r="D299"/>
      <c r="E299"/>
      <c r="F299" t="inlineStr">
        <is>
          <t>Decay</t>
        </is>
      </c>
      <c r="G299" t="inlineStr">
        <is>
          <t>Decay</t>
        </is>
      </c>
      <c r="H299" s="4">
        <v>45765.67563657407</v>
      </c>
      <c r="I299" s="4">
        <v>45765.72077546296</v>
      </c>
      <c r="J299" s="4"/>
      <c r="K299" s="4">
        <v>45874.40418981481</v>
      </c>
      <c r="L299">
        <v>0</v>
      </c>
      <c r="M299">
        <v>2</v>
      </c>
      <c r="N299" t="inlineStr">
        <is>
          <t>NzQxMzM4ODg5NzkxNDY2NzAwOTowYWUzZDYxYi0wMzQzLTRlNTItYjk2NS02NjEzNTMwNTBlYTg6MDc5ZTM2NmU4ODYwYTgwMDg0MmQ3NmFiNmFiMmRlNDM6MQ==</t>
        </is>
      </c>
      <c r="O299" t="inlineStr">
        <is>
          <t>1</t>
        </is>
      </c>
      <c r="P299" t="inlineStr">
        <is>
          <t>或签任务</t>
        </is>
      </c>
      <c r="Q299" t="inlineStr">
        <is>
          <t>0</t>
        </is>
      </c>
      <c r="R299" t="inlineStr">
        <is>
          <t>Decay,龚政涛</t>
        </is>
      </c>
      <c r="S299" s="4"/>
      <c r="T299" s="3" t="str">
        <f>=HYPERLINK("https://applink.feishu.cn/client/todo/task_list?guid=4d92b9af-66d1-4cd7-95d1-4b753a64ca6b", "跃入迷城")</f>
        <v>跃入迷城</v>
      </c>
      <c r="U299" t="inlineStr">
        <is>
          <t>4d92b9af-66d1-4cd7-95d1-4b753a64ca6b</t>
        </is>
      </c>
      <c r="V299" t="inlineStr">
        <is>
          <t>0ae3d61b-0343-4e52-b965-661353050ea8</t>
        </is>
      </c>
      <c r="W299"/>
      <c r="X299"/>
      <c r="Y299"/>
      <c r="Z299" t="inlineStr">
        <is>
          <t>0.0.5</t>
        </is>
      </c>
      <c r="AA299" t="inlineStr">
        <is>
          <t>技能</t>
        </is>
      </c>
      <c r="AB299" t="inlineStr">
        <is>
          <t>已完成</t>
        </is>
      </c>
      <c r="AC299" t="inlineStr">
        <is>
          <t>P2 - Nice to Have</t>
        </is>
      </c>
      <c r="AD299" t="inlineStr">
        <is>
          <t>🎮玩法</t>
        </is>
      </c>
      <c r="AE299"/>
    </row>
    <row r="300" ht="25.5" customHeight="1">
      <c r="A300" s="3" t="str">
        <f>=HYPERLINK("https://applink.feishu.cn/client/todo/detail?guid=2bf51a2e-c6e9-461c-b0e9-b72470604e1f&amp;suite_entity_num=t100667", "尝试半墙隐藏机制")</f>
        <v>尝试半墙隐藏机制</v>
      </c>
      <c r="B300"/>
      <c r="C300" t="inlineStr">
        <is>
          <t>默认分组</t>
        </is>
      </c>
      <c r="D300"/>
      <c r="E300"/>
      <c r="F300" t="inlineStr">
        <is>
          <t>Decay</t>
        </is>
      </c>
      <c r="G300" t="inlineStr">
        <is>
          <t>龚政涛</t>
        </is>
      </c>
      <c r="H300" s="4">
        <v>45766.697118055556</v>
      </c>
      <c r="I300" s="4">
        <v>45812.45447916666</v>
      </c>
      <c r="J300" s="4"/>
      <c r="K300" s="4">
        <v>45812.45447916666</v>
      </c>
      <c r="L300">
        <v>0</v>
      </c>
      <c r="M300">
        <v>5</v>
      </c>
      <c r="N300" t="inlineStr">
        <is>
          <t>NzQxMzM4ODg5NzkxNDY2NzAwOToyYmY1MWEyZS1jNmU5LTQ2MWMtYjBlOS1iNzI0NzA2MDRlMWY6NDJmMWZhNDkzZDgzNTE5MjliMjcyNTBkOGM4OTljYmE6MQ==</t>
        </is>
      </c>
      <c r="O300" t="inlineStr">
        <is>
          <t>1</t>
        </is>
      </c>
      <c r="P300" t="inlineStr">
        <is>
          <t>或签任务</t>
        </is>
      </c>
      <c r="Q300" t="inlineStr">
        <is>
          <t>0</t>
        </is>
      </c>
      <c r="R300" t="inlineStr">
        <is>
          <t>龚政涛,Decay</t>
        </is>
      </c>
      <c r="S300" s="4"/>
      <c r="T300" s="3" t="str">
        <f>=HYPERLINK("https://applink.feishu.cn/client/todo/task_list?guid=4d92b9af-66d1-4cd7-95d1-4b753a64ca6b", "跃入迷城")</f>
        <v>跃入迷城</v>
      </c>
      <c r="U300" t="inlineStr">
        <is>
          <t>4d92b9af-66d1-4cd7-95d1-4b753a64ca6b</t>
        </is>
      </c>
      <c r="V300" t="inlineStr">
        <is>
          <t>2bf51a2e-c6e9-461c-b0e9-b72470604e1f</t>
        </is>
      </c>
      <c r="W300"/>
      <c r="X300"/>
      <c r="Y300"/>
      <c r="Z300" t="inlineStr">
        <is>
          <t>0.0.5</t>
        </is>
      </c>
      <c r="AA300" t="inlineStr">
        <is>
          <t>镜头</t>
        </is>
      </c>
      <c r="AB300" t="inlineStr">
        <is>
          <t>已废弃</t>
        </is>
      </c>
      <c r="AC300" t="inlineStr">
        <is>
          <t>P2 - Nice to Have</t>
        </is>
      </c>
      <c r="AD300"/>
      <c r="AE300"/>
    </row>
    <row r="301" ht="25.5" customHeight="1">
      <c r="A301" s="3" t="str">
        <f>=HYPERLINK("https://applink.feishu.cn/client/todo/detail?guid=19402f40-95bf-4b01-9fde-43c57464da05&amp;suite_entity_num=t100668", "减少测试关卡，简化测试流程")</f>
        <v>减少测试关卡，简化测试流程</v>
      </c>
      <c r="B301"/>
      <c r="C301" t="inlineStr">
        <is>
          <t>默认分组</t>
        </is>
      </c>
      <c r="D301"/>
      <c r="E301"/>
      <c r="F301" t="inlineStr">
        <is>
          <t>龚政涛</t>
        </is>
      </c>
      <c r="G301" t="inlineStr">
        <is>
          <t>龚政涛</t>
        </is>
      </c>
      <c r="H301" s="4">
        <v>45766.69876157407</v>
      </c>
      <c r="I301" s="4">
        <v>45868.43329861111</v>
      </c>
      <c r="J301" s="4"/>
      <c r="K301" s="4">
        <v>45868.43329861111</v>
      </c>
      <c r="L301">
        <v>0</v>
      </c>
      <c r="M301">
        <v>0</v>
      </c>
      <c r="N301" t="inlineStr">
        <is>
          <t>NzQxMzM4ODg5NzkxNDY2NzAwOToxOTQwMmY0MC05NWJmLTRiMDEtOWZkZS00M2M1NzQ2NGRhMDU6MTMzYjg2OWI1Y2UyMzFiYTE0ZWMxYjhiMTEzOTM3NzA6MQ==</t>
        </is>
      </c>
      <c r="O301" t="inlineStr">
        <is>
          <t>1</t>
        </is>
      </c>
      <c r="P301" t="inlineStr">
        <is>
          <t>或签任务</t>
        </is>
      </c>
      <c r="Q301" t="inlineStr">
        <is>
          <t>0</t>
        </is>
      </c>
      <c r="R301" t="inlineStr">
        <is>
          <t>龚政涛</t>
        </is>
      </c>
      <c r="S301" s="4"/>
      <c r="T301" s="3" t="str">
        <f>=HYPERLINK("https://applink.feishu.cn/client/todo/task_list?guid=4d92b9af-66d1-4cd7-95d1-4b753a64ca6b", "跃入迷城")</f>
        <v>跃入迷城</v>
      </c>
      <c r="U301" t="inlineStr">
        <is>
          <t>4d92b9af-66d1-4cd7-95d1-4b753a64ca6b</t>
        </is>
      </c>
      <c r="V301" t="inlineStr">
        <is>
          <t>19402f40-95bf-4b01-9fde-43c57464da05</t>
        </is>
      </c>
      <c r="W301"/>
      <c r="X301"/>
      <c r="Y301"/>
      <c r="Z301" t="inlineStr">
        <is>
          <t>0.0.5</t>
        </is>
      </c>
      <c r="AA301" t="inlineStr">
        <is>
          <t>关卡</t>
        </is>
      </c>
      <c r="AB301" t="inlineStr">
        <is>
          <t>工作中</t>
        </is>
      </c>
      <c r="AC301" t="inlineStr">
        <is>
          <t>P0 - Must (not) Have</t>
        </is>
      </c>
      <c r="AD301" t="inlineStr">
        <is>
          <t>🎮玩法</t>
        </is>
      </c>
      <c r="AE301"/>
    </row>
    <row r="302" ht="25.5" customHeight="1">
      <c xml:space="preserve" r="A302" s="3" t="str">
        <f>=HYPERLINK("https://applink.feishu.cn/client/todo/detail?guid=7c2d9a6b-da4d-4416-b4d4-233c95c31c32&amp;suite_entity_num=t100672", "视觉感知更新回调移入AIController,移除Touch感知，现在的感知更新更稳定，基本不会莫名丢视野 &lt; 🪡修改：现在AI有更好的寻路逻辑，在进入战斗后，不再会尝试移动到无法攻击玩家的空间，也更少会在门口处被堵住 ")</f>
        <v>视觉感知更新回调移入AIController,移除Touch感知，现在的感知更新更稳定，基本不会莫名丢视野 &lt; 🪡修改：现在AI有更好的寻路逻辑，在进入战斗后，不再会尝试移动到无法攻击玩家的空间，也更少会在门口处被堵住 </v>
      </c>
      <c r="B302"/>
      <c r="C302"/>
      <c r="D302"/>
      <c r="E302"/>
      <c r="F302"/>
      <c r="G302" t="inlineStr">
        <is>
          <t>兔只几何</t>
        </is>
      </c>
      <c r="H302" s="4">
        <v>45767.57121527778</v>
      </c>
      <c r="I302" s="4">
        <v>45776.320185185185</v>
      </c>
      <c r="J302" s="4"/>
      <c r="K302" s="4">
        <v>45877.61802083333</v>
      </c>
      <c r="L302">
        <v>0</v>
      </c>
      <c r="M302">
        <v>0</v>
      </c>
      <c r="N302" t="inlineStr">
        <is>
          <t>NzQxMzM4ODg5NzkxNDY2NzAwOTo3YzJkOWE2Yi1kYTRkLTQ0MTYtYjRkNC0yMzNjOTVjMzFjMzI6MTkzZTkyZjg5ZGRkZjVlZDhlNWI2ZWQzOTIxMWVlMzE6MQ==</t>
        </is>
      </c>
      <c r="O302" t="inlineStr">
        <is>
          <t>1</t>
        </is>
      </c>
      <c r="P302" t="inlineStr">
        <is>
          <t>或签任务</t>
        </is>
      </c>
      <c r="Q302" t="inlineStr">
        <is>
          <t>0</t>
        </is>
      </c>
      <c r="R302" t="inlineStr">
        <is>
          <t>兔只几何</t>
        </is>
      </c>
      <c r="S302" s="4"/>
      <c r="T302" s="3" t="str">
        <f>=HYPERLINK("https://applink.feishu.cn/client/todo/task_list?guid=4d92b9af-66d1-4cd7-95d1-4b753a64ca6b", "跃入迷城")</f>
        <v>跃入迷城</v>
      </c>
      <c r="U302" t="inlineStr">
        <is>
          <t>4d92b9af-66d1-4cd7-95d1-4b753a64ca6b</t>
        </is>
      </c>
      <c r="V302" t="inlineStr">
        <is>
          <t>7c2d9a6b-da4d-4416-b4d4-233c95c31c32</t>
        </is>
      </c>
      <c r="W302"/>
      <c r="X302"/>
      <c r="Y302" t="inlineStr">
        <is>
          <t>f07e046f-c261-44c9-b10e-81f0ed63ea49</t>
        </is>
      </c>
      <c r="Z302"/>
      <c r="AA302"/>
      <c r="AB302"/>
      <c r="AC302"/>
      <c r="AD302" t="inlineStr">
        <is>
          <t>🛠️技术</t>
        </is>
      </c>
      <c r="AE302"/>
    </row>
    <row r="303" ht="25.5" customHeight="1">
      <c xml:space="preserve" r="A303" s="3" t="str">
        <f>=HYPERLINK("https://applink.feishu.cn/client/todo/detail?guid=1431c7c8-2035-40ee-9aba-918d4a9b91d2&amp;suite_entity_num=t100671", "群体避让，侧向避让 &lt; 🪡修改：现在AI有更好的寻路逻辑，在进入战斗后，不再会尝试移动到无法攻击玩家的空间，也更少会在门口处被堵住 ")</f>
        <v>群体避让，侧向避让 &lt; 🪡修改：现在AI有更好的寻路逻辑，在进入战斗后，不再会尝试移动到无法攻击玩家的空间，也更少会在门口处被堵住 </v>
      </c>
      <c r="B303"/>
      <c r="C303"/>
      <c r="D303"/>
      <c r="E303"/>
      <c r="F303"/>
      <c r="G303" t="inlineStr">
        <is>
          <t>兔只几何</t>
        </is>
      </c>
      <c r="H303" s="4">
        <v>45767.57103009259</v>
      </c>
      <c r="I303" s="4">
        <v>45767.571122685185</v>
      </c>
      <c r="J303" s="4"/>
      <c r="K303" s="4">
        <v>45877.6180787037</v>
      </c>
      <c r="L303">
        <v>0</v>
      </c>
      <c r="M303">
        <v>0</v>
      </c>
      <c r="N303" t="inlineStr">
        <is>
          <t>NzQxMzM4ODg5NzkxNDY2NzAwOToxNDMxYzdjOC0yMDM1LTQwZWUtOWFiYS05MThkNGE5YjkxZDI6MDU4YzdkYTMxNDliZTMwMzRkNTk4ZTViODIzZGY1OWI6MQ==</t>
        </is>
      </c>
      <c r="O303" t="inlineStr">
        <is>
          <t>1</t>
        </is>
      </c>
      <c r="P303" t="inlineStr">
        <is>
          <t>或签任务</t>
        </is>
      </c>
      <c r="Q303" t="inlineStr">
        <is>
          <t>0</t>
        </is>
      </c>
      <c r="R303" t="inlineStr">
        <is>
          <t>兔只几何</t>
        </is>
      </c>
      <c r="S303" s="4"/>
      <c r="T303" s="3" t="str">
        <f>=HYPERLINK("https://applink.feishu.cn/client/todo/task_list?guid=4d92b9af-66d1-4cd7-95d1-4b753a64ca6b", "跃入迷城")</f>
        <v>跃入迷城</v>
      </c>
      <c r="U303" t="inlineStr">
        <is>
          <t>4d92b9af-66d1-4cd7-95d1-4b753a64ca6b</t>
        </is>
      </c>
      <c r="V303" t="inlineStr">
        <is>
          <t>1431c7c8-2035-40ee-9aba-918d4a9b91d2</t>
        </is>
      </c>
      <c r="W303"/>
      <c r="X303"/>
      <c r="Y303" t="inlineStr">
        <is>
          <t>f07e046f-c261-44c9-b10e-81f0ed63ea49</t>
        </is>
      </c>
      <c r="Z303"/>
      <c r="AA303"/>
      <c r="AB303"/>
      <c r="AC303"/>
      <c r="AD303" t="inlineStr">
        <is>
          <t>🛠️技术</t>
        </is>
      </c>
      <c r="AE303"/>
    </row>
    <row r="304" ht="25.5" customHeight="1">
      <c xml:space="preserve" r="A304" s="3" t="str">
        <f>=HYPERLINK("https://applink.feishu.cn/client/todo/detail?guid=553a39a0-446c-45aa-af14-8ebcfbfe83ae&amp;suite_entity_num=t100673", "占位权重寻路(EQS) &lt; 🪡修改：现在AI有更好的寻路逻辑，在进入战斗后，不再会尝试移动到无法攻击玩家的空间，也更少会在门口处被堵住 ")</f>
        <v>占位权重寻路(EQS) &lt; 🪡修改：现在AI有更好的寻路逻辑，在进入战斗后，不再会尝试移动到无法攻击玩家的空间，也更少会在门口处被堵住 </v>
      </c>
      <c r="B304"/>
      <c r="C304"/>
      <c r="D304"/>
      <c r="E304"/>
      <c r="F304"/>
      <c r="G304" t="inlineStr">
        <is>
          <t>兔只几何</t>
        </is>
      </c>
      <c r="H304" s="4">
        <v>45767.571608796294</v>
      </c>
      <c r="I304" s="4">
        <v>45767.57164351852</v>
      </c>
      <c r="J304" s="4"/>
      <c r="K304" s="4">
        <v>45877.618125</v>
      </c>
      <c r="L304">
        <v>0</v>
      </c>
      <c r="M304">
        <v>0</v>
      </c>
      <c r="N304" t="inlineStr">
        <is>
          <t>NzQxMzM4ODg5NzkxNDY2NzAwOTo1NTNhMzlhMC00NDZjLTQ1YWEtYWYxNC04ZWJjZmJmZTgzYWU6MWM2ZDg4ZDUzYTZiMTg1ODBkMTI5YTE0MGU1ZGQ1YTE6MQ==</t>
        </is>
      </c>
      <c r="O304" t="inlineStr">
        <is>
          <t>1</t>
        </is>
      </c>
      <c r="P304" t="inlineStr">
        <is>
          <t>或签任务</t>
        </is>
      </c>
      <c r="Q304" t="inlineStr">
        <is>
          <t>0</t>
        </is>
      </c>
      <c r="R304" t="inlineStr">
        <is>
          <t>兔只几何</t>
        </is>
      </c>
      <c r="S304" s="4"/>
      <c r="T304" s="3" t="str">
        <f>=HYPERLINK("https://applink.feishu.cn/client/todo/task_list?guid=4d92b9af-66d1-4cd7-95d1-4b753a64ca6b", "跃入迷城")</f>
        <v>跃入迷城</v>
      </c>
      <c r="U304" t="inlineStr">
        <is>
          <t>4d92b9af-66d1-4cd7-95d1-4b753a64ca6b</t>
        </is>
      </c>
      <c r="V304" t="inlineStr">
        <is>
          <t>553a39a0-446c-45aa-af14-8ebcfbfe83ae</t>
        </is>
      </c>
      <c r="W304"/>
      <c r="X304"/>
      <c r="Y304" t="inlineStr">
        <is>
          <t>f07e046f-c261-44c9-b10e-81f0ed63ea49</t>
        </is>
      </c>
      <c r="Z304"/>
      <c r="AA304"/>
      <c r="AB304"/>
      <c r="AC304"/>
      <c r="AD304" t="inlineStr">
        <is>
          <t>🛠️技术</t>
        </is>
      </c>
      <c r="AE304"/>
    </row>
    <row r="305" ht="25.5" customHeight="1">
      <c xml:space="preserve" r="A305" s="3" t="str">
        <f>=HYPERLINK("https://applink.feishu.cn/client/todo/detail?guid=e938cd43-c1ea-407e-bb22-0259e4903008&amp;suite_entity_num=t100677", "为特别的非ASC类添加GameplayTagInterface组件 &lt; 🪡修改：现在AI有更好的寻路逻辑，在进入战斗后，不再会尝试移动到无法攻击玩家的空间，也更少会在门口处被堵住 ")</f>
        <v>为特别的非ASC类添加GameplayTagInterface组件 &lt; 🪡修改：现在AI有更好的寻路逻辑，在进入战斗后，不再会尝试移动到无法攻击玩家的空间，也更少会在门口处被堵住 </v>
      </c>
      <c r="B305"/>
      <c r="C305"/>
      <c r="D305"/>
      <c r="E305"/>
      <c r="F305"/>
      <c r="G305" t="inlineStr">
        <is>
          <t>兔只几何</t>
        </is>
      </c>
      <c r="H305" s="4">
        <v>45769.52332175926</v>
      </c>
      <c r="I305" s="4">
        <v>45771.655706018515</v>
      </c>
      <c r="J305" s="4"/>
      <c r="K305" s="4">
        <v>45877.61817129629</v>
      </c>
      <c r="L305">
        <v>0</v>
      </c>
      <c r="M305">
        <v>0</v>
      </c>
      <c r="N305" t="inlineStr">
        <is>
          <t>NzQxMzM4ODg5NzkxNDY2NzAwOTplOTM4Y2Q0My1jMWVhLTQwN2UtYmIyMi0wMjU5ZTQ5MDMwMDg6OTg5YzA3YjU5ZWEyZjE2MDk2NTRkODUxYmMwMjQ5YWE6MQ==</t>
        </is>
      </c>
      <c r="O305" t="inlineStr">
        <is>
          <t>1</t>
        </is>
      </c>
      <c r="P305" t="inlineStr">
        <is>
          <t>或签任务</t>
        </is>
      </c>
      <c r="Q305" t="inlineStr">
        <is>
          <t>0</t>
        </is>
      </c>
      <c r="R305" t="inlineStr">
        <is>
          <t>兔只几何</t>
        </is>
      </c>
      <c r="S305" s="4"/>
      <c r="T305" s="3" t="str">
        <f>=HYPERLINK("https://applink.feishu.cn/client/todo/task_list?guid=4d92b9af-66d1-4cd7-95d1-4b753a64ca6b", "跃入迷城")</f>
        <v>跃入迷城</v>
      </c>
      <c r="U305" t="inlineStr">
        <is>
          <t>4d92b9af-66d1-4cd7-95d1-4b753a64ca6b</t>
        </is>
      </c>
      <c r="V305" t="inlineStr">
        <is>
          <t>e938cd43-c1ea-407e-bb22-0259e4903008</t>
        </is>
      </c>
      <c r="W305"/>
      <c r="X305"/>
      <c r="Y305" t="inlineStr">
        <is>
          <t>f07e046f-c261-44c9-b10e-81f0ed63ea49</t>
        </is>
      </c>
      <c r="Z305"/>
      <c r="AA305"/>
      <c r="AB305"/>
      <c r="AC305"/>
      <c r="AD305" t="inlineStr">
        <is>
          <t>🛠️技术</t>
        </is>
      </c>
      <c r="AE305"/>
    </row>
    <row r="306" ht="25.5" customHeight="1">
      <c xml:space="preserve" r="A306" s="3" t="str">
        <f>=HYPERLINK("https://applink.feishu.cn/client/todo/detail?guid=f3977358-102d-4ea0-b352-31756f007f48&amp;suite_entity_num=t100676", "将EQS从Class解耦转换成通过Tag查询，通过subsystem或者别的单例形式缓存Gameplay相关的Env，如果后期需要敌人在巡逻时到吸烟点抽烟等，关门等，简化逻辑可以使用smartobject，有更优化的空间查询和subsystem。已经实现了gameplaytag接口和相关查询方法，等待版本关卡streaming稳定后再尝试优化，一切以Unreal insights为准优化。 &lt; 🪡修改：现在AI有更好的寻路逻辑，在进入战斗后，不再会尝试移动到无法攻击玩家的空间，也更少会在门口处被堵住 ")</f>
        <v>将EQS从Class解耦转换成通过Tag查询，通过subsystem或者别的单例形式缓存Gameplay相关的Env，如果后期需要敌人在巡逻时到吸烟点抽烟等，关门等，简化逻辑可以使用smartobject，有更优化的空间查询和subsystem。已经实现了gameplaytag接口和相关查询方法，等待版本关卡streaming稳定后再尝试优化，一切以Unreal insights为准优化。 &lt; 🪡修改：现在AI有更好的寻路逻辑，在进入战斗后，不再会尝试移动到无法攻击玩家的空间，也更少会在门口处被堵住 </v>
      </c>
      <c r="B306"/>
      <c r="C306"/>
      <c r="D306"/>
      <c r="E306"/>
      <c r="F306"/>
      <c r="G306" t="inlineStr">
        <is>
          <t>兔只几何</t>
        </is>
      </c>
      <c r="H306" s="4">
        <v>45769.522731481484</v>
      </c>
      <c r="I306" s="4">
        <v>45776.32302083333</v>
      </c>
      <c r="J306" s="4"/>
      <c r="K306" s="4">
        <v>45877.61829861111</v>
      </c>
      <c r="L306">
        <v>0</v>
      </c>
      <c r="M306">
        <v>0</v>
      </c>
      <c r="N306" t="inlineStr">
        <is>
          <t>NzQxMzM4ODg5NzkxNDY2NzAwOTpmMzk3NzM1OC0xMDJkLTRlYTAtYjM1Mi0zMTc1NmYwMDdmNDg6YjM4ZmVkMDA5MDk5ZDY0ZGI5OGJiZWY1ODIwYTc1OGM6MQ==</t>
        </is>
      </c>
      <c r="O306" t="inlineStr">
        <is>
          <t>1</t>
        </is>
      </c>
      <c r="P306" t="inlineStr">
        <is>
          <t>或签任务</t>
        </is>
      </c>
      <c r="Q306" t="inlineStr">
        <is>
          <t>0</t>
        </is>
      </c>
      <c r="R306" t="inlineStr">
        <is>
          <t>兔只几何</t>
        </is>
      </c>
      <c r="S306" s="4"/>
      <c r="T306" s="3" t="str">
        <f>=HYPERLINK("https://applink.feishu.cn/client/todo/task_list?guid=4d92b9af-66d1-4cd7-95d1-4b753a64ca6b", "跃入迷城")</f>
        <v>跃入迷城</v>
      </c>
      <c r="U306" t="inlineStr">
        <is>
          <t>4d92b9af-66d1-4cd7-95d1-4b753a64ca6b</t>
        </is>
      </c>
      <c r="V306" t="inlineStr">
        <is>
          <t>f3977358-102d-4ea0-b352-31756f007f48</t>
        </is>
      </c>
      <c r="W306"/>
      <c r="X306"/>
      <c r="Y306" t="inlineStr">
        <is>
          <t>f07e046f-c261-44c9-b10e-81f0ed63ea49</t>
        </is>
      </c>
      <c r="Z306"/>
      <c r="AA306"/>
      <c r="AB306"/>
      <c r="AC306"/>
      <c r="AD306" t="inlineStr">
        <is>
          <t>🛠️技术</t>
        </is>
      </c>
      <c r="AE306"/>
    </row>
    <row r="307" ht="25.5" customHeight="1">
      <c r="A307" s="3" t="str">
        <f>=HYPERLINK("https://applink.feishu.cn/client/todo/detail?guid=6bb10c0b-4de8-4de5-83ab-825de5f1724f&amp;suite_entity_num=t100678", "翻滚回归 / 翻滚推开敌人 &lt; 🪡修改：翻滚现在会小幅度推开途径的敌人，以确保玩家不会被多个敌人围困")</f>
        <v>翻滚回归 / 翻滚推开敌人 &lt; 🪡修改：翻滚现在会小幅度推开途径的敌人，以确保玩家不会被多个敌人围困</v>
      </c>
      <c r="B307"/>
      <c r="C307"/>
      <c r="D307"/>
      <c r="E307"/>
      <c r="F307" t="inlineStr">
        <is>
          <t>Decay</t>
        </is>
      </c>
      <c r="G307" t="inlineStr">
        <is>
          <t>Decay</t>
        </is>
      </c>
      <c r="H307" s="4">
        <v>45772.854837962965</v>
      </c>
      <c r="I307" s="4">
        <v>45812.47666666667</v>
      </c>
      <c r="J307" s="4"/>
      <c r="K307" s="4">
        <v>45868.03747685185</v>
      </c>
      <c r="L307">
        <v>0</v>
      </c>
      <c r="M307">
        <v>11</v>
      </c>
      <c r="N307" t="inlineStr">
        <is>
          <t>NzQxMzM4ODg5NzkxNDY2NzAwOTo2YmIxMGMwYi00ZGU4LTRkZTUtODNhYi04MjVkZTVmMTcyNGY6YjFjZGUyODI1ZWM4NzBhOWZlOGQ4NTFmNTJiYmM1OWY6MQ==</t>
        </is>
      </c>
      <c r="O307" t="inlineStr">
        <is>
          <t>1</t>
        </is>
      </c>
      <c r="P307" t="inlineStr">
        <is>
          <t>或签任务</t>
        </is>
      </c>
      <c r="Q307" t="inlineStr">
        <is>
          <t>0</t>
        </is>
      </c>
      <c r="R307" t="inlineStr">
        <is>
          <t>Decay,龚政涛</t>
        </is>
      </c>
      <c r="S307" s="4"/>
      <c r="T307" s="3" t="str">
        <f>=HYPERLINK("https://applink.feishu.cn/client/todo/task_list?guid=4d92b9af-66d1-4cd7-95d1-4b753a64ca6b", "跃入迷城")</f>
        <v>跃入迷城</v>
      </c>
      <c r="U307" t="inlineStr">
        <is>
          <t>4d92b9af-66d1-4cd7-95d1-4b753a64ca6b</t>
        </is>
      </c>
      <c r="V307" t="inlineStr">
        <is>
          <t>6bb10c0b-4de8-4de5-83ab-825de5f1724f</t>
        </is>
      </c>
      <c r="W307"/>
      <c r="X307"/>
      <c r="Y307" t="inlineStr">
        <is>
          <t>3f5923cc-e7eb-404f-9195-cbad5aac3171</t>
        </is>
      </c>
      <c r="Z307" t="inlineStr">
        <is>
          <t>0.0.5</t>
        </is>
      </c>
      <c r="AA307" t="inlineStr">
        <is>
          <t>操作</t>
        </is>
      </c>
      <c r="AB307" t="inlineStr">
        <is>
          <t>已完成</t>
        </is>
      </c>
      <c r="AC307" t="inlineStr">
        <is>
          <t>P2 - Nice to Have</t>
        </is>
      </c>
      <c r="AD307" t="inlineStr">
        <is>
          <t>🎮玩法</t>
        </is>
      </c>
      <c r="AE307"/>
    </row>
    <row r="308" ht="25.5" customHeight="1">
      <c r="A308" s="3" t="str">
        <f>=HYPERLINK("https://applink.feishu.cn/client/todo/detail?guid=1fda7f58-5dbd-45b1-8daf-b331076584fc&amp;suite_entity_num=t100679", "翻滚推动敌人 &lt; 🪡修改：翻滚现在会小幅度推开途径的敌人，以确保玩家不会被多个敌人围困")</f>
        <v>翻滚推动敌人 &lt; 🪡修改：翻滚现在会小幅度推开途径的敌人，以确保玩家不会被多个敌人围困</v>
      </c>
      <c r="B308"/>
      <c r="C308"/>
      <c r="D308"/>
      <c r="E308"/>
      <c r="F308" t="inlineStr">
        <is>
          <t>Decay</t>
        </is>
      </c>
      <c r="G308" t="inlineStr">
        <is>
          <t>Decay</t>
        </is>
      </c>
      <c r="H308" s="4">
        <v>45775.756886574076</v>
      </c>
      <c r="I308" s="4">
        <v>45812.47530092593</v>
      </c>
      <c r="J308" s="4"/>
      <c r="K308" s="4">
        <v>45868.037523148145</v>
      </c>
      <c r="L308">
        <v>0</v>
      </c>
      <c r="M308">
        <v>2</v>
      </c>
      <c r="N308" t="inlineStr">
        <is>
          <t>NzQxMzM4ODg5NzkxNDY2NzAwOToxZmRhN2Y1OC01ZGJkLTQ1YjEtOGRhZi1iMzMxMDc2NTg0ZmM6YWI1Y2I0ZWYxOTdhY2UxYTQzMzJiNDNhNmQxOTc5MDk6MQ==</t>
        </is>
      </c>
      <c r="O308" t="inlineStr">
        <is>
          <t>1</t>
        </is>
      </c>
      <c r="P308" t="inlineStr">
        <is>
          <t>或签任务</t>
        </is>
      </c>
      <c r="Q308" t="inlineStr">
        <is>
          <t>0</t>
        </is>
      </c>
      <c r="R308" t="inlineStr">
        <is>
          <t>Decay,龚政涛</t>
        </is>
      </c>
      <c r="S308" s="4"/>
      <c r="T308" s="3" t="str">
        <f>=HYPERLINK("https://applink.feishu.cn/client/todo/task_list?guid=4d92b9af-66d1-4cd7-95d1-4b753a64ca6b", "跃入迷城")</f>
        <v>跃入迷城</v>
      </c>
      <c r="U308" t="inlineStr">
        <is>
          <t>4d92b9af-66d1-4cd7-95d1-4b753a64ca6b</t>
        </is>
      </c>
      <c r="V308" t="inlineStr">
        <is>
          <t>1fda7f58-5dbd-45b1-8daf-b331076584fc</t>
        </is>
      </c>
      <c r="W308"/>
      <c r="X308"/>
      <c r="Y308" t="inlineStr">
        <is>
          <t>3f5923cc-e7eb-404f-9195-cbad5aac3171</t>
        </is>
      </c>
      <c r="Z308" t="inlineStr">
        <is>
          <t>0.0.5</t>
        </is>
      </c>
      <c r="AA308" t="inlineStr">
        <is>
          <t>操作</t>
        </is>
      </c>
      <c r="AB308" t="inlineStr">
        <is>
          <t>已完成</t>
        </is>
      </c>
      <c r="AC308" t="inlineStr">
        <is>
          <t>P2 - Nice to Have</t>
        </is>
      </c>
      <c r="AD308" t="inlineStr">
        <is>
          <t>🎮玩法</t>
        </is>
      </c>
      <c r="AE308"/>
    </row>
    <row r="309" ht="25.5" customHeight="1">
      <c xml:space="preserve" r="A309" s="3" t="str">
        <f>=HYPERLINK("https://applink.feishu.cn/client/todo/detail?guid=94798d8b-8580-417b-a9d4-e6d348c6cae6&amp;suite_entity_num=t100680", "玩家和怪物同时在门口时怪物会尝试攻击，否则移除区域 &lt; 🪡修改：现在AI有更好的寻路逻辑，在进入战斗后，不再会尝试移动到无法攻击玩家的空间，也更少会在门口处被堵住 ")</f>
        <v>玩家和怪物同时在门口时怪物会尝试攻击，否则移除区域 &lt; 🪡修改：现在AI有更好的寻路逻辑，在进入战斗后，不再会尝试移动到无法攻击玩家的空间，也更少会在门口处被堵住 </v>
      </c>
      <c r="B309"/>
      <c r="C309"/>
      <c r="D309"/>
      <c r="E309"/>
      <c r="F309"/>
      <c r="G309" t="inlineStr">
        <is>
          <t>兔只几何</t>
        </is>
      </c>
      <c r="H309" s="4">
        <v>45776.32356481482</v>
      </c>
      <c r="I309" s="4">
        <v>45776.32400462963</v>
      </c>
      <c r="J309" s="4"/>
      <c r="K309" s="4">
        <v>45877.61834490741</v>
      </c>
      <c r="L309">
        <v>0</v>
      </c>
      <c r="M309">
        <v>0</v>
      </c>
      <c r="N309" t="inlineStr">
        <is>
          <t>NzQxMzM4ODg5NzkxNDY2NzAwOTo5NDc5OGQ4Yi04NTgwLTQxN2ItYTlkNC1lNmQzNDhjNmNhZTY6MzJlNzg5NGIwNzY3YzIzN2NlNWE3Yjc3OGU2ZTAxYTg6MQ==</t>
        </is>
      </c>
      <c r="O309" t="inlineStr">
        <is>
          <t>1</t>
        </is>
      </c>
      <c r="P309" t="inlineStr">
        <is>
          <t>或签任务</t>
        </is>
      </c>
      <c r="Q309" t="inlineStr">
        <is>
          <t>0</t>
        </is>
      </c>
      <c r="R309" t="inlineStr">
        <is>
          <t>兔只几何</t>
        </is>
      </c>
      <c r="S309" s="4"/>
      <c r="T309" s="3" t="str">
        <f>=HYPERLINK("https://applink.feishu.cn/client/todo/task_list?guid=4d92b9af-66d1-4cd7-95d1-4b753a64ca6b", "跃入迷城")</f>
        <v>跃入迷城</v>
      </c>
      <c r="U309" t="inlineStr">
        <is>
          <t>4d92b9af-66d1-4cd7-95d1-4b753a64ca6b</t>
        </is>
      </c>
      <c r="V309" t="inlineStr">
        <is>
          <t>94798d8b-8580-417b-a9d4-e6d348c6cae6</t>
        </is>
      </c>
      <c r="W309"/>
      <c r="X309"/>
      <c r="Y309" t="inlineStr">
        <is>
          <t>f07e046f-c261-44c9-b10e-81f0ed63ea49</t>
        </is>
      </c>
      <c r="Z309"/>
      <c r="AA309"/>
      <c r="AB309"/>
      <c r="AC309"/>
      <c r="AD309" t="inlineStr">
        <is>
          <t>🛠️技术</t>
        </is>
      </c>
      <c r="AE309"/>
    </row>
    <row r="310" ht="25.5" customHeight="1">
      <c xml:space="preserve" r="A310" s="3" t="str">
        <f>=HYPERLINK("https://applink.feishu.cn/client/todo/detail?guid=5e9e7351-66dd-49b9-8541-38c8f9cff307&amp;suite_entity_num=t100681", "怪物远离门的同时远离墙体，玩家少有机会被怪堵墙 &lt; 🪡修改：现在AI有更好的寻路逻辑，在进入战斗后，不再会尝试移动到无法攻击玩家的空间，也更少会在门口处被堵住 ")</f>
        <v>怪物远离门的同时远离墙体，玩家少有机会被怪堵墙 &lt; 🪡修改：现在AI有更好的寻路逻辑，在进入战斗后，不再会尝试移动到无法攻击玩家的空间，也更少会在门口处被堵住 </v>
      </c>
      <c r="B310"/>
      <c r="C310"/>
      <c r="D310"/>
      <c r="E310"/>
      <c r="F310"/>
      <c r="G310" t="inlineStr">
        <is>
          <t>兔只几何</t>
        </is>
      </c>
      <c r="H310" s="4">
        <v>45776.32399305556</v>
      </c>
      <c r="I310" s="4">
        <v>45776.324016203704</v>
      </c>
      <c r="J310" s="4"/>
      <c r="K310" s="4">
        <v>45877.6183912037</v>
      </c>
      <c r="L310">
        <v>0</v>
      </c>
      <c r="M310">
        <v>0</v>
      </c>
      <c r="N310" t="inlineStr">
        <is>
          <t>NzQxMzM4ODg5NzkxNDY2NzAwOTo1ZTllNzM1MS02NmRkLTQ5YjktODU0MS0zOGM4ZjljZmYzMDc6ZjEwMGY0MGUwNDAyNzBjYjJhMmUxYjY1NmIzMDZmZjQ6MQ==</t>
        </is>
      </c>
      <c r="O310" t="inlineStr">
        <is>
          <t>1</t>
        </is>
      </c>
      <c r="P310" t="inlineStr">
        <is>
          <t>或签任务</t>
        </is>
      </c>
      <c r="Q310" t="inlineStr">
        <is>
          <t>0</t>
        </is>
      </c>
      <c r="R310" t="inlineStr">
        <is>
          <t>兔只几何</t>
        </is>
      </c>
      <c r="S310" s="4"/>
      <c r="T310" s="3" t="str">
        <f>=HYPERLINK("https://applink.feishu.cn/client/todo/task_list?guid=4d92b9af-66d1-4cd7-95d1-4b753a64ca6b", "跃入迷城")</f>
        <v>跃入迷城</v>
      </c>
      <c r="U310" t="inlineStr">
        <is>
          <t>4d92b9af-66d1-4cd7-95d1-4b753a64ca6b</t>
        </is>
      </c>
      <c r="V310" t="inlineStr">
        <is>
          <t>5e9e7351-66dd-49b9-8541-38c8f9cff307</t>
        </is>
      </c>
      <c r="W310"/>
      <c r="X310"/>
      <c r="Y310" t="inlineStr">
        <is>
          <t>f07e046f-c261-44c9-b10e-81f0ed63ea49</t>
        </is>
      </c>
      <c r="Z310"/>
      <c r="AA310"/>
      <c r="AB310"/>
      <c r="AC310"/>
      <c r="AD310" t="inlineStr">
        <is>
          <t>🛠️技术</t>
        </is>
      </c>
      <c r="AE310"/>
    </row>
    <row r="311" ht="25.5" customHeight="1">
      <c xml:space="preserve" r="A311" s="3" t="str">
        <f>=HYPERLINK("https://applink.feishu.cn/client/todo/detail?guid=8fd88b09-3adb-44f9-b2af-1ef0ec52fe30&amp;suite_entity_num=t100683", "更新了EditoryUtility，现在可以直接将TagVolume生成在关卡中所有的门上 &lt; 🪡修改：现在AI有更好的寻路逻辑，在进入战斗后，不再会尝试移动到无法攻击玩家的空间，也更少会在门口处被堵住 ")</f>
        <v>更新了EditoryUtility，现在可以直接将TagVolume生成在关卡中所有的门上 &lt; 🪡修改：现在AI有更好的寻路逻辑，在进入战斗后，不再会尝试移动到无法攻击玩家的空间，也更少会在门口处被堵住 </v>
      </c>
      <c r="B311"/>
      <c r="C311"/>
      <c r="D311"/>
      <c r="E311"/>
      <c r="F311"/>
      <c r="G311" t="inlineStr">
        <is>
          <t>兔只几何</t>
        </is>
      </c>
      <c r="H311" s="4">
        <v>45776.32848379629</v>
      </c>
      <c r="I311" s="4">
        <v>45776.32858796296</v>
      </c>
      <c r="J311" s="4"/>
      <c r="K311" s="4">
        <v>45877.6184375</v>
      </c>
      <c r="L311">
        <v>0</v>
      </c>
      <c r="M311">
        <v>0</v>
      </c>
      <c r="N311" t="inlineStr">
        <is>
          <t>NzQxMzM4ODg5NzkxNDY2NzAwOTo4ZmQ4OGIwOS0zYWRiLTQ0ZjktYjJhZi0xZWYwZWM1MmZlMzA6NDk5NWU0ODc2NWFkMzI2OGJlMDE1ZGMxODhlMDgwY2U6MQ==</t>
        </is>
      </c>
      <c r="O311" t="inlineStr">
        <is>
          <t>1</t>
        </is>
      </c>
      <c r="P311" t="inlineStr">
        <is>
          <t>或签任务</t>
        </is>
      </c>
      <c r="Q311" t="inlineStr">
        <is>
          <t>0</t>
        </is>
      </c>
      <c r="R311" t="inlineStr">
        <is>
          <t>兔只几何</t>
        </is>
      </c>
      <c r="S311" s="4"/>
      <c r="T311" s="3" t="str">
        <f>=HYPERLINK("https://applink.feishu.cn/client/todo/task_list?guid=4d92b9af-66d1-4cd7-95d1-4b753a64ca6b", "跃入迷城")</f>
        <v>跃入迷城</v>
      </c>
      <c r="U311" t="inlineStr">
        <is>
          <t>4d92b9af-66d1-4cd7-95d1-4b753a64ca6b</t>
        </is>
      </c>
      <c r="V311" t="inlineStr">
        <is>
          <t>8fd88b09-3adb-44f9-b2af-1ef0ec52fe30</t>
        </is>
      </c>
      <c r="W311"/>
      <c r="X311"/>
      <c r="Y311" t="inlineStr">
        <is>
          <t>f07e046f-c261-44c9-b10e-81f0ed63ea49</t>
        </is>
      </c>
      <c r="Z311"/>
      <c r="AA311"/>
      <c r="AB311"/>
      <c r="AC311"/>
      <c r="AD311" t="inlineStr">
        <is>
          <t>🛠️技术</t>
        </is>
      </c>
      <c r="AE311"/>
    </row>
    <row r="312" ht="25.5" customHeight="1">
      <c xml:space="preserve" r="A312" s="3" t="str">
        <f>=HYPERLINK("https://applink.feishu.cn/client/todo/detail?guid=47cd0e08-b1e0-4cf0-8fc1-5cf180a65615&amp;suite_entity_num=t100682", "等待验证后将感知部分以组件形式并入正在使用AIController，CommonEnemy的树直接替换掉，不影响现在的其他敌人 &lt; 🪡修改：现在AI有更好的寻路逻辑，在进入战斗后，不再会尝试移动到无法攻击玩家的空间，也更少会在门口处被堵住 ")</f>
        <v>等待验证后将感知部分以组件形式并入正在使用AIController，CommonEnemy的树直接替换掉，不影响现在的其他敌人 &lt; 🪡修改：现在AI有更好的寻路逻辑，在进入战斗后，不再会尝试移动到无法攻击玩家的空间，也更少会在门口处被堵住 </v>
      </c>
      <c r="B312"/>
      <c r="C312"/>
      <c r="D312"/>
      <c r="E312"/>
      <c r="F312" t="inlineStr">
        <is>
          <t>龚政涛</t>
        </is>
      </c>
      <c r="G312" t="inlineStr">
        <is>
          <t>兔只几何</t>
        </is>
      </c>
      <c r="H312" s="4">
        <v>45776.324155092596</v>
      </c>
      <c r="I312" s="4">
        <v>45904.90775462963</v>
      </c>
      <c r="J312" s="4">
        <v>45901.333333333336</v>
      </c>
      <c r="K312" s="4">
        <v>45904.90775462963</v>
      </c>
      <c r="L312">
        <v>0</v>
      </c>
      <c r="M312">
        <v>0</v>
      </c>
      <c r="N312" t="inlineStr">
        <is>
          <t>NzQxMzM4ODg5NzkxNDY2NzAwOTo0N2NkMGUwOC1iMWUwLTRjZjAtOGZjMS01Y2YxODBhNjU2MTU6MzY4OGFhMWI1NGMyNmJjZWExNTFhNWZlY2FiZWJiOTA6MQ==</t>
        </is>
      </c>
      <c r="O312" t="inlineStr">
        <is>
          <t>1</t>
        </is>
      </c>
      <c r="P312" t="inlineStr">
        <is>
          <t>或签任务</t>
        </is>
      </c>
      <c r="Q312" t="inlineStr">
        <is>
          <t>0</t>
        </is>
      </c>
      <c r="R312" t="inlineStr">
        <is>
          <t>兔只几何,龚政涛</t>
        </is>
      </c>
      <c r="S312" s="4">
        <v>45901.333333333336</v>
      </c>
      <c r="T312" s="3" t="str">
        <f>=HYPERLINK("https://applink.feishu.cn/client/todo/task_list?guid=4d92b9af-66d1-4cd7-95d1-4b753a64ca6b", "跃入迷城")</f>
        <v>跃入迷城</v>
      </c>
      <c r="U312" t="inlineStr">
        <is>
          <t>4d92b9af-66d1-4cd7-95d1-4b753a64ca6b</t>
        </is>
      </c>
      <c r="V312" t="inlineStr">
        <is>
          <t>47cd0e08-b1e0-4cf0-8fc1-5cf180a65615</t>
        </is>
      </c>
      <c r="W312"/>
      <c r="X312" t="inlineStr">
        <is>
          <t>d19fae62-229c-4772-a74e-b9485a121c7c</t>
        </is>
      </c>
      <c r="Y312" t="inlineStr">
        <is>
          <t>f07e046f-c261-44c9-b10e-81f0ed63ea49</t>
        </is>
      </c>
      <c r="Z312"/>
      <c r="AA312"/>
      <c r="AB312"/>
      <c r="AC312"/>
      <c r="AD312" t="inlineStr">
        <is>
          <t>🛠️技术</t>
        </is>
      </c>
      <c r="AE312"/>
    </row>
    <row r="313" ht="25.5" customHeight="1">
      <c xml:space="preserve" r="A313" s="3" t="str">
        <f>=HYPERLINK("https://applink.feishu.cn/client/todo/detail?guid=622c26f9-dc24-43a2-bb75-b7b0a5059401&amp;suite_entity_num=t100684", "ai在几次巡逻或搜索目标后的一段时间会返回出生点 &lt; 🪡修改：现在AI有更好的寻路逻辑，在进入战斗后，不再会尝试移动到无法攻击玩家的空间，也更少会在门口处被堵住 ")</f>
        <v>ai在几次巡逻或搜索目标后的一段时间会返回出生点 &lt; 🪡修改：现在AI有更好的寻路逻辑，在进入战斗后，不再会尝试移动到无法攻击玩家的空间，也更少会在门口处被堵住 </v>
      </c>
      <c r="B313"/>
      <c r="C313"/>
      <c r="D313"/>
      <c r="E313"/>
      <c r="F313"/>
      <c r="G313" t="inlineStr">
        <is>
          <t>兔只几何</t>
        </is>
      </c>
      <c r="H313" s="4">
        <v>45776.341412037036</v>
      </c>
      <c r="I313" s="4">
        <v>45776.34142361111</v>
      </c>
      <c r="J313" s="4"/>
      <c r="K313" s="4">
        <v>45877.61853009259</v>
      </c>
      <c r="L313">
        <v>0</v>
      </c>
      <c r="M313">
        <v>0</v>
      </c>
      <c r="N313" t="inlineStr">
        <is>
          <t>NzQxMzM4ODg5NzkxNDY2NzAwOTo2MjJjMjZmOS1kYzI0LTQzYTItYmI3NS1iN2IwYTUwNTk0MDE6NDk4M2IxZmEyZDJmM2E3YWZlZDhmMGJiOGFmNzQ5NzE6MQ==</t>
        </is>
      </c>
      <c r="O313" t="inlineStr">
        <is>
          <t>1</t>
        </is>
      </c>
      <c r="P313" t="inlineStr">
        <is>
          <t>或签任务</t>
        </is>
      </c>
      <c r="Q313" t="inlineStr">
        <is>
          <t>0</t>
        </is>
      </c>
      <c r="R313" t="inlineStr">
        <is>
          <t>兔只几何</t>
        </is>
      </c>
      <c r="S313" s="4"/>
      <c r="T313" s="3" t="str">
        <f>=HYPERLINK("https://applink.feishu.cn/client/todo/task_list?guid=4d92b9af-66d1-4cd7-95d1-4b753a64ca6b", "跃入迷城")</f>
        <v>跃入迷城</v>
      </c>
      <c r="U313" t="inlineStr">
        <is>
          <t>4d92b9af-66d1-4cd7-95d1-4b753a64ca6b</t>
        </is>
      </c>
      <c r="V313" t="inlineStr">
        <is>
          <t>622c26f9-dc24-43a2-bb75-b7b0a5059401</t>
        </is>
      </c>
      <c r="W313"/>
      <c r="X313"/>
      <c r="Y313" t="inlineStr">
        <is>
          <t>f07e046f-c261-44c9-b10e-81f0ed63ea49</t>
        </is>
      </c>
      <c r="Z313"/>
      <c r="AA313"/>
      <c r="AB313"/>
      <c r="AC313"/>
      <c r="AD313" t="inlineStr">
        <is>
          <t>🛠️技术</t>
        </is>
      </c>
      <c r="AE313"/>
    </row>
    <row r="314" ht="25.5" customHeight="1">
      <c r="A314" s="3" t="str">
        <f>=HYPERLINK("https://applink.feishu.cn/client/todo/detail?guid=b70eca0b-cf26-43b0-a01d-ea12ca56c338&amp;suite_entity_num=t100726", "义体技能 - 暗杀头脑")</f>
        <v>义体技能 - 暗杀头脑</v>
      </c>
      <c r="B314"/>
      <c r="C314" t="inlineStr">
        <is>
          <t>默认分组</t>
        </is>
      </c>
      <c r="D314"/>
      <c r="E314"/>
      <c r="F314" t="inlineStr">
        <is>
          <t>Decay</t>
        </is>
      </c>
      <c r="G314" t="inlineStr">
        <is>
          <t>Decay</t>
        </is>
      </c>
      <c r="H314" s="4">
        <v>45791.65521990741</v>
      </c>
      <c r="I314" s="4">
        <v>45812.43945601852</v>
      </c>
      <c r="J314" s="4"/>
      <c r="K314" s="4">
        <v>45874.4041087963</v>
      </c>
      <c r="L314">
        <v>0</v>
      </c>
      <c r="M314">
        <v>1</v>
      </c>
      <c r="N314" t="inlineStr">
        <is>
          <t>NzQxMzM4ODg5NzkxNDY2NzAwOTpiNzBlY2EwYi1jZjI2LTQzYjAtYTAxZC1lYTEyY2E1NmMzMzg6N2RiOGM1MTU4Mjk3NTE2ZmQ5Y2VhMDFjZTYxNDg3OTY6MQ==</t>
        </is>
      </c>
      <c r="O314" t="inlineStr">
        <is>
          <t>1</t>
        </is>
      </c>
      <c r="P314" t="inlineStr">
        <is>
          <t>或签任务</t>
        </is>
      </c>
      <c r="Q314" t="inlineStr">
        <is>
          <t>0</t>
        </is>
      </c>
      <c r="R314" t="inlineStr">
        <is>
          <t>Decay,龚政涛</t>
        </is>
      </c>
      <c r="S314" s="4"/>
      <c r="T314" s="3" t="str">
        <f>=HYPERLINK("https://applink.feishu.cn/client/todo/task_list?guid=4d92b9af-66d1-4cd7-95d1-4b753a64ca6b", "跃入迷城")</f>
        <v>跃入迷城</v>
      </c>
      <c r="U314" t="inlineStr">
        <is>
          <t>4d92b9af-66d1-4cd7-95d1-4b753a64ca6b</t>
        </is>
      </c>
      <c r="V314" t="inlineStr">
        <is>
          <t>b70eca0b-cf26-43b0-a01d-ea12ca56c338</t>
        </is>
      </c>
      <c r="W314"/>
      <c r="X314"/>
      <c r="Y314"/>
      <c r="Z314" t="inlineStr">
        <is>
          <t>0.0.5</t>
        </is>
      </c>
      <c r="AA314" t="inlineStr">
        <is>
          <t>技能</t>
        </is>
      </c>
      <c r="AB314" t="inlineStr">
        <is>
          <t>已完成</t>
        </is>
      </c>
      <c r="AC314" t="inlineStr">
        <is>
          <t>P1 - Bigger the Better</t>
        </is>
      </c>
      <c r="AD314" t="inlineStr">
        <is>
          <t>🎮玩法</t>
        </is>
      </c>
      <c r="AE314"/>
    </row>
    <row r="315" ht="25.5" customHeight="1">
      <c xml:space="preserve" r="A315" s="3" t="str">
        <f>=HYPERLINK("https://applink.feishu.cn/client/todo/detail?guid=9d3e6fd9-8648-4d29-9595-a50d0dbb4c68&amp;suite_entity_num=t100746", "✨新增：消耗体力现在会恢复“能量”值，主动技能现在要消耗“能量”释放 ")</f>
        <v>✨新增：消耗体力现在会恢复“能量”值，主动技能现在要消耗“能量”释放 </v>
      </c>
      <c r="B315"/>
      <c r="C315" t="inlineStr">
        <is>
          <t>默认分组</t>
        </is>
      </c>
      <c r="D315"/>
      <c r="E315"/>
      <c r="F315" t="inlineStr">
        <is>
          <t>Decay</t>
        </is>
      </c>
      <c r="G315" t="inlineStr">
        <is>
          <t>龚政涛</t>
        </is>
      </c>
      <c r="H315" s="4">
        <v>45792.91888888889</v>
      </c>
      <c r="I315" s="4"/>
      <c r="J315" s="4">
        <v>45918.333333333336</v>
      </c>
      <c r="K315" s="4">
        <v>45918.560115740744</v>
      </c>
      <c r="L315">
        <v>0</v>
      </c>
      <c r="M315">
        <v>2</v>
      </c>
      <c r="N315" t="inlineStr">
        <is>
          <t>NzQxMzM4ODg5NzkxNDY2NzAwOTo5ZDNlNmZkOS04NjQ4LTRkMjktOTU5NS1hNTBkMGRiYjRjNjg6NDhiNjUzZDQ3MzUyODA2NTc4YzJiZmQzY2Y0ODQ3NWQ6MQ==</t>
        </is>
      </c>
      <c r="O315" t="inlineStr">
        <is>
          <t>0</t>
        </is>
      </c>
      <c r="P315" t="inlineStr">
        <is>
          <t>或签任务</t>
        </is>
      </c>
      <c r="Q315" t="inlineStr">
        <is>
          <t>0</t>
        </is>
      </c>
      <c r="R315" t="inlineStr">
        <is>
          <t>龚政涛,Decay</t>
        </is>
      </c>
      <c r="S315" s="4"/>
      <c r="T315" s="3" t="str">
        <f>=HYPERLINK("https://applink.feishu.cn/client/todo/task_list?guid=4d92b9af-66d1-4cd7-95d1-4b753a64ca6b", "跃入迷城")</f>
        <v>跃入迷城</v>
      </c>
      <c r="U315" t="inlineStr">
        <is>
          <t>4d92b9af-66d1-4cd7-95d1-4b753a64ca6b</t>
        </is>
      </c>
      <c r="V315" t="inlineStr">
        <is>
          <t>9d3e6fd9-8648-4d29-9595-a50d0dbb4c68</t>
        </is>
      </c>
      <c r="W315"/>
      <c r="X315" t="inlineStr">
        <is>
          <t>61f3ca8c-a917-4fac-819c-fa10b3fd5a3f</t>
        </is>
      </c>
      <c r="Y315"/>
      <c r="Z315" t="inlineStr">
        <is>
          <t>0.0.5</t>
        </is>
      </c>
      <c r="AA315" t="inlineStr">
        <is>
          <t>角色</t>
        </is>
      </c>
      <c r="AB315" t="inlineStr">
        <is>
          <t>未开始</t>
        </is>
      </c>
      <c r="AC315" t="inlineStr">
        <is>
          <t>P1 - Bigger the Better</t>
        </is>
      </c>
      <c r="AD315" t="inlineStr">
        <is>
          <t>🛠️技术</t>
        </is>
      </c>
      <c r="AE315"/>
    </row>
    <row r="316" ht="25.5" customHeight="1">
      <c xml:space="preserve" r="A316" s="3" t="str">
        <f>=HYPERLINK("https://applink.feishu.cn/client/todo/detail?guid=61f3ca8c-a917-4fac-819c-fa10b3fd5a3f&amp;suite_entity_num=t100745", "✨新增：护甲现在提供额外的减伤效果，减伤量为{20%} ")</f>
        <v>✨新增：护甲现在提供额外的减伤效果，减伤量为{20%} </v>
      </c>
      <c r="B316"/>
      <c r="C316" t="inlineStr">
        <is>
          <t>默认分组</t>
        </is>
      </c>
      <c r="D316"/>
      <c r="E316"/>
      <c r="F316" t="inlineStr">
        <is>
          <t>Decay</t>
        </is>
      </c>
      <c r="G316" t="inlineStr">
        <is>
          <t>龚政涛</t>
        </is>
      </c>
      <c r="H316" s="4">
        <v>45792.91877314815</v>
      </c>
      <c r="I316" s="4"/>
      <c r="J316" s="4">
        <v>45918.333333333336</v>
      </c>
      <c r="K316" s="4">
        <v>45918.56009259259</v>
      </c>
      <c r="L316">
        <v>0</v>
      </c>
      <c r="M316">
        <v>1</v>
      </c>
      <c r="N316" t="inlineStr">
        <is>
          <t>NzQxMzM4ODg5NzkxNDY2NzAwOTo2MWYzY2E4Yy1hOTE3LTRmYWMtODE5Yy1mYTEwYjNmZDVhM2Y6ZDQwNWIzZTM1OTQxZTc4YmM0ZTEwMjkwMjI0YjZkMTg6MQ==</t>
        </is>
      </c>
      <c r="O316" t="inlineStr">
        <is>
          <t>0</t>
        </is>
      </c>
      <c r="P316" t="inlineStr">
        <is>
          <t>或签任务</t>
        </is>
      </c>
      <c r="Q316" t="inlineStr">
        <is>
          <t>0</t>
        </is>
      </c>
      <c r="R316" t="inlineStr">
        <is>
          <t>龚政涛,Decay</t>
        </is>
      </c>
      <c r="S316" s="4"/>
      <c r="T316" s="3" t="str">
        <f>=HYPERLINK("https://applink.feishu.cn/client/todo/task_list?guid=4d92b9af-66d1-4cd7-95d1-4b753a64ca6b", "跃入迷城")</f>
        <v>跃入迷城</v>
      </c>
      <c r="U316" t="inlineStr">
        <is>
          <t>4d92b9af-66d1-4cd7-95d1-4b753a64ca6b</t>
        </is>
      </c>
      <c r="V316" t="inlineStr">
        <is>
          <t>61f3ca8c-a917-4fac-819c-fa10b3fd5a3f</t>
        </is>
      </c>
      <c r="W316" t="inlineStr">
        <is>
          <t>9d3e6fd9-8648-4d29-9595-a50d0dbb4c68</t>
        </is>
      </c>
      <c r="X316"/>
      <c r="Y316"/>
      <c r="Z316" t="inlineStr">
        <is>
          <t>0.0.5</t>
        </is>
      </c>
      <c r="AA316" t="inlineStr">
        <is>
          <t>角色</t>
        </is>
      </c>
      <c r="AB316" t="inlineStr">
        <is>
          <t>未开始</t>
        </is>
      </c>
      <c r="AC316" t="inlineStr">
        <is>
          <t>P2 - Nice to Have</t>
        </is>
      </c>
      <c r="AD316" t="inlineStr">
        <is>
          <t>🎮玩法</t>
        </is>
      </c>
      <c r="AE316"/>
    </row>
    <row r="317" ht="25.5" customHeight="1">
      <c r="A317" s="3" t="str">
        <f>=HYPERLINK("https://applink.feishu.cn/client/todo/detail?guid=b89e74b3-86b8-4ce5-aa37-29c0f4ef51be&amp;suite_entity_num=t100747", "虚血与吸血")</f>
        <v>虚血与吸血</v>
      </c>
      <c r="B317"/>
      <c r="C317" t="inlineStr">
        <is>
          <t>默认分组</t>
        </is>
      </c>
      <c r="D317"/>
      <c r="E317"/>
      <c r="F317" t="inlineStr">
        <is>
          <t>Decay</t>
        </is>
      </c>
      <c r="G317" t="inlineStr">
        <is>
          <t>Decay</t>
        </is>
      </c>
      <c r="H317" s="4">
        <v>45793.95423611111</v>
      </c>
      <c r="I317" s="4">
        <v>45868.432592592595</v>
      </c>
      <c r="J317" s="4"/>
      <c r="K317" s="4">
        <v>45868.432604166665</v>
      </c>
      <c r="L317">
        <v>0</v>
      </c>
      <c r="M317">
        <v>1</v>
      </c>
      <c r="N317" t="inlineStr">
        <is>
          <t>NzQxMzM4ODg5NzkxNDY2NzAwOTpiODllNzRiMy04NmI4LTRjZTUtYWEzNy0yOWMwZjRlZjUxYmU6YTk4ZDk2NjZmMWIyN2MxOGJlODdmYzgzZWRjMTEzYjU6MQ==</t>
        </is>
      </c>
      <c r="O317" t="inlineStr">
        <is>
          <t>1</t>
        </is>
      </c>
      <c r="P317" t="inlineStr">
        <is>
          <t>或签任务</t>
        </is>
      </c>
      <c r="Q317" t="inlineStr">
        <is>
          <t>0</t>
        </is>
      </c>
      <c r="R317" t="inlineStr">
        <is>
          <t>Decay,龚政涛,朱金标</t>
        </is>
      </c>
      <c r="S317" s="4"/>
      <c r="T317" s="3" t="str">
        <f>=HYPERLINK("https://applink.feishu.cn/client/todo/task_list?guid=4d92b9af-66d1-4cd7-95d1-4b753a64ca6b", "跃入迷城")</f>
        <v>跃入迷城</v>
      </c>
      <c r="U317" t="inlineStr">
        <is>
          <t>4d92b9af-66d1-4cd7-95d1-4b753a64ca6b</t>
        </is>
      </c>
      <c r="V317" t="inlineStr">
        <is>
          <t>b89e74b3-86b8-4ce5-aa37-29c0f4ef51be</t>
        </is>
      </c>
      <c r="W317"/>
      <c r="X317"/>
      <c r="Y317"/>
      <c r="Z317" t="inlineStr">
        <is>
          <t>0.0.5</t>
        </is>
      </c>
      <c r="AA317" t="inlineStr">
        <is>
          <t>技能</t>
        </is>
      </c>
      <c r="AB317"/>
      <c r="AC317"/>
      <c r="AD317" t="inlineStr">
        <is>
          <t>🛠️技术</t>
        </is>
      </c>
      <c r="AE317"/>
    </row>
    <row r="318" ht="25.5" customHeight="1">
      <c xml:space="preserve" r="A318" s="3" t="str">
        <f>=HYPERLINK("https://applink.feishu.cn/client/todo/detail?guid=e71b9659-0505-4182-a2e8-e70df773715f&amp;suite_entity_num=t100752", "🪡修改：武器打印机现在可以正确的显示武器伤害了 ")</f>
        <v>🪡修改：武器打印机现在可以正确的显示武器伤害了 </v>
      </c>
      <c r="B318"/>
      <c r="C318" t="inlineStr">
        <is>
          <t>默认分组</t>
        </is>
      </c>
      <c r="D318"/>
      <c r="E318"/>
      <c r="F318" t="inlineStr">
        <is>
          <t>朱金标</t>
        </is>
      </c>
      <c r="G318" t="inlineStr">
        <is>
          <t>龚政涛</t>
        </is>
      </c>
      <c r="H318" s="4">
        <v>45796.794699074075</v>
      </c>
      <c r="I318" s="4">
        <v>45941.43943287037</v>
      </c>
      <c r="J318" s="4">
        <v>45918.333333333336</v>
      </c>
      <c r="K318" s="4">
        <v>45941.43943287037</v>
      </c>
      <c r="L318">
        <v>0</v>
      </c>
      <c r="M318">
        <v>0</v>
      </c>
      <c r="N318" t="inlineStr">
        <is>
          <t>NzQxMzM4ODg5NzkxNDY2NzAwOTplNzFiOTY1OS0wNTA1LTQxODItYTJlOC1lNzBkZjc3MzcxNWY6NWEzNTNjZjc3OGJhNTI1YzY1NjAxNzA1NDAwNzA0ZmE6MQ==</t>
        </is>
      </c>
      <c r="O318" t="inlineStr">
        <is>
          <t>1</t>
        </is>
      </c>
      <c r="P318" t="inlineStr">
        <is>
          <t>或签任务</t>
        </is>
      </c>
      <c r="Q318" t="inlineStr">
        <is>
          <t>0</t>
        </is>
      </c>
      <c r="R318" t="inlineStr">
        <is>
          <t>龚政涛,Decay,朱金标</t>
        </is>
      </c>
      <c r="S318" s="4"/>
      <c r="T318" s="3" t="str">
        <f>=HYPERLINK("https://applink.feishu.cn/client/todo/task_list?guid=4d92b9af-66d1-4cd7-95d1-4b753a64ca6b", "跃入迷城")</f>
        <v>跃入迷城</v>
      </c>
      <c r="U318" t="inlineStr">
        <is>
          <t>4d92b9af-66d1-4cd7-95d1-4b753a64ca6b</t>
        </is>
      </c>
      <c r="V318" t="inlineStr">
        <is>
          <t>e71b9659-0505-4182-a2e8-e70df773715f</t>
        </is>
      </c>
      <c r="W318"/>
      <c r="X318" t="inlineStr">
        <is>
          <t>350a3a9a-342b-4547-8bf1-61f409611911</t>
        </is>
      </c>
      <c r="Y318"/>
      <c r="Z318" t="inlineStr">
        <is>
          <t>0.0.5</t>
        </is>
      </c>
      <c r="AA318" t="inlineStr">
        <is>
          <t>装备</t>
        </is>
      </c>
      <c r="AB318"/>
      <c r="AC318" t="inlineStr">
        <is>
          <t>P0 - Must (not) Have</t>
        </is>
      </c>
      <c r="AD318" t="inlineStr">
        <is>
          <t>🛠️技术</t>
        </is>
      </c>
      <c r="AE318"/>
    </row>
    <row r="319" ht="25.5" customHeight="1">
      <c xml:space="preserve" r="A319" s="3" t="str">
        <f>=HYPERLINK("https://applink.feishu.cn/client/todo/detail?guid=d3433274-fd98-4367-9d04-1998c696fe95&amp;suite_entity_num=t100753", "🪡修改：关卡的布局进行了调整，现在关卡内的动线和敌人布置会变得更合理 ")</f>
        <v>🪡修改：关卡的布局进行了调整，现在关卡内的动线和敌人布置会变得更合理 </v>
      </c>
      <c r="B319"/>
      <c r="C319" t="inlineStr">
        <is>
          <t>默认分组</t>
        </is>
      </c>
      <c r="D319"/>
      <c r="E319">
        <v>0.5</v>
      </c>
      <c r="F319" t="inlineStr">
        <is>
          <t>龚政涛</t>
        </is>
      </c>
      <c r="G319" t="inlineStr">
        <is>
          <t>龚政涛</t>
        </is>
      </c>
      <c r="H319" s="4">
        <v>45796.79491898148</v>
      </c>
      <c r="I319" s="4"/>
      <c r="J319" s="4"/>
      <c r="K319" s="4">
        <v>45950.40827546296</v>
      </c>
      <c r="L319">
        <v>2</v>
      </c>
      <c r="M319">
        <v>0</v>
      </c>
      <c r="N319" t="inlineStr">
        <is>
          <t>NzQxMzM4ODg5NzkxNDY2NzAwOTpkMzQzMzI3NC1mZDk4LTQzNjctOWQwNC0xOTk4YzY5NmZlOTU6OGFiOTU5NjU5ODhmMDk5NWE0NDk4OWY4YmQ4M2JhMDk6MQ==</t>
        </is>
      </c>
      <c r="O319" t="inlineStr">
        <is>
          <t>0</t>
        </is>
      </c>
      <c r="P319" t="inlineStr">
        <is>
          <t>或签任务</t>
        </is>
      </c>
      <c r="Q319" t="inlineStr">
        <is>
          <t>0</t>
        </is>
      </c>
      <c r="R319" t="inlineStr">
        <is>
          <t>梁旭铖,龚政涛,rio</t>
        </is>
      </c>
      <c r="S319" s="4"/>
      <c r="T319" s="3" t="str">
        <f>=HYPERLINK("https://applink.feishu.cn/client/todo/task_list?guid=4d92b9af-66d1-4cd7-95d1-4b753a64ca6b", "跃入迷城")</f>
        <v>跃入迷城</v>
      </c>
      <c r="U319" t="inlineStr">
        <is>
          <t>4d92b9af-66d1-4cd7-95d1-4b753a64ca6b</t>
        </is>
      </c>
      <c r="V319" t="inlineStr">
        <is>
          <t>d3433274-fd98-4367-9d04-1998c696fe95</t>
        </is>
      </c>
      <c r="W319"/>
      <c r="X319"/>
      <c r="Y319"/>
      <c r="Z319" t="inlineStr">
        <is>
          <t>0.0.5</t>
        </is>
      </c>
      <c r="AA319" t="inlineStr">
        <is>
          <t>关卡</t>
        </is>
      </c>
      <c r="AB319" t="inlineStr">
        <is>
          <t>已拆分</t>
        </is>
      </c>
      <c r="AC319" t="inlineStr">
        <is>
          <t>P0 - Must (not) Have</t>
        </is>
      </c>
      <c r="AD319"/>
      <c r="AE319"/>
    </row>
    <row r="320" ht="25.5" customHeight="1">
      <c r="A320" s="3" t="str">
        <f>=HYPERLINK("https://applink.feishu.cn/client/todo/detail?guid=284b0e2f-a6a4-4a4e-99e6-7ed52fccfbc0&amp;suite_entity_num=t100751", "✨新增：受到生命值伤害现在会缓慢扣减“虚血”")</f>
        <v>✨新增：受到生命值伤害现在会缓慢扣减“虚血”</v>
      </c>
      <c r="B320"/>
      <c r="C320" t="inlineStr">
        <is>
          <t>默认分组</t>
        </is>
      </c>
      <c r="D320"/>
      <c r="E320"/>
      <c r="F320" t="inlineStr">
        <is>
          <t>Decay</t>
        </is>
      </c>
      <c r="G320" t="inlineStr">
        <is>
          <t>龚政涛</t>
        </is>
      </c>
      <c r="H320" s="4">
        <v>45796.79361111111</v>
      </c>
      <c r="I320" s="4">
        <v>45796.794074074074</v>
      </c>
      <c r="J320" s="4"/>
      <c r="K320" s="4">
        <v>45796.794074074074</v>
      </c>
      <c r="L320">
        <v>0</v>
      </c>
      <c r="M320">
        <v>0</v>
      </c>
      <c r="N320" t="inlineStr">
        <is>
          <t>NzQxMzM4ODg5NzkxNDY2NzAwOToyODRiMGUyZi1hNmE0LTRhNGUtOTllNi03ZWQ1MmZjY2ZiYzA6ODdhM2E4NmFmZjgzMzVmM2I2NThkODg0NWNiN2Q4NDc6MQ==</t>
        </is>
      </c>
      <c r="O320" t="inlineStr">
        <is>
          <t>1</t>
        </is>
      </c>
      <c r="P320" t="inlineStr">
        <is>
          <t>或签任务</t>
        </is>
      </c>
      <c r="Q320" t="inlineStr">
        <is>
          <t>0</t>
        </is>
      </c>
      <c r="R320" t="inlineStr">
        <is>
          <t>龚政涛,Decay</t>
        </is>
      </c>
      <c r="S320" s="4"/>
      <c r="T320" s="3" t="str">
        <f>=HYPERLINK("https://applink.feishu.cn/client/todo/task_list?guid=4d92b9af-66d1-4cd7-95d1-4b753a64ca6b", "跃入迷城")</f>
        <v>跃入迷城</v>
      </c>
      <c r="U320" t="inlineStr">
        <is>
          <t>4d92b9af-66d1-4cd7-95d1-4b753a64ca6b</t>
        </is>
      </c>
      <c r="V320" t="inlineStr">
        <is>
          <t>284b0e2f-a6a4-4a4e-99e6-7ed52fccfbc0</t>
        </is>
      </c>
      <c r="W320"/>
      <c r="X320"/>
      <c r="Y320"/>
      <c r="Z320" t="inlineStr">
        <is>
          <t>0.0.5</t>
        </is>
      </c>
      <c r="AA320" t="inlineStr">
        <is>
          <t>角色</t>
        </is>
      </c>
      <c r="AB320" t="inlineStr">
        <is>
          <t>已完成</t>
        </is>
      </c>
      <c r="AC320" t="inlineStr">
        <is>
          <t>P2 - Nice to Have</t>
        </is>
      </c>
      <c r="AD320"/>
      <c r="AE320"/>
    </row>
    <row r="321" ht="25.5" customHeight="1">
      <c r="A321" s="3" t="str">
        <f>=HYPERLINK("https://applink.feishu.cn/client/todo/detail?guid=d625e603-ec3f-47f5-9acc-c59eb7a36ba3&amp;suite_entity_num=t100757", "光学迷彩 / 光学扭曲 / 蜃影步")</f>
        <v>光学迷彩 / 光学扭曲 / 蜃影步</v>
      </c>
      <c r="B321"/>
      <c r="C321" t="inlineStr">
        <is>
          <t>默认分组</t>
        </is>
      </c>
      <c r="D321"/>
      <c r="E321"/>
      <c r="F321" t="inlineStr">
        <is>
          <t>Decay</t>
        </is>
      </c>
      <c r="G321" t="inlineStr">
        <is>
          <t>Decay</t>
        </is>
      </c>
      <c r="H321" s="4">
        <v>45798.843773148146</v>
      </c>
      <c r="I321" s="4">
        <v>45812.439618055556</v>
      </c>
      <c r="J321" s="4"/>
      <c r="K321" s="4">
        <v>45874.40425925926</v>
      </c>
      <c r="L321">
        <v>0</v>
      </c>
      <c r="M321">
        <v>1</v>
      </c>
      <c r="N321" t="inlineStr">
        <is>
          <t>NzQxMzM4ODg5NzkxNDY2NzAwOTpkNjI1ZTYwMy1lYzNmLTQ3ZjUtOWFjYy1jNTllYjdhMzZiYTM6OGEyMWM2ZGUyZDRlOGNlY2ZkNTgxNjM4NTgyM2Q0YzA6MQ==</t>
        </is>
      </c>
      <c r="O321" t="inlineStr">
        <is>
          <t>1</t>
        </is>
      </c>
      <c r="P321" t="inlineStr">
        <is>
          <t>或签任务</t>
        </is>
      </c>
      <c r="Q321" t="inlineStr">
        <is>
          <t>0</t>
        </is>
      </c>
      <c r="R321" t="inlineStr">
        <is>
          <t>Decay,龚政涛</t>
        </is>
      </c>
      <c r="S321" s="4"/>
      <c r="T321" s="3" t="str">
        <f>=HYPERLINK("https://applink.feishu.cn/client/todo/task_list?guid=4d92b9af-66d1-4cd7-95d1-4b753a64ca6b", "跃入迷城")</f>
        <v>跃入迷城</v>
      </c>
      <c r="U321" t="inlineStr">
        <is>
          <t>4d92b9af-66d1-4cd7-95d1-4b753a64ca6b</t>
        </is>
      </c>
      <c r="V321" t="inlineStr">
        <is>
          <t>d625e603-ec3f-47f5-9acc-c59eb7a36ba3</t>
        </is>
      </c>
      <c r="W321"/>
      <c r="X321"/>
      <c r="Y321"/>
      <c r="Z321" t="inlineStr">
        <is>
          <t>0.0.5</t>
        </is>
      </c>
      <c r="AA321" t="inlineStr">
        <is>
          <t>技能</t>
        </is>
      </c>
      <c r="AB321" t="inlineStr">
        <is>
          <t>已完成</t>
        </is>
      </c>
      <c r="AC321" t="inlineStr">
        <is>
          <t>P1 - Bigger the Better</t>
        </is>
      </c>
      <c r="AD321" t="inlineStr">
        <is>
          <t>🎮玩法</t>
        </is>
      </c>
      <c r="AE321"/>
    </row>
    <row r="322" ht="25.5" customHeight="1">
      <c r="A322" s="3" t="str">
        <f>=HYPERLINK("https://applink.feishu.cn/client/todo/detail?guid=219f8d42-1902-4ffe-a63c-f881c1fb449a&amp;suite_entity_num=t100787", "义体技能 - 无声夜 / 影戏")</f>
        <v>义体技能 - 无声夜 / 影戏</v>
      </c>
      <c r="B322"/>
      <c r="C322" t="inlineStr">
        <is>
          <t>默认分组</t>
        </is>
      </c>
      <c r="D322"/>
      <c r="E322"/>
      <c r="F322" t="inlineStr">
        <is>
          <t>Decay</t>
        </is>
      </c>
      <c r="G322" t="inlineStr">
        <is>
          <t>Decay</t>
        </is>
      </c>
      <c r="H322" s="4">
        <v>45799.89616898148</v>
      </c>
      <c r="I322" s="4">
        <v>45812.43966435185</v>
      </c>
      <c r="J322" s="4"/>
      <c r="K322" s="4">
        <v>45874.404270833336</v>
      </c>
      <c r="L322">
        <v>0</v>
      </c>
      <c r="M322">
        <v>1</v>
      </c>
      <c r="N322" t="inlineStr">
        <is>
          <t>NzQxMzM4ODg5NzkxNDY2NzAwOToyMTlmOGQ0Mi0xOTAyLTRmZmUtYTYzYy1mODgxYzFmYjQ0OWE6MzJiNTdhNWI2ZWViOGI5ZWQ0ZTFlZDUyYWNkZDZmNDk6MQ==</t>
        </is>
      </c>
      <c r="O322" t="inlineStr">
        <is>
          <t>1</t>
        </is>
      </c>
      <c r="P322" t="inlineStr">
        <is>
          <t>或签任务</t>
        </is>
      </c>
      <c r="Q322" t="inlineStr">
        <is>
          <t>0</t>
        </is>
      </c>
      <c r="R322" t="inlineStr">
        <is>
          <t>龚政涛,Decay</t>
        </is>
      </c>
      <c r="S322" s="4"/>
      <c r="T322" s="3" t="str">
        <f>=HYPERLINK("https://applink.feishu.cn/client/todo/task_list?guid=4d92b9af-66d1-4cd7-95d1-4b753a64ca6b", "跃入迷城")</f>
        <v>跃入迷城</v>
      </c>
      <c r="U322" t="inlineStr">
        <is>
          <t>4d92b9af-66d1-4cd7-95d1-4b753a64ca6b</t>
        </is>
      </c>
      <c r="V322" t="inlineStr">
        <is>
          <t>219f8d42-1902-4ffe-a63c-f881c1fb449a</t>
        </is>
      </c>
      <c r="W322"/>
      <c r="X322"/>
      <c r="Y322"/>
      <c r="Z322" t="inlineStr">
        <is>
          <t>0.0.5</t>
        </is>
      </c>
      <c r="AA322" t="inlineStr">
        <is>
          <t>技能</t>
        </is>
      </c>
      <c r="AB322" t="inlineStr">
        <is>
          <t>已完成</t>
        </is>
      </c>
      <c r="AC322" t="inlineStr">
        <is>
          <t>P1 - Bigger the Better</t>
        </is>
      </c>
      <c r="AD322" t="inlineStr">
        <is>
          <t>🎮玩法</t>
        </is>
      </c>
      <c r="AE322"/>
    </row>
    <row r="323" ht="25.5" customHeight="1">
      <c r="A323" s="3" t="str">
        <f>=HYPERLINK("https://applink.feishu.cn/client/todo/detail?guid=36440482-4200-4309-ba25-821b89d9ec28&amp;suite_entity_num=t100789", "义体技能 - 匿踪大师")</f>
        <v>义体技能 - 匿踪大师</v>
      </c>
      <c r="B323"/>
      <c r="C323" t="inlineStr">
        <is>
          <t>默认分组</t>
        </is>
      </c>
      <c r="D323"/>
      <c r="E323"/>
      <c r="F323" t="inlineStr">
        <is>
          <t>Decay</t>
        </is>
      </c>
      <c r="G323" t="inlineStr">
        <is>
          <t>Decay</t>
        </is>
      </c>
      <c r="H323" s="4">
        <v>45800.67925925926</v>
      </c>
      <c r="I323" s="4">
        <v>45812.43953703704</v>
      </c>
      <c r="J323" s="4"/>
      <c r="K323" s="4">
        <v>45874.404282407406</v>
      </c>
      <c r="L323">
        <v>0</v>
      </c>
      <c r="M323">
        <v>1</v>
      </c>
      <c r="N323" t="inlineStr">
        <is>
          <t>NzQxMzM4ODg5NzkxNDY2NzAwOTozNjQ0MDQ4Mi00MjAwLTQzMDktYmEyNS04MjFiODlkOWVjMjg6NjQ3N2Q1YTBiMWIzYzcxNjA4ZjU4OGJmY2YzOTIyMmY6MQ==</t>
        </is>
      </c>
      <c r="O323" t="inlineStr">
        <is>
          <t>1</t>
        </is>
      </c>
      <c r="P323" t="inlineStr">
        <is>
          <t>或签任务</t>
        </is>
      </c>
      <c r="Q323" t="inlineStr">
        <is>
          <t>0</t>
        </is>
      </c>
      <c r="R323" t="inlineStr">
        <is>
          <t>龚政涛,Decay</t>
        </is>
      </c>
      <c r="S323" s="4"/>
      <c r="T323" s="3" t="str">
        <f>=HYPERLINK("https://applink.feishu.cn/client/todo/task_list?guid=4d92b9af-66d1-4cd7-95d1-4b753a64ca6b", "跃入迷城")</f>
        <v>跃入迷城</v>
      </c>
      <c r="U323" t="inlineStr">
        <is>
          <t>4d92b9af-66d1-4cd7-95d1-4b753a64ca6b</t>
        </is>
      </c>
      <c r="V323" t="inlineStr">
        <is>
          <t>36440482-4200-4309-ba25-821b89d9ec28</t>
        </is>
      </c>
      <c r="W323"/>
      <c r="X323"/>
      <c r="Y323"/>
      <c r="Z323" t="inlineStr">
        <is>
          <t>0.0.5</t>
        </is>
      </c>
      <c r="AA323" t="inlineStr">
        <is>
          <t>技能</t>
        </is>
      </c>
      <c r="AB323" t="inlineStr">
        <is>
          <t>已完成</t>
        </is>
      </c>
      <c r="AC323" t="inlineStr">
        <is>
          <t>P1 - Bigger the Better</t>
        </is>
      </c>
      <c r="AD323" t="inlineStr">
        <is>
          <t>🎮玩法</t>
        </is>
      </c>
      <c r="AE323"/>
    </row>
    <row r="324" ht="25.5" customHeight="1">
      <c xml:space="preserve" r="A324" s="3" t="str">
        <f>=HYPERLINK("https://applink.feishu.cn/client/todo/detail?guid=33acb82f-b9b1-4ebe-aa2f-a587ffd97005&amp;suite_entity_num=t100771", "🪡修改：更新了战争迷雾区域的视觉效果，现在战争迷雾会正确遮挡未经过的房间内的对象 ")</f>
        <v>🪡修改：更新了战争迷雾区域的视觉效果，现在战争迷雾会正确遮挡未经过的房间内的对象 </v>
      </c>
      <c r="B324"/>
      <c r="C324" t="inlineStr">
        <is>
          <t>默认分组</t>
        </is>
      </c>
      <c r="D324"/>
      <c r="E324">
        <v>0.5</v>
      </c>
      <c r="F324" t="inlineStr">
        <is>
          <t>Decay</t>
        </is>
      </c>
      <c r="G324" t="inlineStr">
        <is>
          <t>龚政涛</t>
        </is>
      </c>
      <c r="H324" s="4">
        <v>45799.67628472222</v>
      </c>
      <c r="I324" s="4"/>
      <c r="J324" s="4"/>
      <c r="K324" s="4">
        <v>45890.97552083333</v>
      </c>
      <c r="L324">
        <v>2</v>
      </c>
      <c r="M324">
        <v>0</v>
      </c>
      <c r="N324" t="inlineStr">
        <is>
          <t>NzQxMzM4ODg5NzkxNDY2NzAwOTozM2FjYjgyZi1iOWIxLTRlYmUtYWEyZi1hNTg3ZmZkOTcwMDU6MjgwZjExMThiNzdkMzllM2E1ZjFkZTQ0MWFmODQ5MGM6MQ==</t>
        </is>
      </c>
      <c r="O324" t="inlineStr">
        <is>
          <t>0</t>
        </is>
      </c>
      <c r="P324" t="inlineStr">
        <is>
          <t>或签任务</t>
        </is>
      </c>
      <c r="Q324" t="inlineStr">
        <is>
          <t>0</t>
        </is>
      </c>
      <c r="R324" t="inlineStr">
        <is>
          <t>龚政涛,林雪菲,Decay</t>
        </is>
      </c>
      <c r="S324" s="4">
        <v>45901.333333333336</v>
      </c>
      <c r="T324" s="3" t="str">
        <f>=HYPERLINK("https://applink.feishu.cn/client/todo/task_list?guid=4d92b9af-66d1-4cd7-95d1-4b753a64ca6b", "跃入迷城")</f>
        <v>跃入迷城</v>
      </c>
      <c r="U324" t="inlineStr">
        <is>
          <t>4d92b9af-66d1-4cd7-95d1-4b753a64ca6b</t>
        </is>
      </c>
      <c r="V324" t="inlineStr">
        <is>
          <t>33acb82f-b9b1-4ebe-aa2f-a587ffd97005</t>
        </is>
      </c>
      <c r="W324"/>
      <c r="X324"/>
      <c r="Y324"/>
      <c r="Z324" t="inlineStr">
        <is>
          <t>0.0.5</t>
        </is>
      </c>
      <c r="AA324" t="inlineStr">
        <is>
          <t>镜头</t>
        </is>
      </c>
      <c r="AB324" t="inlineStr">
        <is>
          <t>未开始</t>
        </is>
      </c>
      <c r="AC324" t="inlineStr">
        <is>
          <t>P1 - Bigger the Better</t>
        </is>
      </c>
      <c r="AD324"/>
      <c r="AE324"/>
    </row>
    <row r="325" ht="25.5" customHeight="1">
      <c xml:space="preserve" r="A325" s="3" t="str">
        <f>=HYPERLINK("https://applink.feishu.cn/client/todo/detail?guid=bd00776b-29ef-441a-b8a7-3bfc457d836b&amp;suite_entity_num=t100794", "✨新增：现在游戏可以调整画质选项了，可以在更低配置的设备上运行 ")</f>
        <v>✨新增：现在游戏可以调整画质选项了，可以在更低配置的设备上运行 </v>
      </c>
      <c r="B325"/>
      <c r="C325" t="inlineStr">
        <is>
          <t>默认分组</t>
        </is>
      </c>
      <c r="D325"/>
      <c r="E325"/>
      <c r="F325" t="inlineStr">
        <is>
          <t>Decay</t>
        </is>
      </c>
      <c r="G325" t="inlineStr">
        <is>
          <t>龚政涛</t>
        </is>
      </c>
      <c r="H325" s="4">
        <v>45800.778344907405</v>
      </c>
      <c r="I325" s="4"/>
      <c r="J325" s="4"/>
      <c r="K325" s="4">
        <v>45896.50083333333</v>
      </c>
      <c r="L325">
        <v>0</v>
      </c>
      <c r="M325">
        <v>0</v>
      </c>
      <c r="N325" t="inlineStr">
        <is>
          <t>NzQxMzM4ODg5NzkxNDY2NzAwOTpiZDAwNzc2Yi0yOWVmLTQ0MWEtYjhhNy0zYmZjNDU3ZDgzNmI6ZWQxMmFjOWVjZGFmMzYwMmYyNzAwNjliYTRmYjgzYWY6MQ==</t>
        </is>
      </c>
      <c r="O325" t="inlineStr">
        <is>
          <t>0</t>
        </is>
      </c>
      <c r="P325" t="inlineStr">
        <is>
          <t>或签任务</t>
        </is>
      </c>
      <c r="Q325" t="inlineStr">
        <is>
          <t>0</t>
        </is>
      </c>
      <c r="R325" t="inlineStr">
        <is>
          <t>龚政涛,Decay</t>
        </is>
      </c>
      <c r="S325" s="4"/>
      <c r="T325" s="3" t="str">
        <f>=HYPERLINK("https://applink.feishu.cn/client/todo/task_list?guid=4d92b9af-66d1-4cd7-95d1-4b753a64ca6b", "跃入迷城")</f>
        <v>跃入迷城</v>
      </c>
      <c r="U325" t="inlineStr">
        <is>
          <t>4d92b9af-66d1-4cd7-95d1-4b753a64ca6b</t>
        </is>
      </c>
      <c r="V325" t="inlineStr">
        <is>
          <t>bd00776b-29ef-441a-b8a7-3bfc457d836b</t>
        </is>
      </c>
      <c r="W325"/>
      <c r="X325"/>
      <c r="Y325"/>
      <c r="Z325" t="inlineStr">
        <is>
          <t>0.0.5</t>
        </is>
      </c>
      <c r="AA325" t="inlineStr">
        <is>
          <t>程序底层</t>
        </is>
      </c>
      <c r="AB325" t="inlineStr">
        <is>
          <t>已拆分</t>
        </is>
      </c>
      <c r="AC325" t="inlineStr">
        <is>
          <t>P2 - Nice to Have</t>
        </is>
      </c>
      <c r="AD325" t="inlineStr">
        <is>
          <t>🛠️技术</t>
        </is>
      </c>
      <c r="AE325"/>
    </row>
    <row r="326" ht="25.5" customHeight="1">
      <c r="A326" s="3" t="str">
        <f>=HYPERLINK("https://applink.feishu.cn/client/todo/detail?guid=ab37eb99-89b0-4b2e-891d-d88034917b55&amp;suite_entity_num=t100776", "🪡修改：完成关卡的视觉效果从红灯提示改为了开阔视野")</f>
        <v>🪡修改：完成关卡的视觉效果从红灯提示改为了开阔视野</v>
      </c>
      <c r="B326"/>
      <c r="C326" t="inlineStr">
        <is>
          <t>默认分组</t>
        </is>
      </c>
      <c r="D326"/>
      <c r="E326"/>
      <c r="F326" t="inlineStr">
        <is>
          <t>Decay,龚政涛</t>
        </is>
      </c>
      <c r="G326" t="inlineStr">
        <is>
          <t>龚政涛</t>
        </is>
      </c>
      <c r="H326" s="4">
        <v>45799.68696759259</v>
      </c>
      <c r="I326" s="4">
        <v>45890.478541666664</v>
      </c>
      <c r="J326" s="4">
        <v>45901.333333333336</v>
      </c>
      <c r="K326" s="4">
        <v>45890.47855324074</v>
      </c>
      <c r="L326">
        <v>0</v>
      </c>
      <c r="M326">
        <v>2</v>
      </c>
      <c r="N326" t="inlineStr">
        <is>
          <t>NzQxMzM4ODg5NzkxNDY2NzAwOTphYjM3ZWI5OS04OWIwLTRiMmUtODkxZC1kODgwMzQ5MTdiNTU6ZGJiMzMxOGQyNmZkMjNlNWVlNWEwNDc0YjEyMzM3NzA6MQ==</t>
        </is>
      </c>
      <c r="O326" t="inlineStr">
        <is>
          <t>1</t>
        </is>
      </c>
      <c r="P326" t="inlineStr">
        <is>
          <t>或签任务</t>
        </is>
      </c>
      <c r="Q326" t="inlineStr">
        <is>
          <t>0</t>
        </is>
      </c>
      <c r="R326" t="inlineStr">
        <is>
          <t>Decay,龚政涛</t>
        </is>
      </c>
      <c r="S326" s="4"/>
      <c r="T326" s="3" t="str">
        <f>=HYPERLINK("https://applink.feishu.cn/client/todo/task_list?guid=4d92b9af-66d1-4cd7-95d1-4b753a64ca6b", "跃入迷城")</f>
        <v>跃入迷城</v>
      </c>
      <c r="U326" t="inlineStr">
        <is>
          <t>4d92b9af-66d1-4cd7-95d1-4b753a64ca6b</t>
        </is>
      </c>
      <c r="V326" t="inlineStr">
        <is>
          <t>ab37eb99-89b0-4b2e-891d-d88034917b55</t>
        </is>
      </c>
      <c r="W326"/>
      <c r="X326"/>
      <c r="Y326"/>
      <c r="Z326" t="inlineStr">
        <is>
          <t>0.0.5</t>
        </is>
      </c>
      <c r="AA326" t="inlineStr">
        <is>
          <t>关卡</t>
        </is>
      </c>
      <c r="AB326" t="inlineStr">
        <is>
          <t>已完成</t>
        </is>
      </c>
      <c r="AC326" t="inlineStr">
        <is>
          <t>P1 - Bigger the Better</t>
        </is>
      </c>
      <c r="AD326" t="inlineStr">
        <is>
          <t>🎮玩法</t>
        </is>
      </c>
      <c r="AE326"/>
    </row>
    <row r="327" ht="25.5" customHeight="1">
      <c xml:space="preserve" r="A327" s="3" t="str">
        <f>=HYPERLINK("https://applink.feishu.cn/client/todo/detail?guid=a5cf62f3-364e-4178-813c-251c25ca3aea&amp;suite_entity_num=t100772", "✨新增：战斗状态下的鼠标指针UI，现在鼠标指针会随远程武器后坐力扩散，且会提示攻击和击中，带来更好的反馈和手感 ")</f>
        <v>✨新增：战斗状态下的鼠标指针UI，现在鼠标指针会随远程武器后坐力扩散，且会提示攻击和击中，带来更好的反馈和手感 </v>
      </c>
      <c r="B327"/>
      <c r="C327" t="inlineStr">
        <is>
          <t>默认分组</t>
        </is>
      </c>
      <c r="D327"/>
      <c r="E327"/>
      <c r="F327" t="inlineStr">
        <is>
          <t>Decay</t>
        </is>
      </c>
      <c r="G327" t="inlineStr">
        <is>
          <t>龚政涛</t>
        </is>
      </c>
      <c r="H327" s="4">
        <v>45799.676620370374</v>
      </c>
      <c r="I327" s="4">
        <v>45810.91621527778</v>
      </c>
      <c r="J327" s="4"/>
      <c r="K327" s="4">
        <v>45868.03761574074</v>
      </c>
      <c r="L327">
        <v>0</v>
      </c>
      <c r="M327">
        <v>1</v>
      </c>
      <c r="N327" t="inlineStr">
        <is>
          <t>NzQxMzM4ODg5NzkxNDY2NzAwOTphNWNmNjJmMy0zNjRlLTQxNzgtODEzYy0yNTFjMjVjYTNhZWE6MWRjZjNiMzM5NmRhZTA2OGYyYzQ4NDliNTU2OTU3ZGM6MQ==</t>
        </is>
      </c>
      <c r="O327" t="inlineStr">
        <is>
          <t>1</t>
        </is>
      </c>
      <c r="P327" t="inlineStr">
        <is>
          <t>或签任务</t>
        </is>
      </c>
      <c r="Q327" t="inlineStr">
        <is>
          <t>0</t>
        </is>
      </c>
      <c r="R327" t="inlineStr">
        <is>
          <t>Decay,龚政涛</t>
        </is>
      </c>
      <c r="S327" s="4"/>
      <c r="T327" s="3" t="str">
        <f>=HYPERLINK("https://applink.feishu.cn/client/todo/task_list?guid=4d92b9af-66d1-4cd7-95d1-4b753a64ca6b", "跃入迷城")</f>
        <v>跃入迷城</v>
      </c>
      <c r="U327" t="inlineStr">
        <is>
          <t>4d92b9af-66d1-4cd7-95d1-4b753a64ca6b</t>
        </is>
      </c>
      <c r="V327" t="inlineStr">
        <is>
          <t>a5cf62f3-364e-4178-813c-251c25ca3aea</t>
        </is>
      </c>
      <c r="W327"/>
      <c r="X327"/>
      <c r="Y327"/>
      <c r="Z327" t="inlineStr">
        <is>
          <t>0.0.5</t>
        </is>
      </c>
      <c r="AA327" t="inlineStr">
        <is>
          <t>操作</t>
        </is>
      </c>
      <c r="AB327" t="inlineStr">
        <is>
          <t>已完成</t>
        </is>
      </c>
      <c r="AC327" t="inlineStr">
        <is>
          <t>P0 - Must (not) Have</t>
        </is>
      </c>
      <c r="AD327" t="inlineStr">
        <is>
          <t>🎮玩法</t>
        </is>
      </c>
      <c r="AE327"/>
    </row>
    <row r="328" ht="25.5" customHeight="1">
      <c xml:space="preserve" r="A328" s="3" t="str">
        <f>=HYPERLINK("https://applink.feishu.cn/client/todo/detail?guid=a05eb32e-9d1e-43b8-b15f-f22f00e964dd&amp;suite_entity_num=t100793", "✨新增：游戏中新增了设置选单 ")</f>
        <v>✨新增：游戏中新增了设置选单 </v>
      </c>
      <c r="B328"/>
      <c r="C328" t="inlineStr">
        <is>
          <t>默认分组</t>
        </is>
      </c>
      <c r="D328"/>
      <c r="E328"/>
      <c r="F328" t="inlineStr">
        <is>
          <t>郭斯已</t>
        </is>
      </c>
      <c r="G328" t="inlineStr">
        <is>
          <t>龚政涛</t>
        </is>
      </c>
      <c r="H328" s="4">
        <v>45800.77825231481</v>
      </c>
      <c r="I328" s="4"/>
      <c r="J328" s="4">
        <v>45923.333333333336</v>
      </c>
      <c r="K328" s="4">
        <v>45895.501921296294</v>
      </c>
      <c r="L328">
        <v>0</v>
      </c>
      <c r="M328">
        <v>0</v>
      </c>
      <c r="N328" t="inlineStr">
        <is>
          <t>NzQxMzM4ODg5NzkxNDY2NzAwOTphMDVlYjMyZS05ZDFlLTQzYjgtYjE1Zi1mMjJmMDBlOTY0ZGQ6NTc0ZmY3ZWJkOGUyZGNjOGNhNWZmMDE1MGQ0NTMyM2M6MQ==</t>
        </is>
      </c>
      <c r="O328" t="inlineStr">
        <is>
          <t>0</t>
        </is>
      </c>
      <c r="P328" t="inlineStr">
        <is>
          <t>或签任务</t>
        </is>
      </c>
      <c r="Q328" t="inlineStr">
        <is>
          <t>0</t>
        </is>
      </c>
      <c r="R328" t="inlineStr">
        <is>
          <t>小林🍃,郭斯已,龚政涛,Decay</t>
        </is>
      </c>
      <c r="S328" s="4">
        <v>45922.333333333336</v>
      </c>
      <c r="T328" s="3" t="str">
        <f>=HYPERLINK("https://applink.feishu.cn/client/todo/task_list?guid=4d92b9af-66d1-4cd7-95d1-4b753a64ca6b", "跃入迷城")</f>
        <v>跃入迷城</v>
      </c>
      <c r="U328" t="inlineStr">
        <is>
          <t>4d92b9af-66d1-4cd7-95d1-4b753a64ca6b</t>
        </is>
      </c>
      <c r="V328" t="inlineStr">
        <is>
          <t>a05eb32e-9d1e-43b8-b15f-f22f00e964dd</t>
        </is>
      </c>
      <c r="W328"/>
      <c r="X328" t="inlineStr">
        <is>
          <t>a09d162a-b9b4-426f-9dc5-ae92217417bc, 25fd384d-1784-4f88-a18d-0debe989ac18</t>
        </is>
      </c>
      <c r="Y328"/>
      <c r="Z328" t="inlineStr">
        <is>
          <t>0.0.5</t>
        </is>
      </c>
      <c r="AA328" t="inlineStr">
        <is>
          <t>UIUX</t>
        </is>
      </c>
      <c r="AB328" t="inlineStr">
        <is>
          <t>已拆分</t>
        </is>
      </c>
      <c r="AC328" t="inlineStr">
        <is>
          <t>P2 - Nice to Have</t>
        </is>
      </c>
      <c r="AD328" t="inlineStr">
        <is>
          <t>🎨艺术</t>
        </is>
      </c>
      <c r="AE328"/>
    </row>
    <row r="329" ht="25.5" customHeight="1">
      <c r="A329" s="3" t="str">
        <f>=HYPERLINK("https://applink.feishu.cn/client/todo/detail?guid=eb3864cf-41d8-4dc6-9bc3-911c11d8ba85&amp;suite_entity_num=t100797", "✨新增：玩家被墙壁遮挡时，会隐藏半墙优化视野")</f>
        <v>✨新增：玩家被墙壁遮挡时，会隐藏半墙优化视野</v>
      </c>
      <c r="B329"/>
      <c r="C329" t="inlineStr">
        <is>
          <t>默认分组</t>
        </is>
      </c>
      <c r="D329"/>
      <c r="E329">
        <v>0.17</v>
      </c>
      <c r="F329" t="inlineStr">
        <is>
          <t>Decay</t>
        </is>
      </c>
      <c r="G329" t="inlineStr">
        <is>
          <t>Decay</t>
        </is>
      </c>
      <c r="H329" s="4">
        <v>45805.86429398148</v>
      </c>
      <c r="I329" s="4"/>
      <c r="J329" s="4">
        <v>45918.333333333336</v>
      </c>
      <c r="K329" s="4">
        <v>45918.56017361111</v>
      </c>
      <c r="L329">
        <v>6</v>
      </c>
      <c r="M329">
        <v>21</v>
      </c>
      <c r="N329" t="inlineStr">
        <is>
          <t>NzQxMzM4ODg5NzkxNDY2NzAwOTplYjM4NjRjZi00MWQ4LTRkYzYtOWJjMy05MTFjMTFkOGJhODU6MGNmYTE0YTI4MzFlYWVmYzE0Njk5NmRkZTdhODUxY2Y6MQ==</t>
        </is>
      </c>
      <c r="O329" t="inlineStr">
        <is>
          <t>0</t>
        </is>
      </c>
      <c r="P329" t="inlineStr">
        <is>
          <t>或签任务</t>
        </is>
      </c>
      <c r="Q329" t="inlineStr">
        <is>
          <t>0</t>
        </is>
      </c>
      <c r="R329" t="inlineStr">
        <is>
          <t>Decay,龚政涛</t>
        </is>
      </c>
      <c r="S329" s="4">
        <v>45901.333333333336</v>
      </c>
      <c r="T329" s="3" t="str">
        <f>=HYPERLINK("https://applink.feishu.cn/client/todo/task_list?guid=4d92b9af-66d1-4cd7-95d1-4b753a64ca6b", "跃入迷城")</f>
        <v>跃入迷城</v>
      </c>
      <c r="U329" t="inlineStr">
        <is>
          <t>4d92b9af-66d1-4cd7-95d1-4b753a64ca6b</t>
        </is>
      </c>
      <c r="V329" t="inlineStr">
        <is>
          <t>eb3864cf-41d8-4dc6-9bc3-911c11d8ba85</t>
        </is>
      </c>
      <c r="W329"/>
      <c r="X329"/>
      <c r="Y329"/>
      <c r="Z329" t="inlineStr">
        <is>
          <t>0.0.5</t>
        </is>
      </c>
      <c r="AA329" t="inlineStr">
        <is>
          <t>关卡</t>
        </is>
      </c>
      <c r="AB329"/>
      <c r="AC329" t="inlineStr">
        <is>
          <t>P0 - Must (not) Have</t>
        </is>
      </c>
      <c r="AD329"/>
      <c r="AE329"/>
    </row>
    <row r="330" ht="25.5" customHeight="1">
      <c r="A330" s="3" t="str">
        <f>=HYPERLINK("https://applink.feishu.cn/client/todo/detail?guid=844a233e-0642-45a4-b91f-6845f28b7e2b&amp;suite_entity_num=t100798", "bIsInitial字段")</f>
        <v>bIsInitial字段</v>
      </c>
      <c r="B330"/>
      <c r="C330" t="inlineStr">
        <is>
          <t>默认分组</t>
        </is>
      </c>
      <c r="D330"/>
      <c r="E330"/>
      <c r="F330" t="inlineStr">
        <is>
          <t>Decay</t>
        </is>
      </c>
      <c r="G330" t="inlineStr">
        <is>
          <t>Decay</t>
        </is>
      </c>
      <c r="H330" s="4">
        <v>45806.689050925925</v>
      </c>
      <c r="I330" s="4">
        <v>45874.40293981481</v>
      </c>
      <c r="J330" s="4">
        <v>45863.333333333336</v>
      </c>
      <c r="K330" s="4">
        <v>45874.40293981481</v>
      </c>
      <c r="L330">
        <v>0</v>
      </c>
      <c r="M330">
        <v>1</v>
      </c>
      <c r="N330" t="inlineStr">
        <is>
          <t>NzQxMzM4ODg5NzkxNDY2NzAwOTo4NDRhMjMzZS0wNjQyLTQ1YTQtYjkxZi02ODQ1ZjI4YjdlMmI6NGYxNzAyN2ZjYzhmZTAyNDNkMzdjMDU1YzhiMjI1Nzc6MQ==</t>
        </is>
      </c>
      <c r="O330" t="inlineStr">
        <is>
          <t>1</t>
        </is>
      </c>
      <c r="P330" t="inlineStr">
        <is>
          <t>或签任务</t>
        </is>
      </c>
      <c r="Q330" t="inlineStr">
        <is>
          <t>0</t>
        </is>
      </c>
      <c r="R330" t="inlineStr">
        <is>
          <t>Decay,龚政涛</t>
        </is>
      </c>
      <c r="S330" s="4">
        <v>45863.333333333336</v>
      </c>
      <c r="T330" s="3" t="str">
        <f>=HYPERLINK("https://applink.feishu.cn/client/todo/task_list?guid=4d92b9af-66d1-4cd7-95d1-4b753a64ca6b", "跃入迷城")</f>
        <v>跃入迷城</v>
      </c>
      <c r="U330" t="inlineStr">
        <is>
          <t>4d92b9af-66d1-4cd7-95d1-4b753a64ca6b</t>
        </is>
      </c>
      <c r="V330" t="inlineStr">
        <is>
          <t>844a233e-0642-45a4-b91f-6845f28b7e2b</t>
        </is>
      </c>
      <c r="W330"/>
      <c r="X330"/>
      <c r="Y330"/>
      <c r="Z330" t="inlineStr">
        <is>
          <t>0.0.5</t>
        </is>
      </c>
      <c r="AA330" t="inlineStr">
        <is>
          <t>关卡</t>
        </is>
      </c>
      <c r="AB330" t="inlineStr">
        <is>
          <t>工作中</t>
        </is>
      </c>
      <c r="AC330"/>
      <c r="AD330" t="inlineStr">
        <is>
          <t>🛠️技术</t>
        </is>
      </c>
      <c r="AE330"/>
    </row>
    <row r="331" ht="25.5" customHeight="1">
      <c r="A331" s="3" t="str">
        <f>=HYPERLINK("https://applink.feishu.cn/client/todo/detail?guid=94053b96-27e0-4665-8c4f-c1d8136cf520&amp;suite_entity_num=t100799", "清关镜头拉远 / 移除关灯")</f>
        <v>清关镜头拉远 / 移除关灯</v>
      </c>
      <c r="B331"/>
      <c r="C331" t="inlineStr">
        <is>
          <t>默认分组</t>
        </is>
      </c>
      <c r="D331"/>
      <c r="E331"/>
      <c r="F331" t="inlineStr">
        <is>
          <t>Decay</t>
        </is>
      </c>
      <c r="G331" t="inlineStr">
        <is>
          <t>Decay</t>
        </is>
      </c>
      <c r="H331" s="4">
        <v>45806.69137731481</v>
      </c>
      <c r="I331" s="4">
        <v>45877.60631944444</v>
      </c>
      <c r="J331" s="4"/>
      <c r="K331" s="4">
        <v>45877.60633101852</v>
      </c>
      <c r="L331">
        <v>0</v>
      </c>
      <c r="M331">
        <v>1</v>
      </c>
      <c r="N331" t="inlineStr">
        <is>
          <t>NzQxMzM4ODg5NzkxNDY2NzAwOTo5NDA1M2I5Ni0yN2UwLTQ2NjUtOGM0Zi1jMWQ4MTM2Y2Y1MjA6YzE5M2Y1ZmJmZTJkYThjZjQ1ZWQ2ZGM5NmZjY2VlMjI6MQ==</t>
        </is>
      </c>
      <c r="O331" t="inlineStr">
        <is>
          <t>1</t>
        </is>
      </c>
      <c r="P331" t="inlineStr">
        <is>
          <t>或签任务</t>
        </is>
      </c>
      <c r="Q331" t="inlineStr">
        <is>
          <t>0</t>
        </is>
      </c>
      <c r="R331" t="inlineStr">
        <is>
          <t>Decay,龚政涛</t>
        </is>
      </c>
      <c r="S331" s="4"/>
      <c r="T331" s="3" t="str">
        <f>=HYPERLINK("https://applink.feishu.cn/client/todo/task_list?guid=4d92b9af-66d1-4cd7-95d1-4b753a64ca6b", "跃入迷城")</f>
        <v>跃入迷城</v>
      </c>
      <c r="U331" t="inlineStr">
        <is>
          <t>4d92b9af-66d1-4cd7-95d1-4b753a64ca6b</t>
        </is>
      </c>
      <c r="V331" t="inlineStr">
        <is>
          <t>94053b96-27e0-4665-8c4f-c1d8136cf520</t>
        </is>
      </c>
      <c r="W331"/>
      <c r="X331"/>
      <c r="Y331"/>
      <c r="Z331" t="inlineStr">
        <is>
          <t>0.0.5</t>
        </is>
      </c>
      <c r="AA331" t="inlineStr">
        <is>
          <t>镜头</t>
        </is>
      </c>
      <c r="AB331" t="inlineStr">
        <is>
          <t>待验证</t>
        </is>
      </c>
      <c r="AC331"/>
      <c r="AD331" t="inlineStr">
        <is>
          <t>🛠️技术</t>
        </is>
      </c>
      <c r="AE331"/>
    </row>
    <row r="332" ht="25.5" customHeight="1">
      <c r="A332" s="3" t="str">
        <f>=HYPERLINK("https://applink.feishu.cn/client/todo/detail?guid=9386e3ad-53de-4fe7-8cb0-ffcf0d51c147&amp;suite_entity_num=t100800", "增加GROUP功能 &lt; ✨新增：玩家被墙壁遮挡时，会隐藏半墙优化视野")</f>
        <v>增加GROUP功能 &lt; ✨新增：玩家被墙壁遮挡时，会隐藏半墙优化视野</v>
      </c>
      <c r="B332"/>
      <c r="C332"/>
      <c r="D332"/>
      <c r="E332"/>
      <c r="F332" t="inlineStr">
        <is>
          <t>Decay</t>
        </is>
      </c>
      <c r="G332" t="inlineStr">
        <is>
          <t>龚政涛</t>
        </is>
      </c>
      <c r="H332" s="4">
        <v>45807.87644675926</v>
      </c>
      <c r="I332" s="4"/>
      <c r="J332" s="4">
        <v>45902.333333333336</v>
      </c>
      <c r="K332" s="4">
        <v>45882.651296296295</v>
      </c>
      <c r="L332">
        <v>0</v>
      </c>
      <c r="M332">
        <v>0</v>
      </c>
      <c r="N332" t="inlineStr">
        <is>
          <t>NzQxMzM4ODg5NzkxNDY2NzAwOTo5Mzg2ZTNhZC01M2RlLTRmZTctOGNiMC1mZmNmMGQ1MWMxNDc6ZDM2YzE2YThlMjMxZGNiYWE3NTI4ZmZkOTg4OWU3ZTg6MQ==</t>
        </is>
      </c>
      <c r="O332" t="inlineStr">
        <is>
          <t>0</t>
        </is>
      </c>
      <c r="P332" t="inlineStr">
        <is>
          <t>或签任务</t>
        </is>
      </c>
      <c r="Q332" t="inlineStr">
        <is>
          <t>0</t>
        </is>
      </c>
      <c r="R332" t="inlineStr">
        <is>
          <t>龚政涛,Decay</t>
        </is>
      </c>
      <c r="S332" s="4">
        <v>45902.333333333336</v>
      </c>
      <c r="T332" s="3" t="str">
        <f>=HYPERLINK("https://applink.feishu.cn/client/todo/task_list?guid=4d92b9af-66d1-4cd7-95d1-4b753a64ca6b", "跃入迷城")</f>
        <v>跃入迷城</v>
      </c>
      <c r="U332" t="inlineStr">
        <is>
          <t>4d92b9af-66d1-4cd7-95d1-4b753a64ca6b</t>
        </is>
      </c>
      <c r="V332" t="inlineStr">
        <is>
          <t>9386e3ad-53de-4fe7-8cb0-ffcf0d51c147</t>
        </is>
      </c>
      <c r="W332" t="inlineStr">
        <is>
          <t>b731e7fc-2a22-4bbb-a4ef-e1c345f9c36b</t>
        </is>
      </c>
      <c r="X332" t="inlineStr">
        <is>
          <t>b650bd95-e549-4492-b94b-123812f246e3</t>
        </is>
      </c>
      <c r="Y332" t="inlineStr">
        <is>
          <t>eb3864cf-41d8-4dc6-9bc3-911c11d8ba85</t>
        </is>
      </c>
      <c r="Z332"/>
      <c r="AA332" t="inlineStr">
        <is>
          <t>关卡</t>
        </is>
      </c>
      <c r="AB332"/>
      <c r="AC332"/>
      <c r="AD332" t="inlineStr">
        <is>
          <t>🛠️技术</t>
        </is>
      </c>
      <c r="AE332"/>
    </row>
    <row r="333" ht="25.5" customHeight="1">
      <c r="A333" s="3" t="str">
        <f>=HYPERLINK("https://applink.feishu.cn/client/todo/detail?guid=b650bd95-e549-4492-b94b-123812f246e3&amp;suite_entity_num=t100801", "增加切割高度调整的方法 &lt; ✨新增：玩家被墙壁遮挡时，会隐藏半墙优化视野")</f>
        <v>增加切割高度调整的方法 &lt; ✨新增：玩家被墙壁遮挡时，会隐藏半墙优化视野</v>
      </c>
      <c r="B333"/>
      <c r="C333"/>
      <c r="D333"/>
      <c r="E333"/>
      <c r="F333" t="inlineStr">
        <is>
          <t>Decay</t>
        </is>
      </c>
      <c r="G333" t="inlineStr">
        <is>
          <t>龚政涛</t>
        </is>
      </c>
      <c r="H333" s="4">
        <v>45807.8765162037</v>
      </c>
      <c r="I333" s="4">
        <v>45880.603171296294</v>
      </c>
      <c r="J333" s="4">
        <v>45903.333333333336</v>
      </c>
      <c r="K333" s="4">
        <v>45882.65130787037</v>
      </c>
      <c r="L333">
        <v>0</v>
      </c>
      <c r="M333">
        <v>0</v>
      </c>
      <c r="N333" t="inlineStr">
        <is>
          <t>NzQxMzM4ODg5NzkxNDY2NzAwOTpiNjUwYmQ5NS1lNTQ5LTQ0OTItYjk0Yi0xMjM4MTJmMjQ2ZTM6NzA4MjIwZGY5MzBiYWE0NzEwOGUxZjFkOTc4Y2Q1MDM6MQ==</t>
        </is>
      </c>
      <c r="O333" t="inlineStr">
        <is>
          <t>1</t>
        </is>
      </c>
      <c r="P333" t="inlineStr">
        <is>
          <t>或签任务</t>
        </is>
      </c>
      <c r="Q333" t="inlineStr">
        <is>
          <t>0</t>
        </is>
      </c>
      <c r="R333" t="inlineStr">
        <is>
          <t>Decay,龚政涛</t>
        </is>
      </c>
      <c r="S333" s="4">
        <v>45903.333333333336</v>
      </c>
      <c r="T333" s="3" t="str">
        <f>=HYPERLINK("https://applink.feishu.cn/client/todo/task_list?guid=4d92b9af-66d1-4cd7-95d1-4b753a64ca6b", "跃入迷城")</f>
        <v>跃入迷城</v>
      </c>
      <c r="U333" t="inlineStr">
        <is>
          <t>4d92b9af-66d1-4cd7-95d1-4b753a64ca6b</t>
        </is>
      </c>
      <c r="V333" t="inlineStr">
        <is>
          <t>b650bd95-e549-4492-b94b-123812f246e3</t>
        </is>
      </c>
      <c r="W333" t="inlineStr">
        <is>
          <t>9386e3ad-53de-4fe7-8cb0-ffcf0d51c147</t>
        </is>
      </c>
      <c r="X333" t="inlineStr">
        <is>
          <t>d62d48b9-05dd-4704-9b73-ccc312ad4e03</t>
        </is>
      </c>
      <c r="Y333" t="inlineStr">
        <is>
          <t>eb3864cf-41d8-4dc6-9bc3-911c11d8ba85</t>
        </is>
      </c>
      <c r="Z333"/>
      <c r="AA333" t="inlineStr">
        <is>
          <t>关卡</t>
        </is>
      </c>
      <c r="AB333"/>
      <c r="AC333"/>
      <c r="AD333" t="inlineStr">
        <is>
          <t>🛠️技术</t>
        </is>
      </c>
      <c r="AE333"/>
    </row>
    <row r="334" ht="25.5" customHeight="1">
      <c r="A334" s="3" t="str">
        <f>=HYPERLINK("https://applink.feishu.cn/client/todo/detail?guid=d62d48b9-05dd-4704-9b73-ccc312ad4e03&amp;suite_entity_num=t100802", "将内部色彩调整为黑色 &lt; ✨新增：玩家被墙壁遮挡时，会隐藏半墙优化视野")</f>
        <v>将内部色彩调整为黑色 &lt; ✨新增：玩家被墙壁遮挡时，会隐藏半墙优化视野</v>
      </c>
      <c r="B334"/>
      <c r="C334"/>
      <c r="D334"/>
      <c r="E334"/>
      <c r="F334" t="inlineStr">
        <is>
          <t>Decay</t>
        </is>
      </c>
      <c r="G334" t="inlineStr">
        <is>
          <t>龚政涛</t>
        </is>
      </c>
      <c r="H334" s="4">
        <v>45807.8765625</v>
      </c>
      <c r="I334" s="4"/>
      <c r="J334" s="4">
        <v>45904.333333333336</v>
      </c>
      <c r="K334" s="4">
        <v>45882.651296296295</v>
      </c>
      <c r="L334">
        <v>0</v>
      </c>
      <c r="M334">
        <v>0</v>
      </c>
      <c r="N334" t="inlineStr">
        <is>
          <t>NzQxMzM4ODg5NzkxNDY2NzAwOTpkNjJkNDhiOS0wNWRkLTQ3MDQtOWI3My1jY2MzMTJhZDRlMDM6Njc0MDMzYjc4MGZiMTY0OGM0ZWVjMTkyNTk4Y2ZkMGY6MQ==</t>
        </is>
      </c>
      <c r="O334" t="inlineStr">
        <is>
          <t>0</t>
        </is>
      </c>
      <c r="P334" t="inlineStr">
        <is>
          <t>或签任务</t>
        </is>
      </c>
      <c r="Q334" t="inlineStr">
        <is>
          <t>0</t>
        </is>
      </c>
      <c r="R334" t="inlineStr">
        <is>
          <t>龚政涛,Decay</t>
        </is>
      </c>
      <c r="S334" s="4">
        <v>45904.333333333336</v>
      </c>
      <c r="T334" s="3" t="str">
        <f>=HYPERLINK("https://applink.feishu.cn/client/todo/task_list?guid=4d92b9af-66d1-4cd7-95d1-4b753a64ca6b", "跃入迷城")</f>
        <v>跃入迷城</v>
      </c>
      <c r="U334" t="inlineStr">
        <is>
          <t>4d92b9af-66d1-4cd7-95d1-4b753a64ca6b</t>
        </is>
      </c>
      <c r="V334" t="inlineStr">
        <is>
          <t>d62d48b9-05dd-4704-9b73-ccc312ad4e03</t>
        </is>
      </c>
      <c r="W334" t="inlineStr">
        <is>
          <t>b650bd95-e549-4492-b94b-123812f246e3</t>
        </is>
      </c>
      <c r="X334" t="inlineStr">
        <is>
          <t>6cade2f9-3a48-4f7b-9594-95685a4f7300</t>
        </is>
      </c>
      <c r="Y334" t="inlineStr">
        <is>
          <t>eb3864cf-41d8-4dc6-9bc3-911c11d8ba85</t>
        </is>
      </c>
      <c r="Z334"/>
      <c r="AA334" t="inlineStr">
        <is>
          <t>关卡</t>
        </is>
      </c>
      <c r="AB334"/>
      <c r="AC334"/>
      <c r="AD334" t="inlineStr">
        <is>
          <t>🛠️技术</t>
        </is>
      </c>
      <c r="AE334"/>
    </row>
    <row r="335" ht="25.5" customHeight="1">
      <c r="A335" s="3" t="str">
        <f>=HYPERLINK("https://applink.feishu.cn/client/todo/detail?guid=6cade2f9-3a48-4f7b-9594-95685a4f7300&amp;suite_entity_num=t100803", "增加FADEIN/OUT效果 &lt; ✨新增：玩家被墙壁遮挡时，会隐藏半墙优化视野")</f>
        <v>增加FADEIN/OUT效果 &lt; ✨新增：玩家被墙壁遮挡时，会隐藏半墙优化视野</v>
      </c>
      <c r="B335"/>
      <c r="C335"/>
      <c r="D335"/>
      <c r="E335"/>
      <c r="F335" t="inlineStr">
        <is>
          <t>Decay</t>
        </is>
      </c>
      <c r="G335" t="inlineStr">
        <is>
          <t>龚政涛</t>
        </is>
      </c>
      <c r="H335" s="4">
        <v>45807.876608796294</v>
      </c>
      <c r="I335" s="4"/>
      <c r="J335" s="4">
        <v>45905.333333333336</v>
      </c>
      <c r="K335" s="4">
        <v>45882.651296296295</v>
      </c>
      <c r="L335">
        <v>0</v>
      </c>
      <c r="M335">
        <v>0</v>
      </c>
      <c r="N335" t="inlineStr">
        <is>
          <t>NzQxMzM4ODg5NzkxNDY2NzAwOTo2Y2FkZTJmOS0zYTQ4LTRmN2ItOTU5NC05NTY4NWE0ZjczMDA6NGExZjE5ZTkzMmZhYWFkMGNiZWJlZmVkZDBmZWRjMzc6MQ==</t>
        </is>
      </c>
      <c r="O335" t="inlineStr">
        <is>
          <t>0</t>
        </is>
      </c>
      <c r="P335" t="inlineStr">
        <is>
          <t>或签任务</t>
        </is>
      </c>
      <c r="Q335" t="inlineStr">
        <is>
          <t>0</t>
        </is>
      </c>
      <c r="R335" t="inlineStr">
        <is>
          <t>龚政涛,Decay</t>
        </is>
      </c>
      <c r="S335" s="4">
        <v>45905.333333333336</v>
      </c>
      <c r="T335" s="3" t="str">
        <f>=HYPERLINK("https://applink.feishu.cn/client/todo/task_list?guid=4d92b9af-66d1-4cd7-95d1-4b753a64ca6b", "跃入迷城")</f>
        <v>跃入迷城</v>
      </c>
      <c r="U335" t="inlineStr">
        <is>
          <t>4d92b9af-66d1-4cd7-95d1-4b753a64ca6b</t>
        </is>
      </c>
      <c r="V335" t="inlineStr">
        <is>
          <t>6cade2f9-3a48-4f7b-9594-95685a4f7300</t>
        </is>
      </c>
      <c r="W335" t="inlineStr">
        <is>
          <t>d62d48b9-05dd-4704-9b73-ccc312ad4e03</t>
        </is>
      </c>
      <c r="X335" t="inlineStr">
        <is>
          <t>681934ea-1d5f-48c6-9c23-85a668e7cadd</t>
        </is>
      </c>
      <c r="Y335" t="inlineStr">
        <is>
          <t>eb3864cf-41d8-4dc6-9bc3-911c11d8ba85</t>
        </is>
      </c>
      <c r="Z335"/>
      <c r="AA335"/>
      <c r="AB335"/>
      <c r="AC335"/>
      <c r="AD335" t="inlineStr">
        <is>
          <t>🛠️技术</t>
        </is>
      </c>
      <c r="AE335"/>
    </row>
    <row r="336" ht="25.5" customHeight="1">
      <c r="A336" s="3" t="str">
        <f>=HYPERLINK("https://applink.feishu.cn/client/todo/detail?guid=681934ea-1d5f-48c6-9c23-85a668e7cadd&amp;suite_entity_num=t100804", "修复阴影BUG -&gt; 暂时复现不了 &lt; ✨新增：玩家被墙壁遮挡时，会隐藏半墙优化视野")</f>
        <v>修复阴影BUG -&gt; 暂时复现不了 &lt; ✨新增：玩家被墙壁遮挡时，会隐藏半墙优化视野</v>
      </c>
      <c r="B336"/>
      <c r="C336"/>
      <c r="D336"/>
      <c r="E336"/>
      <c r="F336" t="inlineStr">
        <is>
          <t>Decay</t>
        </is>
      </c>
      <c r="G336" t="inlineStr">
        <is>
          <t>龚政涛</t>
        </is>
      </c>
      <c r="H336" s="4">
        <v>45807.87663194445</v>
      </c>
      <c r="I336" s="4"/>
      <c r="J336" s="4">
        <v>45906.333333333336</v>
      </c>
      <c r="K336" s="4">
        <v>45918.58090277778</v>
      </c>
      <c r="L336">
        <v>0</v>
      </c>
      <c r="M336">
        <v>0</v>
      </c>
      <c r="N336" t="inlineStr">
        <is>
          <t>NzQxMzM4ODg5NzkxNDY2NzAwOTo2ODE5MzRlYS0xZDVmLTQ4YzYtOWMyMy04NWE2NjhlN2NhZGQ6NmI4NmFhZDlkMzA1Y2FhNjFhMGU5ZWUxNzgxNTBkMDM6MQ==</t>
        </is>
      </c>
      <c r="O336" t="inlineStr">
        <is>
          <t>0</t>
        </is>
      </c>
      <c r="P336" t="inlineStr">
        <is>
          <t>或签任务</t>
        </is>
      </c>
      <c r="Q336" t="inlineStr">
        <is>
          <t>0</t>
        </is>
      </c>
      <c r="R336" t="inlineStr">
        <is>
          <t>龚政涛,Decay</t>
        </is>
      </c>
      <c r="S336" s="4">
        <v>45906.333333333336</v>
      </c>
      <c r="T336" s="3" t="str">
        <f>=HYPERLINK("https://applink.feishu.cn/client/todo/task_list?guid=4d92b9af-66d1-4cd7-95d1-4b753a64ca6b", "跃入迷城")</f>
        <v>跃入迷城</v>
      </c>
      <c r="U336" t="inlineStr">
        <is>
          <t>4d92b9af-66d1-4cd7-95d1-4b753a64ca6b</t>
        </is>
      </c>
      <c r="V336" t="inlineStr">
        <is>
          <t>681934ea-1d5f-48c6-9c23-85a668e7cadd</t>
        </is>
      </c>
      <c r="W336" t="inlineStr">
        <is>
          <t>6cade2f9-3a48-4f7b-9594-95685a4f7300</t>
        </is>
      </c>
      <c r="X336"/>
      <c r="Y336" t="inlineStr">
        <is>
          <t>eb3864cf-41d8-4dc6-9bc3-911c11d8ba85</t>
        </is>
      </c>
      <c r="Z336"/>
      <c r="AA336"/>
      <c r="AB336"/>
      <c r="AC336"/>
      <c r="AD336" t="inlineStr">
        <is>
          <t>🛠️技术</t>
        </is>
      </c>
      <c r="AE336"/>
    </row>
    <row r="337" ht="25.5" customHeight="1">
      <c xml:space="preserve" r="A337" s="3" t="str">
        <f>=HYPERLINK("https://applink.feishu.cn/client/todo/detail?guid=ac428c2f-96e9-4cd8-83aa-b78ec9473ea1&amp;suite_entity_num=t100758", "✨新增：平级关卡切换的功能：玩家现在可以在同一个游戏强度（Level）下，访问其他地图，进行额外的挑战以获得额外奖励，该访问功能需要消耗特定的局内资源，同样的资源也可以用于刷新奖励 ")</f>
        <v>✨新增：平级关卡切换的功能：玩家现在可以在同一个游戏强度（Level）下，访问其他地图，进行额外的挑战以获得额外奖励，该访问功能需要消耗特定的局内资源，同样的资源也可以用于刷新奖励 </v>
      </c>
      <c r="B337"/>
      <c r="C337" t="inlineStr">
        <is>
          <t>默认分组</t>
        </is>
      </c>
      <c r="D337"/>
      <c r="E337">
        <v>0</v>
      </c>
      <c r="F337" t="inlineStr">
        <is>
          <t>Decay</t>
        </is>
      </c>
      <c r="G337" t="inlineStr">
        <is>
          <t>龚政涛</t>
        </is>
      </c>
      <c r="H337" s="4">
        <v>45799.67493055556</v>
      </c>
      <c r="I337" s="4"/>
      <c r="J337" s="4">
        <v>45912.333333333336</v>
      </c>
      <c r="K337" s="4">
        <v>45918.56178240741</v>
      </c>
      <c r="L337">
        <v>3</v>
      </c>
      <c r="M337">
        <v>0</v>
      </c>
      <c r="N337" t="inlineStr">
        <is>
          <t>NzQxMzM4ODg5NzkxNDY2NzAwOTphYzQyOGMyZi05NmU5LTRjZDgtODNhYS1iNzhlYzk0NzNlYTE6Nzc3MjUwYmVhMjM4M2E0ZTNlNzVmZjUzZTAzMWY0YTg6MQ==</t>
        </is>
      </c>
      <c r="O337" t="inlineStr">
        <is>
          <t>0</t>
        </is>
      </c>
      <c r="P337" t="inlineStr">
        <is>
          <t>或签任务</t>
        </is>
      </c>
      <c r="Q337" t="inlineStr">
        <is>
          <t>0</t>
        </is>
      </c>
      <c r="R337" t="inlineStr">
        <is>
          <t>龚政涛,Decay</t>
        </is>
      </c>
      <c r="S337" s="4">
        <v>45902.333333333336</v>
      </c>
      <c r="T337" s="3" t="str">
        <f>=HYPERLINK("https://applink.feishu.cn/client/todo/task_list?guid=4d92b9af-66d1-4cd7-95d1-4b753a64ca6b", "跃入迷城")</f>
        <v>跃入迷城</v>
      </c>
      <c r="U337" t="inlineStr">
        <is>
          <t>4d92b9af-66d1-4cd7-95d1-4b753a64ca6b</t>
        </is>
      </c>
      <c r="V337" t="inlineStr">
        <is>
          <t>ac428c2f-96e9-4cd8-83aa-b78ec9473ea1</t>
        </is>
      </c>
      <c r="W337" t="inlineStr">
        <is>
          <t>f13757d5-44f3-4120-ace3-8e2d59451c18</t>
        </is>
      </c>
      <c r="X337" t="inlineStr">
        <is>
          <t>a724068f-9a4d-422a-b877-271742bcd7a4</t>
        </is>
      </c>
      <c r="Y337"/>
      <c r="Z337" t="inlineStr">
        <is>
          <t>0.0.5</t>
        </is>
      </c>
      <c r="AA337" t="inlineStr">
        <is>
          <t>关卡</t>
        </is>
      </c>
      <c r="AB337"/>
      <c r="AC337" t="inlineStr">
        <is>
          <t>P0 - Must (not) Have</t>
        </is>
      </c>
      <c r="AD337"/>
      <c r="AE337"/>
    </row>
    <row r="338" ht="25.5" customHeight="1">
      <c xml:space="preserve" r="A338" s="3" t="str">
        <f>=HYPERLINK("https://applink.feishu.cn/client/todo/detail?guid=637d0774-d17b-4c56-8f3e-5cc29e4be8c1&amp;suite_entity_num=t100807", "🪡修改：所有冲击事件带来的动画变得更明显了 ")</f>
        <v>🪡修改：所有冲击事件带来的动画变得更明显了 </v>
      </c>
      <c r="B338"/>
      <c r="C338" t="inlineStr">
        <is>
          <t>默认分组</t>
        </is>
      </c>
      <c r="D338"/>
      <c r="E338"/>
      <c r="F338" t="inlineStr">
        <is>
          <t>龚政涛</t>
        </is>
      </c>
      <c r="G338" t="inlineStr">
        <is>
          <t>龚政涛</t>
        </is>
      </c>
      <c r="H338" s="4">
        <v>45810.91675925926</v>
      </c>
      <c r="I338" s="4"/>
      <c r="J338" s="4"/>
      <c r="K338" s="4">
        <v>45865.95364583333</v>
      </c>
      <c r="L338">
        <v>0</v>
      </c>
      <c r="M338">
        <v>0</v>
      </c>
      <c r="N338" t="inlineStr">
        <is>
          <t>NzQxMzM4ODg5NzkxNDY2NzAwOTo2MzdkMDc3NC1kMTdiLTRjNTYtOGYzZS01Y2MyOWU0YmU4YzE6ZjA4MDM4NGE5MjIyNzFhYjI4ZWU5MDQ2ODE1NTNhMDU6MQ==</t>
        </is>
      </c>
      <c r="O338" t="inlineStr">
        <is>
          <t>0</t>
        </is>
      </c>
      <c r="P338" t="inlineStr">
        <is>
          <t>或签任务</t>
        </is>
      </c>
      <c r="Q338" t="inlineStr">
        <is>
          <t>0</t>
        </is>
      </c>
      <c r="R338" t="inlineStr">
        <is>
          <t>龚政涛</t>
        </is>
      </c>
      <c r="S338" s="4"/>
      <c r="T338" s="3" t="str">
        <f>=HYPERLINK("https://applink.feishu.cn/client/todo/task_list?guid=4d92b9af-66d1-4cd7-95d1-4b753a64ca6b", "跃入迷城")</f>
        <v>跃入迷城</v>
      </c>
      <c r="U338" t="inlineStr">
        <is>
          <t>4d92b9af-66d1-4cd7-95d1-4b753a64ca6b</t>
        </is>
      </c>
      <c r="V338" t="inlineStr">
        <is>
          <t>637d0774-d17b-4c56-8f3e-5cc29e4be8c1</t>
        </is>
      </c>
      <c r="W338"/>
      <c r="X338"/>
      <c r="Y338"/>
      <c r="Z338" t="inlineStr">
        <is>
          <t>0.0.5</t>
        </is>
      </c>
      <c r="AA338" t="inlineStr">
        <is>
          <t>动画</t>
        </is>
      </c>
      <c r="AB338" t="inlineStr">
        <is>
          <t>未开始</t>
        </is>
      </c>
      <c r="AC338" t="inlineStr">
        <is>
          <t>P1 - Bigger the Better</t>
        </is>
      </c>
      <c r="AD338" t="inlineStr">
        <is>
          <t>🎨艺术</t>
        </is>
      </c>
      <c r="AE338"/>
    </row>
    <row r="339" ht="25.5" customHeight="1">
      <c r="A339" s="3" t="str">
        <f>=HYPERLINK("https://applink.feishu.cn/client/todo/detail?guid=ee9e782f-8625-473f-ba1b-d97ed6c6e2f9&amp;suite_entity_num=t100792", "🪡修改：彻底更新了场景内、HUD的UI效果")</f>
        <v>🪡修改：彻底更新了场景内、HUD的UI效果</v>
      </c>
      <c r="B339"/>
      <c r="C339" t="inlineStr">
        <is>
          <t>默认分组</t>
        </is>
      </c>
      <c r="D339"/>
      <c r="E339">
        <v>0.86</v>
      </c>
      <c r="F339" t="inlineStr">
        <is>
          <t>郭斯已</t>
        </is>
      </c>
      <c r="G339" t="inlineStr">
        <is>
          <t>龚政涛</t>
        </is>
      </c>
      <c r="H339" s="4">
        <v>45800.774097222224</v>
      </c>
      <c r="I339" s="4"/>
      <c r="J339" s="4"/>
      <c r="K339" s="4">
        <v>45895.501875</v>
      </c>
      <c r="L339">
        <v>7</v>
      </c>
      <c r="M339">
        <v>0</v>
      </c>
      <c r="N339" t="inlineStr">
        <is>
          <t>NzQxMzM4ODg5NzkxNDY2NzAwOTplZTllNzgyZi04NjI1LTQ3M2YtYmExYi1kOTdlZDZjNmUyZjk6NjVlMDQwODJiNTdkZmZjOWQ2YzcyODFhYTdmZWJmYjA6MQ==</t>
        </is>
      </c>
      <c r="O339" t="inlineStr">
        <is>
          <t>0</t>
        </is>
      </c>
      <c r="P339" t="inlineStr">
        <is>
          <t>或签任务</t>
        </is>
      </c>
      <c r="Q339" t="inlineStr">
        <is>
          <t>0</t>
        </is>
      </c>
      <c r="R339" t="inlineStr">
        <is>
          <t>小林🍃,Zoey,龚政涛,郭斯已</t>
        </is>
      </c>
      <c r="S339" s="4"/>
      <c r="T339" s="3" t="str">
        <f>=HYPERLINK("https://applink.feishu.cn/client/todo/task_list?guid=4d92b9af-66d1-4cd7-95d1-4b753a64ca6b", "跃入迷城")</f>
        <v>跃入迷城</v>
      </c>
      <c r="U339" t="inlineStr">
        <is>
          <t>4d92b9af-66d1-4cd7-95d1-4b753a64ca6b</t>
        </is>
      </c>
      <c r="V339" t="inlineStr">
        <is>
          <t>ee9e782f-8625-473f-ba1b-d97ed6c6e2f9</t>
        </is>
      </c>
      <c r="W339"/>
      <c r="X339"/>
      <c r="Y339"/>
      <c r="Z339" t="inlineStr">
        <is>
          <t>0.0.5</t>
        </is>
      </c>
      <c r="AA339" t="inlineStr">
        <is>
          <t>UIUX</t>
        </is>
      </c>
      <c r="AB339" t="inlineStr">
        <is>
          <t>已拆分</t>
        </is>
      </c>
      <c r="AC339" t="inlineStr">
        <is>
          <t>P1 - Bigger the Better</t>
        </is>
      </c>
      <c r="AD339" t="inlineStr">
        <is>
          <t>🎨艺术</t>
        </is>
      </c>
      <c r="AE339"/>
    </row>
    <row r="340" ht="25.5" customHeight="1">
      <c r="A340" s="3" t="str">
        <f>=HYPERLINK("https://applink.feishu.cn/client/todo/detail?guid=f21b3f5f-97d8-456a-97a3-73bbd9289375&amp;suite_entity_num=t100808", "✨新增：游戏现在支持XBOX（或同协议）手柄游玩")</f>
        <v>✨新增：游戏现在支持XBOX（或同协议）手柄游玩</v>
      </c>
      <c r="B340"/>
      <c r="C340" t="inlineStr">
        <is>
          <t>默认分组</t>
        </is>
      </c>
      <c r="D340"/>
      <c r="E340"/>
      <c r="F340" t="inlineStr">
        <is>
          <t>Decay</t>
        </is>
      </c>
      <c r="G340" t="inlineStr">
        <is>
          <t>龚政涛</t>
        </is>
      </c>
      <c r="H340" s="4">
        <v>45810.91783564815</v>
      </c>
      <c r="I340" s="4"/>
      <c r="J340" s="4"/>
      <c r="K340" s="4">
        <v>45890.97547453704</v>
      </c>
      <c r="L340">
        <v>0</v>
      </c>
      <c r="M340">
        <v>0</v>
      </c>
      <c r="N340" t="inlineStr">
        <is>
          <t>NzQxMzM4ODg5NzkxNDY2NzAwOTpmMjFiM2Y1Zi05N2Q4LTQ1NmEtOTdhMy03M2JiZDkyODkzNzU6MjFhYTM5YjAzNjRmMWU2NjM5N2Q2NzlmMzI4M2JkOGY6MQ==</t>
        </is>
      </c>
      <c r="O340" t="inlineStr">
        <is>
          <t>0</t>
        </is>
      </c>
      <c r="P340" t="inlineStr">
        <is>
          <t>或签任务</t>
        </is>
      </c>
      <c r="Q340" t="inlineStr">
        <is>
          <t>0</t>
        </is>
      </c>
      <c r="R340" t="inlineStr">
        <is>
          <t>龚政涛,Decay</t>
        </is>
      </c>
      <c r="S340" s="4">
        <v>45901.333333333336</v>
      </c>
      <c r="T340" s="3" t="str">
        <f>=HYPERLINK("https://applink.feishu.cn/client/todo/task_list?guid=4d92b9af-66d1-4cd7-95d1-4b753a64ca6b", "跃入迷城")</f>
        <v>跃入迷城</v>
      </c>
      <c r="U340" t="inlineStr">
        <is>
          <t>4d92b9af-66d1-4cd7-95d1-4b753a64ca6b</t>
        </is>
      </c>
      <c r="V340" t="inlineStr">
        <is>
          <t>f21b3f5f-97d8-456a-97a3-73bbd9289375</t>
        </is>
      </c>
      <c r="W340"/>
      <c r="X340" t="inlineStr">
        <is>
          <t>2a3362e9-fc7d-4e61-a0f5-df6db8ef0425</t>
        </is>
      </c>
      <c r="Y340"/>
      <c r="Z340" t="inlineStr">
        <is>
          <t>0.0.5</t>
        </is>
      </c>
      <c r="AA340" t="inlineStr">
        <is>
          <t>操作</t>
        </is>
      </c>
      <c r="AB340"/>
      <c r="AC340" t="inlineStr">
        <is>
          <t>P1 - Bigger the Better</t>
        </is>
      </c>
      <c r="AD340" t="inlineStr">
        <is>
          <t>🛠️技术</t>
        </is>
      </c>
      <c r="AE340"/>
    </row>
    <row r="341" ht="25.5" customHeight="1">
      <c xml:space="preserve" r="A341" s="3" t="str">
        <f>=HYPERLINK("https://applink.feishu.cn/client/todo/detail?guid=a09d162a-b9b4-426f-9dc5-ae92217417bc&amp;suite_entity_num=t100806", "✨新增：选项菜单中新增了武器攻击方式的切换功能，现在可以在“传统”和“双武器”方案之间切换 ")</f>
        <v>✨新增：选项菜单中新增了武器攻击方式的切换功能，现在可以在“传统”和“双武器”方案之间切换 </v>
      </c>
      <c r="B341"/>
      <c r="C341" t="inlineStr">
        <is>
          <t>默认分组</t>
        </is>
      </c>
      <c r="D341"/>
      <c r="E341"/>
      <c r="F341" t="inlineStr">
        <is>
          <t>Decay</t>
        </is>
      </c>
      <c r="G341" t="inlineStr">
        <is>
          <t>龚政涛</t>
        </is>
      </c>
      <c r="H341" s="4">
        <v>45810.91637731482</v>
      </c>
      <c r="I341" s="4"/>
      <c r="J341" s="4">
        <v>45925.333333333336</v>
      </c>
      <c r="K341" s="4">
        <v>45895.501909722225</v>
      </c>
      <c r="L341">
        <v>0</v>
      </c>
      <c r="M341">
        <v>0</v>
      </c>
      <c r="N341" t="inlineStr">
        <is>
          <t>NzQxMzM4ODg5NzkxNDY2NzAwOTphMDlkMTYyYS1iOWI0LTQyNmYtOWRjNS1hZTkyMjE3NDE3YmM6NTc5MmM4Y2E0OWFiMjA5OWNmYjM5OWMxYjczNDc4MzA6MQ==</t>
        </is>
      </c>
      <c r="O341" t="inlineStr">
        <is>
          <t>0</t>
        </is>
      </c>
      <c r="P341" t="inlineStr">
        <is>
          <t>或签任务</t>
        </is>
      </c>
      <c r="Q341" t="inlineStr">
        <is>
          <t>0</t>
        </is>
      </c>
      <c r="R341" t="inlineStr">
        <is>
          <t>郭斯已,龚政涛,Decay</t>
        </is>
      </c>
      <c r="S341" s="4">
        <v>45924.333333333336</v>
      </c>
      <c r="T341" s="3" t="str">
        <f>=HYPERLINK("https://applink.feishu.cn/client/todo/task_list?guid=4d92b9af-66d1-4cd7-95d1-4b753a64ca6b", "跃入迷城")</f>
        <v>跃入迷城</v>
      </c>
      <c r="U341" t="inlineStr">
        <is>
          <t>4d92b9af-66d1-4cd7-95d1-4b753a64ca6b</t>
        </is>
      </c>
      <c r="V341" t="inlineStr">
        <is>
          <t>a09d162a-b9b4-426f-9dc5-ae92217417bc</t>
        </is>
      </c>
      <c r="W341" t="inlineStr">
        <is>
          <t>a05eb32e-9d1e-43b8-b15f-f22f00e964dd</t>
        </is>
      </c>
      <c r="X341"/>
      <c r="Y341"/>
      <c r="Z341" t="inlineStr">
        <is>
          <t>0.0.5</t>
        </is>
      </c>
      <c r="AA341" t="inlineStr">
        <is>
          <t>UIUX</t>
        </is>
      </c>
      <c r="AB341" t="inlineStr">
        <is>
          <t>已拆分</t>
        </is>
      </c>
      <c r="AC341" t="inlineStr">
        <is>
          <t>P2 - Nice to Have</t>
        </is>
      </c>
      <c r="AD341" t="inlineStr">
        <is>
          <t>🛠️技术</t>
        </is>
      </c>
      <c r="AE341"/>
    </row>
    <row r="342" ht="25.5" customHeight="1">
      <c xml:space="preserve" r="A342" s="3" t="str">
        <f>=HYPERLINK("https://applink.feishu.cn/client/todo/detail?guid=ea302a4f-03b4-4cf3-8297-67793f05d094&amp;suite_entity_num=t100809", "新撤退逻辑 &lt; ✨新增：玩家现在需要在逃生阳台等待一段时间才能顺利逃生，期间，整张地图的敌人都会知道玩家的位置 ")</f>
        <v>新撤退逻辑 &lt; ✨新增：玩家现在需要在逃生阳台等待一段时间才能顺利逃生，期间，整张地图的敌人都会知道玩家的位置 </v>
      </c>
      <c r="B342"/>
      <c r="C342"/>
      <c r="D342"/>
      <c r="E342"/>
      <c r="F342" t="inlineStr">
        <is>
          <t>Decay</t>
        </is>
      </c>
      <c r="G342" t="inlineStr">
        <is>
          <t>Decay</t>
        </is>
      </c>
      <c r="H342" s="4">
        <v>45811.965416666666</v>
      </c>
      <c r="I342" s="4">
        <v>45874.40944444444</v>
      </c>
      <c r="J342" s="4">
        <v>45812.333333333336</v>
      </c>
      <c r="K342" s="4">
        <v>45874.40944444444</v>
      </c>
      <c r="L342">
        <v>0</v>
      </c>
      <c r="M342">
        <v>4</v>
      </c>
      <c r="N342" t="inlineStr">
        <is>
          <t>NzQxMzM4ODg5NzkxNDY2NzAwOTplYTMwMmE0Zi0wM2I0LTRjZjMtODI5Ny02Nzc5M2YwNWQwOTQ6ZmZkNGM3ZjE4ZjQ4NWNlMjVkYzYxYjYyNDg5NjI0YmI6MQ==</t>
        </is>
      </c>
      <c r="O342" t="inlineStr">
        <is>
          <t>1</t>
        </is>
      </c>
      <c r="P342" t="inlineStr">
        <is>
          <t>或签任务</t>
        </is>
      </c>
      <c r="Q342" t="inlineStr">
        <is>
          <t>0</t>
        </is>
      </c>
      <c r="R342" t="inlineStr">
        <is>
          <t>Decay,龚政涛</t>
        </is>
      </c>
      <c r="S342" s="4">
        <v>45811.333333333336</v>
      </c>
      <c r="T342" s="3" t="str">
        <f>=HYPERLINK("https://applink.feishu.cn/client/todo/task_list?guid=4d92b9af-66d1-4cd7-95d1-4b753a64ca6b", "跃入迷城")</f>
        <v>跃入迷城</v>
      </c>
      <c r="U342" t="inlineStr">
        <is>
          <t>4d92b9af-66d1-4cd7-95d1-4b753a64ca6b</t>
        </is>
      </c>
      <c r="V342" t="inlineStr">
        <is>
          <t>ea302a4f-03b4-4cf3-8297-67793f05d094</t>
        </is>
      </c>
      <c r="W342"/>
      <c r="X342"/>
      <c r="Y342" t="inlineStr">
        <is>
          <t>2be821f0-cb1c-432a-b432-3aaa3e40ac99</t>
        </is>
      </c>
      <c r="Z342" t="inlineStr">
        <is>
          <t>0.0.5</t>
        </is>
      </c>
      <c r="AA342" t="inlineStr">
        <is>
          <t>关卡</t>
        </is>
      </c>
      <c r="AB342" t="inlineStr">
        <is>
          <t>待验证</t>
        </is>
      </c>
      <c r="AC342" t="inlineStr">
        <is>
          <t>P0 - Must (not) Have</t>
        </is>
      </c>
      <c r="AD342" t="inlineStr">
        <is>
          <t>🎮玩法</t>
        </is>
      </c>
      <c r="AE342"/>
    </row>
    <row r="343" ht="25.5" customHeight="1">
      <c xml:space="preserve" r="A343" s="3" t="str">
        <f>=HYPERLINK("https://applink.feishu.cn/client/todo/detail?guid=37c599c7-c292-46b5-b71a-6ec18322a928&amp;suite_entity_num=t100766", "🪡修改：现在敌人从角色视野中离开后会逐渐消失，而非直接消失 ")</f>
        <v>🪡修改：现在敌人从角色视野中离开后会逐渐消失，而非直接消失 </v>
      </c>
      <c r="B343"/>
      <c r="C343" t="inlineStr">
        <is>
          <t>默认分组</t>
        </is>
      </c>
      <c r="D343"/>
      <c r="E343"/>
      <c r="F343" t="inlineStr">
        <is>
          <t>Decay</t>
        </is>
      </c>
      <c r="G343" t="inlineStr">
        <is>
          <t>龚政涛</t>
        </is>
      </c>
      <c r="H343" s="4">
        <v>45799.675787037035</v>
      </c>
      <c r="I343" s="4"/>
      <c r="J343" s="4"/>
      <c r="K343" s="4">
        <v>45891.41107638889</v>
      </c>
      <c r="L343">
        <v>0</v>
      </c>
      <c r="M343">
        <v>0</v>
      </c>
      <c r="N343" t="inlineStr">
        <is>
          <t>NzQxMzM4ODg5NzkxNDY2NzAwOTozN2M1OTljNy1jMjkyLTQ2YjUtYjcxYS02ZWMxODMyMmE5Mjg6YTQ5MmM2ZWExOGIyMTMyZWZiMTU3MGI2M2IzZmY1ZTM6MQ==</t>
        </is>
      </c>
      <c r="O343" t="inlineStr">
        <is>
          <t>0</t>
        </is>
      </c>
      <c r="P343" t="inlineStr">
        <is>
          <t>或签任务</t>
        </is>
      </c>
      <c r="Q343" t="inlineStr">
        <is>
          <t>0</t>
        </is>
      </c>
      <c r="R343" t="inlineStr">
        <is>
          <t>龚政涛,Decay</t>
        </is>
      </c>
      <c r="S343" s="4">
        <v>45901.333333333336</v>
      </c>
      <c r="T343" s="3" t="str">
        <f>=HYPERLINK("https://applink.feishu.cn/client/todo/task_list?guid=4d92b9af-66d1-4cd7-95d1-4b753a64ca6b", "跃入迷城")</f>
        <v>跃入迷城</v>
      </c>
      <c r="U343" t="inlineStr">
        <is>
          <t>4d92b9af-66d1-4cd7-95d1-4b753a64ca6b</t>
        </is>
      </c>
      <c r="V343" t="inlineStr">
        <is>
          <t>37c599c7-c292-46b5-b71a-6ec18322a928</t>
        </is>
      </c>
      <c r="W343" t="inlineStr">
        <is>
          <t>dbe56b84-8058-4ba6-9bdf-9d62eb09ff39</t>
        </is>
      </c>
      <c r="X343"/>
      <c r="Y343"/>
      <c r="Z343" t="inlineStr">
        <is>
          <t>0.0.5</t>
        </is>
      </c>
      <c r="AA343" t="inlineStr">
        <is>
          <t>镜头</t>
        </is>
      </c>
      <c r="AB343"/>
      <c r="AC343" t="inlineStr">
        <is>
          <t>P1 - Bigger the Better</t>
        </is>
      </c>
      <c r="AD343" t="inlineStr">
        <is>
          <t>🛠️技术</t>
        </is>
      </c>
      <c r="AE343"/>
    </row>
    <row r="344" ht="25.5" customHeight="1">
      <c xml:space="preserve" r="A344" s="3" t="str">
        <f>=HYPERLINK("https://applink.feishu.cn/client/todo/detail?guid=b5b3cf09-e2af-4f6b-885e-c3afc23421c1&amp;suite_entity_num=t100790", "✨新增：墙壁、地面、门、窗、电梯制作了定制模型，以更好的呈现正式版本的视觉风格 ")</f>
        <v>✨新增：墙壁、地面、门、窗、电梯制作了定制模型，以更好的呈现正式版本的视觉风格 </v>
      </c>
      <c r="B344"/>
      <c r="C344" t="inlineStr">
        <is>
          <t>默认分组</t>
        </is>
      </c>
      <c r="D344"/>
      <c r="E344">
        <v>0.67</v>
      </c>
      <c r="F344" t="inlineStr">
        <is>
          <t>陈吉瑞</t>
        </is>
      </c>
      <c r="G344" t="inlineStr">
        <is>
          <t>龚政涛</t>
        </is>
      </c>
      <c r="H344" s="4">
        <v>45800.77381944445</v>
      </c>
      <c r="I344" s="4"/>
      <c r="J344" s="4"/>
      <c r="K344" s="4">
        <v>45895.4871875</v>
      </c>
      <c r="L344">
        <v>6</v>
      </c>
      <c r="M344">
        <v>0</v>
      </c>
      <c r="N344" t="inlineStr">
        <is>
          <t>NzQxMzM4ODg5NzkxNDY2NzAwOTpiNWIzY2YwOS1lMmFmLTRmNmItODg1ZS1jM2FmYzIzNDIxYzE6MWU4OGFjNDk1MmYwNWI4ZmZlYWMxNDViMTQyMDI5ZWY6MQ==</t>
        </is>
      </c>
      <c r="O344" t="inlineStr">
        <is>
          <t>0</t>
        </is>
      </c>
      <c r="P344" t="inlineStr">
        <is>
          <t>或签任务</t>
        </is>
      </c>
      <c r="Q344" t="inlineStr">
        <is>
          <t>0</t>
        </is>
      </c>
      <c r="R344" t="inlineStr">
        <is>
          <t>龚政涛,惠康,Mizuko,王晶,陈麒升,陈吉瑞</t>
        </is>
      </c>
      <c r="S344" s="4"/>
      <c r="T344" s="3" t="str">
        <f>=HYPERLINK("https://applink.feishu.cn/client/todo/task_list?guid=4d92b9af-66d1-4cd7-95d1-4b753a64ca6b", "跃入迷城")</f>
        <v>跃入迷城</v>
      </c>
      <c r="U344" t="inlineStr">
        <is>
          <t>4d92b9af-66d1-4cd7-95d1-4b753a64ca6b</t>
        </is>
      </c>
      <c r="V344" t="inlineStr">
        <is>
          <t>b5b3cf09-e2af-4f6b-885e-c3afc23421c1</t>
        </is>
      </c>
      <c r="W344"/>
      <c r="X344"/>
      <c r="Y344"/>
      <c r="Z344" t="inlineStr">
        <is>
          <t>0.0.5</t>
        </is>
      </c>
      <c r="AA344" t="inlineStr">
        <is>
          <t>模型</t>
        </is>
      </c>
      <c r="AB344" t="inlineStr">
        <is>
          <t>已拆分</t>
        </is>
      </c>
      <c r="AC344" t="inlineStr">
        <is>
          <t>P0 - Must (not) Have</t>
        </is>
      </c>
      <c r="AD344" t="inlineStr">
        <is>
          <t>🎨艺术</t>
        </is>
      </c>
      <c r="AE344"/>
    </row>
    <row r="345" ht="25.5" customHeight="1">
      <c r="A345" s="3" t="str">
        <f>=HYPERLINK("https://applink.feishu.cn/client/todo/detail?guid=b2477bcf-aa1b-4767-9ae0-8e84efce9005&amp;suite_entity_num=t100810", "🪡修改：调整了音效的触发机制、新增了音效资产")</f>
        <v>🪡修改：调整了音效的触发机制、新增了音效资产</v>
      </c>
      <c r="B345"/>
      <c r="C345" t="inlineStr">
        <is>
          <t>默认分组</t>
        </is>
      </c>
      <c r="D345"/>
      <c r="E345"/>
      <c r="F345" t="inlineStr">
        <is>
          <t>Decay</t>
        </is>
      </c>
      <c r="G345" t="inlineStr">
        <is>
          <t>龚政涛</t>
        </is>
      </c>
      <c r="H345" s="4">
        <v>45812.43509259259</v>
      </c>
      <c r="I345" s="4"/>
      <c r="J345" s="4"/>
      <c r="K345" s="4">
        <v>45866.67018518518</v>
      </c>
      <c r="L345">
        <v>0</v>
      </c>
      <c r="M345">
        <v>0</v>
      </c>
      <c r="N345" t="inlineStr">
        <is>
          <t>NzQxMzM4ODg5NzkxNDY2NzAwOTpiMjQ3N2JjZi1hYTFiLTQ3NjctOWFlMC04ZTg0ZWZjZTkwMDU6Y2Y4NmFlMjc2ZDU1ODc1MTk3MGY3NzYzMWY1OTdjYWI6MQ==</t>
        </is>
      </c>
      <c r="O345" t="inlineStr">
        <is>
          <t>0</t>
        </is>
      </c>
      <c r="P345" t="inlineStr">
        <is>
          <t>或签任务</t>
        </is>
      </c>
      <c r="Q345" t="inlineStr">
        <is>
          <t>0</t>
        </is>
      </c>
      <c r="R345" t="inlineStr">
        <is>
          <t>龚政涛,Decay</t>
        </is>
      </c>
      <c r="S345" s="4"/>
      <c r="T345" s="3" t="str">
        <f>=HYPERLINK("https://applink.feishu.cn/client/todo/task_list?guid=4d92b9af-66d1-4cd7-95d1-4b753a64ca6b", "跃入迷城")</f>
        <v>跃入迷城</v>
      </c>
      <c r="U345" t="inlineStr">
        <is>
          <t>4d92b9af-66d1-4cd7-95d1-4b753a64ca6b</t>
        </is>
      </c>
      <c r="V345" t="inlineStr">
        <is>
          <t>b2477bcf-aa1b-4767-9ae0-8e84efce9005</t>
        </is>
      </c>
      <c r="W345"/>
      <c r="X345"/>
      <c r="Y345"/>
      <c r="Z345" t="inlineStr">
        <is>
          <t>0.0.5</t>
        </is>
      </c>
      <c r="AA345" t="inlineStr">
        <is>
          <t>音乐</t>
        </is>
      </c>
      <c r="AB345" t="inlineStr">
        <is>
          <t>未开始</t>
        </is>
      </c>
      <c r="AC345" t="inlineStr">
        <is>
          <t>P1 - Bigger the Better</t>
        </is>
      </c>
      <c r="AD345" t="inlineStr">
        <is>
          <t>🛠️技术</t>
        </is>
      </c>
      <c r="AE345"/>
    </row>
    <row r="346" ht="25.5" customHeight="1">
      <c xml:space="preserve" r="A346" s="3" t="str">
        <f>=HYPERLINK("https://applink.feishu.cn/client/todo/detail?guid=f07e046f-c261-44c9-b10e-81f0ed63ea49&amp;suite_entity_num=t100764", "🪡修改：现在AI有更好的寻路逻辑，在进入战斗后，不再会尝试移动到无法攻击玩家的空间，也更少会在门口处被堵住 ")</f>
        <v>🪡修改：现在AI有更好的寻路逻辑，在进入战斗后，不再会尝试移动到无法攻击玩家的空间，也更少会在门口处被堵住 </v>
      </c>
      <c r="B346"/>
      <c r="C346" t="inlineStr">
        <is>
          <t>默认分组</t>
        </is>
      </c>
      <c r="D346"/>
      <c r="E346">
        <v>0.1</v>
      </c>
      <c r="F346" t="inlineStr">
        <is>
          <t>兔只几何</t>
        </is>
      </c>
      <c r="G346" t="inlineStr">
        <is>
          <t>龚政涛</t>
        </is>
      </c>
      <c r="H346" s="4">
        <v>45799.675462962965</v>
      </c>
      <c r="I346" s="4">
        <v>45911.41061342593</v>
      </c>
      <c r="J346" s="4">
        <v>45905.333333333336</v>
      </c>
      <c r="K346" s="4">
        <v>45911.410625</v>
      </c>
      <c r="L346">
        <v>10</v>
      </c>
      <c r="M346">
        <v>1</v>
      </c>
      <c r="N346" t="inlineStr">
        <is>
          <t>NzQxMzM4ODg5NzkxNDY2NzAwOTpmMDdlMDQ2Zi1jMjYxLTQ0YzktYjEwZS04MWYwZWQ2M2VhNDk6N2QyZTQ5ODUwYTEyZjk5ZDgzZGFkZGVmMjk3MzJiNTY6MQ==</t>
        </is>
      </c>
      <c r="O346" t="inlineStr">
        <is>
          <t>1</t>
        </is>
      </c>
      <c r="P346" t="inlineStr">
        <is>
          <t>或签任务</t>
        </is>
      </c>
      <c r="Q346" t="inlineStr">
        <is>
          <t>0</t>
        </is>
      </c>
      <c r="R346" t="inlineStr">
        <is>
          <t>龚政涛,兔只几何</t>
        </is>
      </c>
      <c r="S346" s="4"/>
      <c r="T346" s="3" t="str">
        <f>=HYPERLINK("https://applink.feishu.cn/client/todo/task_list?guid=4d92b9af-66d1-4cd7-95d1-4b753a64ca6b", "跃入迷城")</f>
        <v>跃入迷城</v>
      </c>
      <c r="U346" t="inlineStr">
        <is>
          <t>4d92b9af-66d1-4cd7-95d1-4b753a64ca6b</t>
        </is>
      </c>
      <c r="V346" t="inlineStr">
        <is>
          <t>f07e046f-c261-44c9-b10e-81f0ed63ea49</t>
        </is>
      </c>
      <c r="W346"/>
      <c r="X346"/>
      <c r="Y346"/>
      <c r="Z346" t="inlineStr">
        <is>
          <t>0.0.5</t>
        </is>
      </c>
      <c r="AA346" t="inlineStr">
        <is>
          <t>AI</t>
        </is>
      </c>
      <c r="AB346" t="inlineStr">
        <is>
          <t>已完成</t>
        </is>
      </c>
      <c r="AC346" t="inlineStr">
        <is>
          <t>P0 - Must (not) Have</t>
        </is>
      </c>
      <c r="AD346"/>
      <c r="AE346"/>
    </row>
    <row r="347" ht="25.5" customHeight="1">
      <c xml:space="preserve" r="A347" s="3" t="str">
        <f>=HYPERLINK("https://applink.feishu.cn/client/todo/detail?guid=2be821f0-cb1c-432a-b432-3aaa3e40ac99&amp;suite_entity_num=t100768", "✨新增：玩家现在需要在逃生阳台等待一段时间才能顺利逃生，期间，整张地图的敌人都会知道玩家的位置 ")</f>
        <v>✨新增：玩家现在需要在逃生阳台等待一段时间才能顺利逃生，期间，整张地图的敌人都会知道玩家的位置 </v>
      </c>
      <c r="B347"/>
      <c r="C347" t="inlineStr">
        <is>
          <t>默认分组</t>
        </is>
      </c>
      <c r="D347"/>
      <c r="E347">
        <v>1</v>
      </c>
      <c r="F347" t="inlineStr">
        <is>
          <t>Decay</t>
        </is>
      </c>
      <c r="G347" t="inlineStr">
        <is>
          <t>龚政涛</t>
        </is>
      </c>
      <c r="H347" s="4">
        <v>45799.67591435185</v>
      </c>
      <c r="I347" s="4">
        <v>45877.627430555556</v>
      </c>
      <c r="J347" s="4"/>
      <c r="K347" s="4">
        <v>45877.62744212963</v>
      </c>
      <c r="L347">
        <v>1</v>
      </c>
      <c r="M347">
        <v>0</v>
      </c>
      <c r="N347" t="inlineStr">
        <is>
          <t>NzQxMzM4ODg5NzkxNDY2NzAwOToyYmU4MjFmMC1jYjFjLTQzMmEtYjQzMi0zYWFhM2U0MGFjOTk6MTQ2YTZiZjliYjU3YWQ0ZDIxOThmZTc4M2Y1MGE4MzQ6MQ==</t>
        </is>
      </c>
      <c r="O347" t="inlineStr">
        <is>
          <t>1</t>
        </is>
      </c>
      <c r="P347" t="inlineStr">
        <is>
          <t>或签任务</t>
        </is>
      </c>
      <c r="Q347" t="inlineStr">
        <is>
          <t>0</t>
        </is>
      </c>
      <c r="R347" t="inlineStr">
        <is>
          <t>龚政涛,Decay</t>
        </is>
      </c>
      <c r="S347" s="4"/>
      <c r="T347" s="3" t="str">
        <f>=HYPERLINK("https://applink.feishu.cn/client/todo/task_list?guid=4d92b9af-66d1-4cd7-95d1-4b753a64ca6b", "跃入迷城")</f>
        <v>跃入迷城</v>
      </c>
      <c r="U347" t="inlineStr">
        <is>
          <t>4d92b9af-66d1-4cd7-95d1-4b753a64ca6b</t>
        </is>
      </c>
      <c r="V347" t="inlineStr">
        <is>
          <t>2be821f0-cb1c-432a-b432-3aaa3e40ac99</t>
        </is>
      </c>
      <c r="W347"/>
      <c r="X347"/>
      <c r="Y347"/>
      <c r="Z347" t="inlineStr">
        <is>
          <t>0.0.5</t>
        </is>
      </c>
      <c r="AA347" t="inlineStr">
        <is>
          <t>关卡</t>
        </is>
      </c>
      <c r="AB347" t="inlineStr">
        <is>
          <t>工作中</t>
        </is>
      </c>
      <c r="AC347" t="inlineStr">
        <is>
          <t>P0 - Must (not) Have</t>
        </is>
      </c>
      <c r="AD347" t="inlineStr">
        <is>
          <t>🎮玩法</t>
        </is>
      </c>
      <c r="AE347"/>
    </row>
    <row r="348" ht="25.5" customHeight="1">
      <c r="A348" s="3" t="str">
        <f>=HYPERLINK("https://applink.feishu.cn/client/todo/detail?guid=74155b8e-e39e-4605-8fff-083e0187df5a&amp;suite_entity_num=t100761", "🪡修改：调整了部分敌人的AI逻辑")</f>
        <v>🪡修改：调整了部分敌人的AI逻辑</v>
      </c>
      <c r="B348"/>
      <c r="C348" t="inlineStr">
        <is>
          <t>默认分组</t>
        </is>
      </c>
      <c r="D348"/>
      <c r="E348">
        <v>0</v>
      </c>
      <c r="F348" t="inlineStr">
        <is>
          <t>龚政涛</t>
        </is>
      </c>
      <c r="G348" t="inlineStr">
        <is>
          <t>龚政涛</t>
        </is>
      </c>
      <c r="H348" s="4">
        <v>45799.67523148148</v>
      </c>
      <c r="I348" s="4"/>
      <c r="J348" s="4">
        <v>45912.333333333336</v>
      </c>
      <c r="K348" s="4">
        <v>45911.40997685185</v>
      </c>
      <c r="L348">
        <v>4</v>
      </c>
      <c r="M348">
        <v>0</v>
      </c>
      <c r="N348" t="inlineStr">
        <is>
          <t>NzQxMzM4ODg5NzkxNDY2NzAwOTo3NDE1NWI4ZS1lMzllLTQ2MDUtOGZmZi0wODNlMDE4N2RmNWE6MzQyMjU1MGM3MzQ3YTViOWI1M2I1NmUxYzQ5NDdiM2U6MQ==</t>
        </is>
      </c>
      <c r="O348" t="inlineStr">
        <is>
          <t>0</t>
        </is>
      </c>
      <c r="P348" t="inlineStr">
        <is>
          <t>或签任务</t>
        </is>
      </c>
      <c r="Q348" t="inlineStr">
        <is>
          <t>0</t>
        </is>
      </c>
      <c r="R348" t="inlineStr">
        <is>
          <t>龚政涛</t>
        </is>
      </c>
      <c r="S348" s="4">
        <v>45901.333333333336</v>
      </c>
      <c r="T348" s="3" t="str">
        <f>=HYPERLINK("https://applink.feishu.cn/client/todo/task_list?guid=4d92b9af-66d1-4cd7-95d1-4b753a64ca6b", "跃入迷城")</f>
        <v>跃入迷城</v>
      </c>
      <c r="U348" t="inlineStr">
        <is>
          <t>4d92b9af-66d1-4cd7-95d1-4b753a64ca6b</t>
        </is>
      </c>
      <c r="V348" t="inlineStr">
        <is>
          <t>74155b8e-e39e-4605-8fff-083e0187df5a</t>
        </is>
      </c>
      <c r="W348"/>
      <c r="X348"/>
      <c r="Y348"/>
      <c r="Z348" t="inlineStr">
        <is>
          <t>0.0.5</t>
        </is>
      </c>
      <c r="AA348" t="inlineStr">
        <is>
          <t>AI</t>
        </is>
      </c>
      <c r="AB348"/>
      <c r="AC348"/>
      <c r="AD348"/>
      <c r="AE348"/>
    </row>
    <row r="349" ht="25.5" customHeight="1">
      <c xml:space="preserve" r="A349" s="3" t="str">
        <f>=HYPERLINK("https://applink.feishu.cn/client/todo/detail?guid=d9f122d7-ad7a-418f-86f8-982b7bd70c22&amp;suite_entity_num=t100765", "🪡修改：AI现在有更合理的巡逻路线，会在设定的空间内巡逻，而非随机移动；另外，我们也对AI进行了素质教育，如果AI的巡逻路线途经门，AI会随手关门 ")</f>
        <v>🪡修改：AI现在有更合理的巡逻路线，会在设定的空间内巡逻，而非随机移动；另外，我们也对AI进行了素质教育，如果AI的巡逻路线途经门，AI会随手关门 </v>
      </c>
      <c r="B349"/>
      <c r="C349" t="inlineStr">
        <is>
          <t>默认分组</t>
        </is>
      </c>
      <c r="D349"/>
      <c r="E349"/>
      <c r="F349" t="inlineStr">
        <is>
          <t>兔只几何</t>
        </is>
      </c>
      <c r="G349" t="inlineStr">
        <is>
          <t>龚政涛</t>
        </is>
      </c>
      <c r="H349" s="4">
        <v>45799.67548611111</v>
      </c>
      <c r="I349" s="4"/>
      <c r="J349" s="4"/>
      <c r="K349" s="4">
        <v>45896.50069444445</v>
      </c>
      <c r="L349">
        <v>0</v>
      </c>
      <c r="M349">
        <v>0</v>
      </c>
      <c r="N349" t="inlineStr">
        <is>
          <t>NzQxMzM4ODg5NzkxNDY2NzAwOTpkOWYxMjJkNy1hZDdhLTQxOGYtODZmOC05ODJiN2JkNzBjMjI6YzIyNTdhZjA4N2RhMzZiMmJkYzkzNzVmZTkzN2UyOTc6MQ==</t>
        </is>
      </c>
      <c r="O349" t="inlineStr">
        <is>
          <t>0</t>
        </is>
      </c>
      <c r="P349" t="inlineStr">
        <is>
          <t>或签任务</t>
        </is>
      </c>
      <c r="Q349" t="inlineStr">
        <is>
          <t>0</t>
        </is>
      </c>
      <c r="R349" t="inlineStr">
        <is>
          <t>龚政涛,兔只几何</t>
        </is>
      </c>
      <c r="S349" s="4"/>
      <c r="T349" s="3" t="str">
        <f>=HYPERLINK("https://applink.feishu.cn/client/todo/task_list?guid=4d92b9af-66d1-4cd7-95d1-4b753a64ca6b", "跃入迷城")</f>
        <v>跃入迷城</v>
      </c>
      <c r="U349" t="inlineStr">
        <is>
          <t>4d92b9af-66d1-4cd7-95d1-4b753a64ca6b</t>
        </is>
      </c>
      <c r="V349" t="inlineStr">
        <is>
          <t>d9f122d7-ad7a-418f-86f8-982b7bd70c22</t>
        </is>
      </c>
      <c r="W349"/>
      <c r="X349"/>
      <c r="Y349"/>
      <c r="Z349" t="inlineStr">
        <is>
          <t>0.0.5</t>
        </is>
      </c>
      <c r="AA349" t="inlineStr">
        <is>
          <t>AI</t>
        </is>
      </c>
      <c r="AB349" t="inlineStr">
        <is>
          <t>已拆分</t>
        </is>
      </c>
      <c r="AC349" t="inlineStr">
        <is>
          <t>P1 - Bigger the Better</t>
        </is>
      </c>
      <c r="AD349" t="inlineStr">
        <is>
          <t>🎮玩法</t>
        </is>
      </c>
      <c r="AE349"/>
    </row>
    <row r="350" ht="25.5" customHeight="1">
      <c r="A350" s="3" t="str">
        <f>=HYPERLINK("https://applink.feishu.cn/client/todo/detail?guid=3f5923cc-e7eb-404f-9195-cbad5aac3171&amp;suite_entity_num=t100777", "🪡修改：翻滚现在会小幅度推开途径的敌人，以确保玩家不会被多个敌人围困")</f>
        <v>🪡修改：翻滚现在会小幅度推开途径的敌人，以确保玩家不会被多个敌人围困</v>
      </c>
      <c r="B350"/>
      <c r="C350" t="inlineStr">
        <is>
          <t>默认分组</t>
        </is>
      </c>
      <c r="D350"/>
      <c r="E350">
        <v>0.33</v>
      </c>
      <c r="F350" t="inlineStr">
        <is>
          <t>Decay</t>
        </is>
      </c>
      <c r="G350" t="inlineStr">
        <is>
          <t>龚政涛</t>
        </is>
      </c>
      <c r="H350" s="4">
        <v>45799.68923611111</v>
      </c>
      <c r="I350" s="4">
        <v>45799.68920138889</v>
      </c>
      <c r="J350" s="4"/>
      <c r="K350" s="4">
        <v>45868.03712962963</v>
      </c>
      <c r="L350">
        <v>3</v>
      </c>
      <c r="M350">
        <v>0</v>
      </c>
      <c r="N350" t="inlineStr">
        <is>
          <t>NzQxMzM4ODg5NzkxNDY2NzAwOTozZjU5MjNjYy1lN2ViLTQwNGYtOTE5NS1jYmFkNWFhYzMxNzE6NmUxMzQ2NTAyYjc3MDYxMDJhYjUxM2RiZjM5ODc1MjY6MQ==</t>
        </is>
      </c>
      <c r="O350" t="inlineStr">
        <is>
          <t>1</t>
        </is>
      </c>
      <c r="P350" t="inlineStr">
        <is>
          <t>或签任务</t>
        </is>
      </c>
      <c r="Q350" t="inlineStr">
        <is>
          <t>0</t>
        </is>
      </c>
      <c r="R350" t="inlineStr">
        <is>
          <t>龚政涛,Decay</t>
        </is>
      </c>
      <c r="S350" s="4"/>
      <c r="T350" s="3" t="str">
        <f>=HYPERLINK("https://applink.feishu.cn/client/todo/task_list?guid=4d92b9af-66d1-4cd7-95d1-4b753a64ca6b", "跃入迷城")</f>
        <v>跃入迷城</v>
      </c>
      <c r="U350" t="inlineStr">
        <is>
          <t>4d92b9af-66d1-4cd7-95d1-4b753a64ca6b</t>
        </is>
      </c>
      <c r="V350" t="inlineStr">
        <is>
          <t>3f5923cc-e7eb-404f-9195-cbad5aac3171</t>
        </is>
      </c>
      <c r="W350"/>
      <c r="X350"/>
      <c r="Y350"/>
      <c r="Z350" t="inlineStr">
        <is>
          <t>0.0.5</t>
        </is>
      </c>
      <c r="AA350" t="inlineStr">
        <is>
          <t>操作</t>
        </is>
      </c>
      <c r="AB350" t="inlineStr">
        <is>
          <t>已完成</t>
        </is>
      </c>
      <c r="AC350" t="inlineStr">
        <is>
          <t>P1 - Bigger the Better</t>
        </is>
      </c>
      <c r="AD350" t="inlineStr">
        <is>
          <t>🎮玩法</t>
        </is>
      </c>
      <c r="AE350"/>
    </row>
    <row r="351" ht="25.5" customHeight="1">
      <c xml:space="preserve" r="A351" s="3" t="str">
        <f>=HYPERLINK("https://applink.feishu.cn/client/todo/detail?guid=f6b0f2d9-62a6-4ff3-9bad-c9661d674259&amp;suite_entity_num=t100762", "✨新增：追加了技能和装备 ")</f>
        <v>✨新增：追加了技能和装备 </v>
      </c>
      <c r="B351"/>
      <c r="C351" t="inlineStr">
        <is>
          <t>默认分组</t>
        </is>
      </c>
      <c r="D351"/>
      <c r="E351"/>
      <c r="F351" t="inlineStr">
        <is>
          <t>龚政涛</t>
        </is>
      </c>
      <c r="G351" t="inlineStr">
        <is>
          <t>龚政涛</t>
        </is>
      </c>
      <c r="H351" s="4">
        <v>45799.67528935185</v>
      </c>
      <c r="I351" s="4"/>
      <c r="J351" s="4">
        <v>45919.333333333336</v>
      </c>
      <c r="K351" s="4">
        <v>45911.41069444444</v>
      </c>
      <c r="L351">
        <v>0</v>
      </c>
      <c r="M351">
        <v>0</v>
      </c>
      <c r="N351" t="inlineStr">
        <is>
          <t>NzQxMzM4ODg5NzkxNDY2NzAwOTpmNmIwZjJkOS02MmE2LTRmZjMtOWJhZC1jOTY2MWQ2NzQyNTk6YmRiMzc5NjM2ZThjZDAwNWZhMDZhMGRkMGFlOGJmOTk6MQ==</t>
        </is>
      </c>
      <c r="O351" t="inlineStr">
        <is>
          <t>0</t>
        </is>
      </c>
      <c r="P351" t="inlineStr">
        <is>
          <t>或签任务</t>
        </is>
      </c>
      <c r="Q351" t="inlineStr">
        <is>
          <t>0</t>
        </is>
      </c>
      <c r="R351" t="inlineStr">
        <is>
          <t>朱金标,龚政涛,Decay</t>
        </is>
      </c>
      <c r="S351" s="4">
        <v>45906.333333333336</v>
      </c>
      <c r="T351" s="3" t="str">
        <f>=HYPERLINK("https://applink.feishu.cn/client/todo/task_list?guid=4d92b9af-66d1-4cd7-95d1-4b753a64ca6b", "跃入迷城")</f>
        <v>跃入迷城</v>
      </c>
      <c r="U351" t="inlineStr">
        <is>
          <t>4d92b9af-66d1-4cd7-95d1-4b753a64ca6b</t>
        </is>
      </c>
      <c r="V351" t="inlineStr">
        <is>
          <t>f6b0f2d9-62a6-4ff3-9bad-c9661d674259</t>
        </is>
      </c>
      <c r="W351"/>
      <c r="X351"/>
      <c r="Y351"/>
      <c r="Z351" t="inlineStr">
        <is>
          <t>0.0.5</t>
        </is>
      </c>
      <c r="AA351" t="inlineStr">
        <is>
          <t>装备</t>
        </is>
      </c>
      <c r="AB351"/>
      <c r="AC351" t="inlineStr">
        <is>
          <t>P0 - Must (not) Have</t>
        </is>
      </c>
      <c r="AD351" t="inlineStr">
        <is>
          <t>🎮玩法</t>
        </is>
      </c>
      <c r="AE351"/>
    </row>
    <row r="352" ht="25.5" customHeight="1">
      <c xml:space="preserve" r="A352" s="3" t="str">
        <f>=HYPERLINK("https://applink.feishu.cn/client/todo/detail?guid=aeb84947-9467-4a2a-a77c-ada3de4050cd&amp;suite_entity_num=t100811", "增加线稿VFX效果 &lt; 🪡修改：更新了战争迷雾区域的视觉效果，现在战争迷雾会正确遮挡未经过的房间内的对象 ")</f>
        <v>增加线稿VFX效果 &lt; 🪡修改：更新了战争迷雾区域的视觉效果，现在战争迷雾会正确遮挡未经过的房间内的对象 </v>
      </c>
      <c r="B352"/>
      <c r="C352"/>
      <c r="D352"/>
      <c r="E352"/>
      <c r="F352"/>
      <c r="G352" t="inlineStr">
        <is>
          <t>龚政涛</t>
        </is>
      </c>
      <c r="H352" s="4">
        <v>45812.45103009259</v>
      </c>
      <c r="I352" s="4">
        <v>45812.45128472222</v>
      </c>
      <c r="J352" s="4"/>
      <c r="K352" s="4">
        <v>45866.66321759259</v>
      </c>
      <c r="L352">
        <v>0</v>
      </c>
      <c r="M352">
        <v>0</v>
      </c>
      <c r="N352" t="inlineStr">
        <is>
          <t>NzQxMzM4ODg5NzkxNDY2NzAwOTphZWI4NDk0Ny05NDY3LTRhMmEtYTc3Yy1hZGEzZGU0MDUwY2Q6MmZlZDYzYjMzY2E1ZTc1MmVmOGE4YWYyMmUxODE4YTQ6MQ==</t>
        </is>
      </c>
      <c r="O352" t="inlineStr">
        <is>
          <t>1</t>
        </is>
      </c>
      <c r="P352" t="inlineStr">
        <is>
          <t>或签任务</t>
        </is>
      </c>
      <c r="Q352" t="inlineStr">
        <is>
          <t>0</t>
        </is>
      </c>
      <c r="R352" t="inlineStr">
        <is>
          <t>龚政涛</t>
        </is>
      </c>
      <c r="S352" s="4"/>
      <c r="T352" s="3" t="str">
        <f>=HYPERLINK("https://applink.feishu.cn/client/todo/task_list?guid=4d92b9af-66d1-4cd7-95d1-4b753a64ca6b", "跃入迷城")</f>
        <v>跃入迷城</v>
      </c>
      <c r="U352" t="inlineStr">
        <is>
          <t>4d92b9af-66d1-4cd7-95d1-4b753a64ca6b</t>
        </is>
      </c>
      <c r="V352" t="inlineStr">
        <is>
          <t>aeb84947-9467-4a2a-a77c-ada3de4050cd</t>
        </is>
      </c>
      <c r="W352"/>
      <c r="X352"/>
      <c r="Y352" t="inlineStr">
        <is>
          <t>33acb82f-b9b1-4ebe-aa2f-a587ffd97005</t>
        </is>
      </c>
      <c r="Z352" t="inlineStr">
        <is>
          <t>0.0.5</t>
        </is>
      </c>
      <c r="AA352" t="inlineStr">
        <is>
          <t>镜头</t>
        </is>
      </c>
      <c r="AB352"/>
      <c r="AC352"/>
      <c r="AD352" t="inlineStr">
        <is>
          <t>🎨艺术</t>
        </is>
      </c>
      <c r="AE352"/>
    </row>
    <row r="353" ht="25.5" customHeight="1">
      <c xml:space="preserve" r="A353" s="3" t="str">
        <f>=HYPERLINK("https://applink.feishu.cn/client/todo/detail?guid=dbe56b84-8058-4ba6-9bdf-9d62eb09ff39&amp;suite_entity_num=t100812", "增加双层战争迷雾：非墙壁的内容（家具）在黑色层不显示 &lt; 🪡修改：更新了战争迷雾区域的视觉效果，现在战争迷雾会正确遮挡未经过的房间内的对象 ")</f>
        <v>增加双层战争迷雾：非墙壁的内容（家具）在黑色层不显示 &lt; 🪡修改：更新了战争迷雾区域的视觉效果，现在战争迷雾会正确遮挡未经过的房间内的对象 </v>
      </c>
      <c r="B353"/>
      <c r="C353"/>
      <c r="D353"/>
      <c r="E353"/>
      <c r="F353" t="inlineStr">
        <is>
          <t>Decay</t>
        </is>
      </c>
      <c r="G353" t="inlineStr">
        <is>
          <t>龚政涛</t>
        </is>
      </c>
      <c r="H353" s="4">
        <v>45812.4512962963</v>
      </c>
      <c r="I353" s="4"/>
      <c r="J353" s="4">
        <v>45882.333333333336</v>
      </c>
      <c r="K353" s="4">
        <v>45880.606087962966</v>
      </c>
      <c r="L353">
        <v>0</v>
      </c>
      <c r="M353">
        <v>0</v>
      </c>
      <c r="N353" t="inlineStr">
        <is>
          <t>NzQxMzM4ODg5NzkxNDY2NzAwOTpkYmU1NmI4NC04MDU4LTRiYTYtOWJkZi05ZDYyZWIwOWZmMzk6MWRjMzgwOGE0ODRhNzBhN2NiMTI1NTM0MzlmYzk2OGM6MQ==</t>
        </is>
      </c>
      <c r="O353" t="inlineStr">
        <is>
          <t>0</t>
        </is>
      </c>
      <c r="P353" t="inlineStr">
        <is>
          <t>或签任务</t>
        </is>
      </c>
      <c r="Q353" t="inlineStr">
        <is>
          <t>0</t>
        </is>
      </c>
      <c r="R353" t="inlineStr">
        <is>
          <t>龚政涛,Decay</t>
        </is>
      </c>
      <c r="S353" s="4">
        <v>45882.333333333336</v>
      </c>
      <c r="T353" s="3" t="str">
        <f>=HYPERLINK("https://applink.feishu.cn/client/todo/task_list?guid=4d92b9af-66d1-4cd7-95d1-4b753a64ca6b", "跃入迷城")</f>
        <v>跃入迷城</v>
      </c>
      <c r="U353" t="inlineStr">
        <is>
          <t>4d92b9af-66d1-4cd7-95d1-4b753a64ca6b</t>
        </is>
      </c>
      <c r="V353" t="inlineStr">
        <is>
          <t>dbe56b84-8058-4ba6-9bdf-9d62eb09ff39</t>
        </is>
      </c>
      <c r="W353" t="inlineStr">
        <is>
          <t>93209a2b-1743-4f02-9826-009abf85f2fc</t>
        </is>
      </c>
      <c r="X353" t="inlineStr">
        <is>
          <t>37c599c7-c292-46b5-b71a-6ec18322a928</t>
        </is>
      </c>
      <c r="Y353" t="inlineStr">
        <is>
          <t>33acb82f-b9b1-4ebe-aa2f-a587ffd97005</t>
        </is>
      </c>
      <c r="Z353" t="inlineStr">
        <is>
          <t>0.0.5</t>
        </is>
      </c>
      <c r="AA353" t="inlineStr">
        <is>
          <t>镜头</t>
        </is>
      </c>
      <c r="AB353"/>
      <c r="AC353"/>
      <c r="AD353" t="inlineStr">
        <is>
          <t>🎨艺术</t>
        </is>
      </c>
      <c r="AE353"/>
    </row>
    <row r="354" ht="25.5" customHeight="1">
      <c xml:space="preserve" r="A354" s="3" t="str">
        <f>=HYPERLINK("https://applink.feishu.cn/client/todo/detail?guid=b8db2752-14ca-4485-a13b-4754b66a2ce3&amp;suite_entity_num=t100774", "✨新增：武器击中敌人带来的“卡肉”停顿效果，增强了游戏打击手感 ")</f>
        <v>✨新增：武器击中敌人带来的“卡肉”停顿效果，增强了游戏打击手感 </v>
      </c>
      <c r="B354"/>
      <c r="C354" t="inlineStr">
        <is>
          <t>默认分组</t>
        </is>
      </c>
      <c r="D354"/>
      <c r="E354"/>
      <c r="F354" t="inlineStr">
        <is>
          <t>Decay</t>
        </is>
      </c>
      <c r="G354" t="inlineStr">
        <is>
          <t>龚政涛</t>
        </is>
      </c>
      <c r="H354" s="4">
        <v>45799.676770833335</v>
      </c>
      <c r="I354" s="4">
        <v>45799.67674768518</v>
      </c>
      <c r="J354" s="4"/>
      <c r="K354" s="4">
        <v>45866.67383101852</v>
      </c>
      <c r="L354">
        <v>0</v>
      </c>
      <c r="M354">
        <v>0</v>
      </c>
      <c r="N354" t="inlineStr">
        <is>
          <t>NzQxMzM4ODg5NzkxNDY2NzAwOTpiOGRiMjc1Mi0xNGNhLTQ0ODUtYTEzYi00NzU0YjY2YTJjZTM6NDhiOGFkZTdkNzJlMDEwNzU0OGNlOTlhM2JiY2RhYjE6MQ==</t>
        </is>
      </c>
      <c r="O354" t="inlineStr">
        <is>
          <t>1</t>
        </is>
      </c>
      <c r="P354" t="inlineStr">
        <is>
          <t>或签任务</t>
        </is>
      </c>
      <c r="Q354" t="inlineStr">
        <is>
          <t>0</t>
        </is>
      </c>
      <c r="R354" t="inlineStr">
        <is>
          <t>龚政涛,Decay</t>
        </is>
      </c>
      <c r="S354" s="4"/>
      <c r="T354" s="3" t="str">
        <f>=HYPERLINK("https://applink.feishu.cn/client/todo/task_list?guid=4d92b9af-66d1-4cd7-95d1-4b753a64ca6b", "跃入迷城")</f>
        <v>跃入迷城</v>
      </c>
      <c r="U354" t="inlineStr">
        <is>
          <t>4d92b9af-66d1-4cd7-95d1-4b753a64ca6b</t>
        </is>
      </c>
      <c r="V354" t="inlineStr">
        <is>
          <t>b8db2752-14ca-4485-a13b-4754b66a2ce3</t>
        </is>
      </c>
      <c r="W354"/>
      <c r="X354"/>
      <c r="Y354"/>
      <c r="Z354" t="inlineStr">
        <is>
          <t>0.0.5</t>
        </is>
      </c>
      <c r="AA354"/>
      <c r="AB354"/>
      <c r="AC354"/>
      <c r="AD354"/>
      <c r="AE354"/>
    </row>
    <row r="355" ht="25.5" customHeight="1">
      <c xml:space="preserve" r="A355" s="3" t="str">
        <f>=HYPERLINK("https://applink.feishu.cn/client/todo/detail?guid=4f056fb9-dcab-4f16-bda2-8c88304952c2&amp;suite_entity_num=t100770", "✨新增：敌人和玩家的技能释放现在有了草图版本的VFX，玩家现在可以更清晰的看到技能影响的范围和释放状态 ")</f>
        <v>✨新增：敌人和玩家的技能释放现在有了草图版本的VFX，玩家现在可以更清晰的看到技能影响的范围和释放状态 </v>
      </c>
      <c r="B355"/>
      <c r="C355" t="inlineStr">
        <is>
          <t>默认分组</t>
        </is>
      </c>
      <c r="D355"/>
      <c r="E355"/>
      <c r="F355" t="inlineStr">
        <is>
          <t>Decay</t>
        </is>
      </c>
      <c r="G355" t="inlineStr">
        <is>
          <t>龚政涛</t>
        </is>
      </c>
      <c r="H355" s="4">
        <v>45799.67622685185</v>
      </c>
      <c r="I355" s="4">
        <v>45799.67621527778</v>
      </c>
      <c r="J355" s="4"/>
      <c r="K355" s="4">
        <v>45866.67386574074</v>
      </c>
      <c r="L355">
        <v>0</v>
      </c>
      <c r="M355">
        <v>0</v>
      </c>
      <c r="N355" t="inlineStr">
        <is>
          <t>NzQxMzM4ODg5NzkxNDY2NzAwOTo0ZjA1NmZiOS1kY2FiLTRmMTYtYmRhMi04Yzg4MzA0OTUyYzI6NmFjMzE1ZmQwNjViZWMxMjBhZmZkNzBiZmM4Zjg4YmU6MQ==</t>
        </is>
      </c>
      <c r="O355" t="inlineStr">
        <is>
          <t>1</t>
        </is>
      </c>
      <c r="P355" t="inlineStr">
        <is>
          <t>或签任务</t>
        </is>
      </c>
      <c r="Q355" t="inlineStr">
        <is>
          <t>0</t>
        </is>
      </c>
      <c r="R355" t="inlineStr">
        <is>
          <t>龚政涛,Decay</t>
        </is>
      </c>
      <c r="S355" s="4"/>
      <c r="T355" s="3" t="str">
        <f>=HYPERLINK("https://applink.feishu.cn/client/todo/task_list?guid=4d92b9af-66d1-4cd7-95d1-4b753a64ca6b", "跃入迷城")</f>
        <v>跃入迷城</v>
      </c>
      <c r="U355" t="inlineStr">
        <is>
          <t>4d92b9af-66d1-4cd7-95d1-4b753a64ca6b</t>
        </is>
      </c>
      <c r="V355" t="inlineStr">
        <is>
          <t>4f056fb9-dcab-4f16-bda2-8c88304952c2</t>
        </is>
      </c>
      <c r="W355"/>
      <c r="X355"/>
      <c r="Y355"/>
      <c r="Z355" t="inlineStr">
        <is>
          <t>0.0.5</t>
        </is>
      </c>
      <c r="AA355"/>
      <c r="AB355"/>
      <c r="AC355"/>
      <c r="AD355"/>
      <c r="AE355"/>
    </row>
    <row r="356" ht="25.5" customHeight="1">
      <c xml:space="preserve" r="A356" s="3" t="str">
        <f>=HYPERLINK("https://applink.feishu.cn/client/todo/detail?guid=b8c4e2a6-1eb2-4005-b20f-45c016b8ea2f&amp;suite_entity_num=t100775", "🪡修改：武器动画和实际前后摇数值匹配，现在武器会在正确的动画节点造成伤害 ")</f>
        <v>🪡修改：武器动画和实际前后摇数值匹配，现在武器会在正确的动画节点造成伤害 </v>
      </c>
      <c r="B356"/>
      <c r="C356" t="inlineStr">
        <is>
          <t>默认分组</t>
        </is>
      </c>
      <c r="D356"/>
      <c r="E356"/>
      <c r="F356" t="inlineStr">
        <is>
          <t>Decay</t>
        </is>
      </c>
      <c r="G356" t="inlineStr">
        <is>
          <t>龚政涛</t>
        </is>
      </c>
      <c r="H356" s="4">
        <v>45799.67681712963</v>
      </c>
      <c r="I356" s="4">
        <v>45799.67679398148</v>
      </c>
      <c r="J356" s="4"/>
      <c r="K356" s="4">
        <v>45866.67380787037</v>
      </c>
      <c r="L356">
        <v>0</v>
      </c>
      <c r="M356">
        <v>0</v>
      </c>
      <c r="N356" t="inlineStr">
        <is>
          <t>NzQxMzM4ODg5NzkxNDY2NzAwOTpiOGM0ZTJhNi0xZWIyLTQwMDUtYjIwZi00NWMwMTZiOGVhMmY6NTY0NjViZTkzY2Y0YjcwOTcyZWExMzFlM2UyNzliYjA6MQ==</t>
        </is>
      </c>
      <c r="O356" t="inlineStr">
        <is>
          <t>1</t>
        </is>
      </c>
      <c r="P356" t="inlineStr">
        <is>
          <t>或签任务</t>
        </is>
      </c>
      <c r="Q356" t="inlineStr">
        <is>
          <t>0</t>
        </is>
      </c>
      <c r="R356" t="inlineStr">
        <is>
          <t>龚政涛,Decay</t>
        </is>
      </c>
      <c r="S356" s="4"/>
      <c r="T356" s="3" t="str">
        <f>=HYPERLINK("https://applink.feishu.cn/client/todo/task_list?guid=4d92b9af-66d1-4cd7-95d1-4b753a64ca6b", "跃入迷城")</f>
        <v>跃入迷城</v>
      </c>
      <c r="U356" t="inlineStr">
        <is>
          <t>4d92b9af-66d1-4cd7-95d1-4b753a64ca6b</t>
        </is>
      </c>
      <c r="V356" t="inlineStr">
        <is>
          <t>b8c4e2a6-1eb2-4005-b20f-45c016b8ea2f</t>
        </is>
      </c>
      <c r="W356"/>
      <c r="X356"/>
      <c r="Y356"/>
      <c r="Z356" t="inlineStr">
        <is>
          <t>0.0.5</t>
        </is>
      </c>
      <c r="AA356"/>
      <c r="AB356"/>
      <c r="AC356"/>
      <c r="AD356"/>
      <c r="AE356"/>
    </row>
    <row r="357" ht="25.5" customHeight="1">
      <c xml:space="preserve" r="A357" s="3" t="str">
        <f>=HYPERLINK("https://applink.feishu.cn/client/todo/detail?guid=60fe4f56-8a63-4f90-8f59-7007420a95e6&amp;suite_entity_num=t100773", "🪡修改：冲刺现在被修改为翻滚，提供更写实的体验，并且内置了冷却时间。翻滚冷却期间玩家依旧可以奔跑 ")</f>
        <v>🪡修改：冲刺现在被修改为翻滚，提供更写实的体验，并且内置了冷却时间。翻滚冷却期间玩家依旧可以奔跑 </v>
      </c>
      <c r="B357"/>
      <c r="C357" t="inlineStr">
        <is>
          <t>默认分组</t>
        </is>
      </c>
      <c r="D357"/>
      <c r="E357"/>
      <c r="F357" t="inlineStr">
        <is>
          <t>Decay</t>
        </is>
      </c>
      <c r="G357" t="inlineStr">
        <is>
          <t>龚政涛</t>
        </is>
      </c>
      <c r="H357" s="4">
        <v>45799.676724537036</v>
      </c>
      <c r="I357" s="4">
        <v>45799.6890625</v>
      </c>
      <c r="J357" s="4"/>
      <c r="K357" s="4">
        <v>45866.673854166664</v>
      </c>
      <c r="L357">
        <v>0</v>
      </c>
      <c r="M357">
        <v>0</v>
      </c>
      <c r="N357" t="inlineStr">
        <is>
          <t>NzQxMzM4ODg5NzkxNDY2NzAwOTo2MGZlNGY1Ni04YTYzLTRmOTAtOGY1OS03MDA3NDIwYTk1ZTY6YWIwYmIyMzljNWZjNjYzMWFkYjBmY2VhYWM0MGY0MDc6MQ==</t>
        </is>
      </c>
      <c r="O357" t="inlineStr">
        <is>
          <t>1</t>
        </is>
      </c>
      <c r="P357" t="inlineStr">
        <is>
          <t>或签任务</t>
        </is>
      </c>
      <c r="Q357" t="inlineStr">
        <is>
          <t>0</t>
        </is>
      </c>
      <c r="R357" t="inlineStr">
        <is>
          <t>龚政涛,Decay</t>
        </is>
      </c>
      <c r="S357" s="4"/>
      <c r="T357" s="3" t="str">
        <f>=HYPERLINK("https://applink.feishu.cn/client/todo/task_list?guid=4d92b9af-66d1-4cd7-95d1-4b753a64ca6b", "跃入迷城")</f>
        <v>跃入迷城</v>
      </c>
      <c r="U357" t="inlineStr">
        <is>
          <t>4d92b9af-66d1-4cd7-95d1-4b753a64ca6b</t>
        </is>
      </c>
      <c r="V357" t="inlineStr">
        <is>
          <t>60fe4f56-8a63-4f90-8f59-7007420a95e6</t>
        </is>
      </c>
      <c r="W357"/>
      <c r="X357"/>
      <c r="Y357"/>
      <c r="Z357" t="inlineStr">
        <is>
          <t>0.0.5</t>
        </is>
      </c>
      <c r="AA357"/>
      <c r="AB357"/>
      <c r="AC357"/>
      <c r="AD357"/>
      <c r="AE357"/>
    </row>
    <row r="358" ht="25.5" customHeight="1">
      <c xml:space="preserve" r="A358" s="3" t="str">
        <f>=HYPERLINK("https://applink.feishu.cn/client/todo/detail?guid=593b9cf4-031c-4718-ad85-eecc9a1b47e9&amp;suite_entity_num=t100760", "🪡修改：武器打印的子弹获取机制，现在获取新的远程武器时，会赠送满弹夹的子弹，不会消耗备弹 ")</f>
        <v>🪡修改：武器打印的子弹获取机制，现在获取新的远程武器时，会赠送满弹夹的子弹，不会消耗备弹 </v>
      </c>
      <c r="B358"/>
      <c r="C358" t="inlineStr">
        <is>
          <t>默认分组</t>
        </is>
      </c>
      <c r="D358"/>
      <c r="E358"/>
      <c r="F358" t="inlineStr">
        <is>
          <t>Decay</t>
        </is>
      </c>
      <c r="G358" t="inlineStr">
        <is>
          <t>龚政涛</t>
        </is>
      </c>
      <c r="H358" s="4">
        <v>45799.67513888889</v>
      </c>
      <c r="I358" s="4">
        <v>45799.689305555556</v>
      </c>
      <c r="J358" s="4"/>
      <c r="K358" s="4">
        <v>45866.67391203704</v>
      </c>
      <c r="L358">
        <v>0</v>
      </c>
      <c r="M358">
        <v>0</v>
      </c>
      <c r="N358" t="inlineStr">
        <is>
          <t>NzQxMzM4ODg5NzkxNDY2NzAwOTo1OTNiOWNmNC0wMzFjLTQ3MTgtYWQ4NS1lZWNjOWExYjQ3ZTk6MjIwY2MzMGJjNzA2ZDBlNzM5N2JkMWUzNmNhY2VjMjM6MQ==</t>
        </is>
      </c>
      <c r="O358" t="inlineStr">
        <is>
          <t>1</t>
        </is>
      </c>
      <c r="P358" t="inlineStr">
        <is>
          <t>或签任务</t>
        </is>
      </c>
      <c r="Q358" t="inlineStr">
        <is>
          <t>0</t>
        </is>
      </c>
      <c r="R358" t="inlineStr">
        <is>
          <t>龚政涛,Decay</t>
        </is>
      </c>
      <c r="S358" s="4"/>
      <c r="T358" s="3" t="str">
        <f>=HYPERLINK("https://applink.feishu.cn/client/todo/task_list?guid=4d92b9af-66d1-4cd7-95d1-4b753a64ca6b", "跃入迷城")</f>
        <v>跃入迷城</v>
      </c>
      <c r="U358" t="inlineStr">
        <is>
          <t>4d92b9af-66d1-4cd7-95d1-4b753a64ca6b</t>
        </is>
      </c>
      <c r="V358" t="inlineStr">
        <is>
          <t>593b9cf4-031c-4718-ad85-eecc9a1b47e9</t>
        </is>
      </c>
      <c r="W358"/>
      <c r="X358"/>
      <c r="Y358"/>
      <c r="Z358" t="inlineStr">
        <is>
          <t>0.0.5</t>
        </is>
      </c>
      <c r="AA358"/>
      <c r="AB358"/>
      <c r="AC358"/>
      <c r="AD358"/>
      <c r="AE358"/>
    </row>
    <row r="359" ht="25.5" customHeight="1">
      <c r="A359" s="3" t="str">
        <f>=HYPERLINK("https://applink.feishu.cn/client/todo/detail?guid=396d7ce8-9fcb-4458-82be-49c8ffd67feb&amp;suite_entity_num=t100959", "v0.0.5结束")</f>
        <v>v0.0.5结束</v>
      </c>
      <c r="B359"/>
      <c r="C359" t="inlineStr">
        <is>
          <t>默认分组</t>
        </is>
      </c>
      <c r="D359"/>
      <c r="E359"/>
      <c r="F359" t="inlineStr">
        <is>
          <t>龚政涛</t>
        </is>
      </c>
      <c r="G359" t="inlineStr">
        <is>
          <t>龚政涛</t>
        </is>
      </c>
      <c r="H359" s="4">
        <v>45865.92236111111</v>
      </c>
      <c r="I359" s="4"/>
      <c r="J359" s="4">
        <v>45918.333333333336</v>
      </c>
      <c r="K359" s="4">
        <v>45911.41202546296</v>
      </c>
      <c r="L359">
        <v>0</v>
      </c>
      <c r="M359">
        <v>0</v>
      </c>
      <c r="N359" t="inlineStr">
        <is>
          <t>NzQxMzM4ODg5NzkxNDY2NzAwOTozOTZkN2NlOC05ZmNiLTQ0NTgtODJiZS00OWM4ZmZkNjdmZWI6NDAyOTY1N2Q5NGQzOWE0N2FhNTRhMjkzNzZmYjIxZmY6MQ==</t>
        </is>
      </c>
      <c r="O359" t="inlineStr">
        <is>
          <t>0</t>
        </is>
      </c>
      <c r="P359" t="inlineStr">
        <is>
          <t>或签任务</t>
        </is>
      </c>
      <c r="Q359" t="inlineStr">
        <is>
          <t>1</t>
        </is>
      </c>
      <c r="R359" t="inlineStr">
        <is>
          <t>龚政涛</t>
        </is>
      </c>
      <c r="S359" s="4"/>
      <c r="T359" s="3" t="str">
        <f>=HYPERLINK("https://applink.feishu.cn/client/todo/task_list?guid=4d92b9af-66d1-4cd7-95d1-4b753a64ca6b", "跃入迷城")</f>
        <v>跃入迷城</v>
      </c>
      <c r="U359" t="inlineStr">
        <is>
          <t>4d92b9af-66d1-4cd7-95d1-4b753a64ca6b</t>
        </is>
      </c>
      <c r="V359" t="inlineStr">
        <is>
          <t>396d7ce8-9fcb-4458-82be-49c8ffd67feb</t>
        </is>
      </c>
      <c r="W359"/>
      <c r="X359"/>
      <c r="Y359"/>
      <c r="Z359" t="inlineStr">
        <is>
          <t>0.0.5</t>
        </is>
      </c>
      <c r="AA359"/>
      <c r="AB359"/>
      <c r="AC359"/>
      <c r="AD359"/>
      <c r="AE359"/>
    </row>
    <row r="360" ht="25.5" customHeight="1">
      <c xml:space="preserve" r="A360" s="3" t="str">
        <f>=HYPERLINK("https://applink.feishu.cn/client/todo/detail?guid=87d899c7-58f7-4262-a500-90edc2006508&amp;suite_entity_num=t100778", "✨新增：技能现在由完整的前摇、释放、后摇动画驱动，以提供更好的释放手感，相对应的，调整了一系列技能的释放机制 ")</f>
        <v>✨新增：技能现在由完整的前摇、释放、后摇动画驱动，以提供更好的释放手感，相对应的，调整了一系列技能的释放机制 </v>
      </c>
      <c r="B360"/>
      <c r="C360" t="inlineStr">
        <is>
          <t>默认分组</t>
        </is>
      </c>
      <c r="D360"/>
      <c r="E360"/>
      <c r="F360" t="inlineStr">
        <is>
          <t>Decay</t>
        </is>
      </c>
      <c r="G360" t="inlineStr">
        <is>
          <t>龚政涛</t>
        </is>
      </c>
      <c r="H360" s="4">
        <v>45799.68923611111</v>
      </c>
      <c r="I360" s="4">
        <v>45799.68921296296</v>
      </c>
      <c r="J360" s="4"/>
      <c r="K360" s="4">
        <v>45866.673796296294</v>
      </c>
      <c r="L360">
        <v>0</v>
      </c>
      <c r="M360">
        <v>0</v>
      </c>
      <c r="N360" t="inlineStr">
        <is>
          <t>NzQxMzM4ODg5NzkxNDY2NzAwOTo4N2Q4OTljNy01OGY3LTQyNjItYTUwMC05MGVkYzIwMDY1MDg6YWNlZjc4N2Q2YTY1ZGQzMjNkMzJkNTQyZjJlNWMzMDk6MQ==</t>
        </is>
      </c>
      <c r="O360" t="inlineStr">
        <is>
          <t>1</t>
        </is>
      </c>
      <c r="P360" t="inlineStr">
        <is>
          <t>或签任务</t>
        </is>
      </c>
      <c r="Q360" t="inlineStr">
        <is>
          <t>0</t>
        </is>
      </c>
      <c r="R360" t="inlineStr">
        <is>
          <t>龚政涛,Decay</t>
        </is>
      </c>
      <c r="S360" s="4"/>
      <c r="T360" s="3" t="str">
        <f>=HYPERLINK("https://applink.feishu.cn/client/todo/task_list?guid=4d92b9af-66d1-4cd7-95d1-4b753a64ca6b", "跃入迷城")</f>
        <v>跃入迷城</v>
      </c>
      <c r="U360" t="inlineStr">
        <is>
          <t>4d92b9af-66d1-4cd7-95d1-4b753a64ca6b</t>
        </is>
      </c>
      <c r="V360" t="inlineStr">
        <is>
          <t>87d899c7-58f7-4262-a500-90edc2006508</t>
        </is>
      </c>
      <c r="W360"/>
      <c r="X360"/>
      <c r="Y360"/>
      <c r="Z360" t="inlineStr">
        <is>
          <t>0.0.5</t>
        </is>
      </c>
      <c r="AA360"/>
      <c r="AB360"/>
      <c r="AC360"/>
      <c r="AD360"/>
      <c r="AE360"/>
    </row>
    <row r="361" ht="25.5" customHeight="1">
      <c xml:space="preserve" r="A361" s="3" t="str">
        <f>=HYPERLINK("https://applink.feishu.cn/client/todo/detail?guid=6d4586f3-a33e-4867-a6df-3d8aada11257&amp;suite_entity_num=t100963", "✨新增：玩家现在在持有远程武器的情况下，可以按V键进行肘击；近战武器会直接触发普通攻击 ")</f>
        <v>✨新增：玩家现在在持有远程武器的情况下，可以按V键进行肘击；近战武器会直接触发普通攻击 </v>
      </c>
      <c r="B361"/>
      <c r="C361" t="inlineStr">
        <is>
          <t>默认分组</t>
        </is>
      </c>
      <c r="D361"/>
      <c r="E361"/>
      <c r="F361" t="inlineStr">
        <is>
          <t>Decay</t>
        </is>
      </c>
      <c r="G361" t="inlineStr">
        <is>
          <t>龚政涛</t>
        </is>
      </c>
      <c r="H361" s="4">
        <v>45865.937523148146</v>
      </c>
      <c r="I361" s="4">
        <v>45865.93751157408</v>
      </c>
      <c r="J361" s="4"/>
      <c r="K361" s="4">
        <v>45866.69211805556</v>
      </c>
      <c r="L361">
        <v>0</v>
      </c>
      <c r="M361">
        <v>0</v>
      </c>
      <c r="N361" t="inlineStr">
        <is>
          <t>NzQxMzM4ODg5NzkxNDY2NzAwOTo2ZDQ1ODZmMy1hMzNlLTQ4NjctYTZkZi0zZDhhYWRhMTEyNTc6NjJjZjQxNjViZDk3ZDRmM2U0NzA5NDE5YjQ4ODQ2NjY6MQ==</t>
        </is>
      </c>
      <c r="O361" t="inlineStr">
        <is>
          <t>1</t>
        </is>
      </c>
      <c r="P361" t="inlineStr">
        <is>
          <t>或签任务</t>
        </is>
      </c>
      <c r="Q361" t="inlineStr">
        <is>
          <t>0</t>
        </is>
      </c>
      <c r="R361" t="inlineStr">
        <is>
          <t>龚政涛,Decay</t>
        </is>
      </c>
      <c r="S361" s="4"/>
      <c r="T361" s="3" t="str">
        <f>=HYPERLINK("https://applink.feishu.cn/client/todo/task_list?guid=4d92b9af-66d1-4cd7-95d1-4b753a64ca6b", "跃入迷城")</f>
        <v>跃入迷城</v>
      </c>
      <c r="U361" t="inlineStr">
        <is>
          <t>4d92b9af-66d1-4cd7-95d1-4b753a64ca6b</t>
        </is>
      </c>
      <c r="V361" t="inlineStr">
        <is>
          <t>6d4586f3-a33e-4867-a6df-3d8aada11257</t>
        </is>
      </c>
      <c r="W361"/>
      <c r="X361"/>
      <c r="Y361"/>
      <c r="Z361" t="inlineStr">
        <is>
          <t>0.0.5</t>
        </is>
      </c>
      <c r="AA361" t="inlineStr">
        <is>
          <t>操作</t>
        </is>
      </c>
      <c r="AB361"/>
      <c r="AC361"/>
      <c r="AD361" t="inlineStr">
        <is>
          <t>🎮玩法</t>
        </is>
      </c>
      <c r="AE361"/>
    </row>
    <row r="362" ht="25.5" customHeight="1">
      <c r="A362" s="3" t="str">
        <f>=HYPERLINK("https://applink.feishu.cn/client/todo/detail?guid=f2c4aa90-8040-4349-b5de-2834f95471ce&amp;suite_entity_num=t100957", "调整关卡地图")</f>
        <v>调整关卡地图</v>
      </c>
      <c r="B362"/>
      <c r="C362" t="inlineStr">
        <is>
          <t>默认分组</t>
        </is>
      </c>
      <c r="D362"/>
      <c r="E362"/>
      <c r="F362" t="inlineStr">
        <is>
          <t>rio</t>
        </is>
      </c>
      <c r="G362" t="inlineStr">
        <is>
          <t>龚政涛</t>
        </is>
      </c>
      <c r="H362" s="4">
        <v>45865.91894675926</v>
      </c>
      <c r="I362" s="4">
        <v>45874.40292824074</v>
      </c>
      <c r="J362" s="4">
        <v>45866.333333333336</v>
      </c>
      <c r="K362" s="4">
        <v>45874.40292824074</v>
      </c>
      <c r="L362">
        <v>0</v>
      </c>
      <c r="M362">
        <v>0</v>
      </c>
      <c r="N362" t="inlineStr">
        <is>
          <t>NzQxMzM4ODg5NzkxNDY2NzAwOTpmMmM0YWE5MC04MDQwLTQzNDktYjVkZS0yODM0Zjk1NDcxY2U6NWUwMjUyNjRiZjQxYTE3YzRjZGFlZjZmODg4MmVmYmQ6MQ==</t>
        </is>
      </c>
      <c r="O362" t="inlineStr">
        <is>
          <t>1</t>
        </is>
      </c>
      <c r="P362" t="inlineStr">
        <is>
          <t>或签任务</t>
        </is>
      </c>
      <c r="Q362" t="inlineStr">
        <is>
          <t>0</t>
        </is>
      </c>
      <c r="R362" t="inlineStr">
        <is>
          <t>龚政涛,rio</t>
        </is>
      </c>
      <c r="S362" s="4">
        <v>45866.333333333336</v>
      </c>
      <c r="T362" s="3" t="str">
        <f>=HYPERLINK("https://applink.feishu.cn/client/todo/task_list?guid=4d92b9af-66d1-4cd7-95d1-4b753a64ca6b", "跃入迷城")</f>
        <v>跃入迷城</v>
      </c>
      <c r="U362" t="inlineStr">
        <is>
          <t>4d92b9af-66d1-4cd7-95d1-4b753a64ca6b</t>
        </is>
      </c>
      <c r="V362" t="inlineStr">
        <is>
          <t>f2c4aa90-8040-4349-b5de-2834f95471ce</t>
        </is>
      </c>
      <c r="W362"/>
      <c r="X362"/>
      <c r="Y362"/>
      <c r="Z362" t="inlineStr">
        <is>
          <t>0.0.5</t>
        </is>
      </c>
      <c r="AA362" t="inlineStr">
        <is>
          <t>关卡</t>
        </is>
      </c>
      <c r="AB362"/>
      <c r="AC362"/>
      <c r="AD362" t="inlineStr">
        <is>
          <t>🎮玩法</t>
        </is>
      </c>
      <c r="AE362"/>
    </row>
    <row r="363" ht="25.5" customHeight="1">
      <c xml:space="preserve" r="A363" s="3" t="str">
        <f>=HYPERLINK("https://applink.feishu.cn/client/todo/detail?guid=945cb279-1edd-4e1a-aaf3-093ef3ff942e&amp;suite_entity_num=t100759", "✨新增：武器掉落功能，现在从武器打印机获取新武器时，被替换的武器会掉落在地上，便于玩家再次更换 ")</f>
        <v>✨新增：武器掉落功能，现在从武器打印机获取新武器时，被替换的武器会掉落在地上，便于玩家再次更换 </v>
      </c>
      <c r="B363"/>
      <c r="C363" t="inlineStr">
        <is>
          <t>默认分组</t>
        </is>
      </c>
      <c r="D363"/>
      <c r="E363"/>
      <c r="F363" t="inlineStr">
        <is>
          <t>Decay</t>
        </is>
      </c>
      <c r="G363" t="inlineStr">
        <is>
          <t>龚政涛</t>
        </is>
      </c>
      <c r="H363" s="4">
        <v>45799.675</v>
      </c>
      <c r="I363" s="4">
        <v>45799.67501157407</v>
      </c>
      <c r="J363" s="4"/>
      <c r="K363" s="4">
        <v>45866.67393518519</v>
      </c>
      <c r="L363">
        <v>0</v>
      </c>
      <c r="M363">
        <v>0</v>
      </c>
      <c r="N363" t="inlineStr">
        <is>
          <t>NzQxMzM4ODg5NzkxNDY2NzAwOTo5NDVjYjI3OS0xZWRkLTRlMWEtYWFmMy0wOTNlZjNmZjk0MmU6M2ZmNjhkYWQ2ZWU0ZjEzNDhjNDJkZmE2ZTgxYmVlYTg6MQ==</t>
        </is>
      </c>
      <c r="O363" t="inlineStr">
        <is>
          <t>1</t>
        </is>
      </c>
      <c r="P363" t="inlineStr">
        <is>
          <t>或签任务</t>
        </is>
      </c>
      <c r="Q363" t="inlineStr">
        <is>
          <t>0</t>
        </is>
      </c>
      <c r="R363" t="inlineStr">
        <is>
          <t>龚政涛,Decay</t>
        </is>
      </c>
      <c r="S363" s="4"/>
      <c r="T363" s="3" t="str">
        <f>=HYPERLINK("https://applink.feishu.cn/client/todo/task_list?guid=4d92b9af-66d1-4cd7-95d1-4b753a64ca6b", "跃入迷城")</f>
        <v>跃入迷城</v>
      </c>
      <c r="U363" t="inlineStr">
        <is>
          <t>4d92b9af-66d1-4cd7-95d1-4b753a64ca6b</t>
        </is>
      </c>
      <c r="V363" t="inlineStr">
        <is>
          <t>945cb279-1edd-4e1a-aaf3-093ef3ff942e</t>
        </is>
      </c>
      <c r="W363"/>
      <c r="X363"/>
      <c r="Y363"/>
      <c r="Z363" t="inlineStr">
        <is>
          <t>0.0.5</t>
        </is>
      </c>
      <c r="AA363"/>
      <c r="AB363"/>
      <c r="AC363"/>
      <c r="AD363"/>
      <c r="AE363"/>
    </row>
    <row r="364" ht="25.5" customHeight="1">
      <c r="A364" s="3" t="str">
        <f>=HYPERLINK("https://applink.feishu.cn/client/todo/detail?guid=71dbb5bb-1bea-44d1-81dc-688cd9e5aa86&amp;suite_entity_num=t100958", "v0.0.5开始")</f>
        <v>v0.0.5开始</v>
      </c>
      <c r="B364"/>
      <c r="C364" t="inlineStr">
        <is>
          <t>默认分组</t>
        </is>
      </c>
      <c r="D364"/>
      <c r="E364"/>
      <c r="F364" t="inlineStr">
        <is>
          <t>龚政涛</t>
        </is>
      </c>
      <c r="G364" t="inlineStr">
        <is>
          <t>龚政涛</t>
        </is>
      </c>
      <c r="H364" s="4">
        <v>45865.922314814816</v>
      </c>
      <c r="I364" s="4">
        <v>45865.92320601852</v>
      </c>
      <c r="J364" s="4">
        <v>45733.333333333336</v>
      </c>
      <c r="K364" s="4">
        <v>45866.674108796295</v>
      </c>
      <c r="L364">
        <v>0</v>
      </c>
      <c r="M364">
        <v>0</v>
      </c>
      <c r="N364" t="inlineStr">
        <is>
          <t>NzQxMzM4ODg5NzkxNDY2NzAwOTo3MWRiYjViYi0xYmVhLTQ0ZDEtODFkYy02ODhjZDllNWFhODY6MTU3NDExNjQ3ZTEzYzc4ODg4M2VjYWYwNjI2MjBlMTM6MQ==</t>
        </is>
      </c>
      <c r="O364" t="inlineStr">
        <is>
          <t>1</t>
        </is>
      </c>
      <c r="P364" t="inlineStr">
        <is>
          <t>或签任务</t>
        </is>
      </c>
      <c r="Q364" t="inlineStr">
        <is>
          <t>1</t>
        </is>
      </c>
      <c r="R364" t="inlineStr">
        <is>
          <t>龚政涛</t>
        </is>
      </c>
      <c r="S364" s="4">
        <v>45733.333333333336</v>
      </c>
      <c r="T364" s="3" t="str">
        <f>=HYPERLINK("https://applink.feishu.cn/client/todo/task_list?guid=4d92b9af-66d1-4cd7-95d1-4b753a64ca6b", "跃入迷城")</f>
        <v>跃入迷城</v>
      </c>
      <c r="U364" t="inlineStr">
        <is>
          <t>4d92b9af-66d1-4cd7-95d1-4b753a64ca6b</t>
        </is>
      </c>
      <c r="V364" t="inlineStr">
        <is>
          <t>71dbb5bb-1bea-44d1-81dc-688cd9e5aa86</t>
        </is>
      </c>
      <c r="W364"/>
      <c r="X364"/>
      <c r="Y364"/>
      <c r="Z364" t="inlineStr">
        <is>
          <t>0.0.5</t>
        </is>
      </c>
      <c r="AA364"/>
      <c r="AB364"/>
      <c r="AC364"/>
      <c r="AD364"/>
      <c r="AE364"/>
    </row>
    <row r="365" ht="25.5" customHeight="1">
      <c xml:space="preserve" r="A365" s="3" t="str">
        <f>=HYPERLINK("https://applink.feishu.cn/client/todo/detail?guid=72d47dc8-8f11-455f-a465-34ad5853d924&amp;suite_entity_num=t100956", "调整墙面底色 &lt; ✨新增：墙壁、地面、门、窗、电梯制作了定制模型，以更好的呈现正式版本的视觉风格 ")</f>
        <v>调整墙面底色 &lt; ✨新增：墙壁、地面、门、窗、电梯制作了定制模型，以更好的呈现正式版本的视觉风格 </v>
      </c>
      <c r="B365"/>
      <c r="C365"/>
      <c r="D365"/>
      <c r="E365"/>
      <c r="F365" t="inlineStr">
        <is>
          <t>陈麒升</t>
        </is>
      </c>
      <c r="G365" t="inlineStr">
        <is>
          <t>龚政涛</t>
        </is>
      </c>
      <c r="H365" s="4">
        <v>45860.853634259256</v>
      </c>
      <c r="I365" s="4">
        <v>45882.496979166666</v>
      </c>
      <c r="J365" s="4">
        <v>45879.333333333336</v>
      </c>
      <c r="K365" s="4">
        <v>45895.48270833334</v>
      </c>
      <c r="L365">
        <v>0</v>
      </c>
      <c r="M365">
        <v>0</v>
      </c>
      <c r="N365" t="inlineStr">
        <is>
          <t>NzQxMzM4ODg5NzkxNDY2NzAwOTo3MmQ0N2RjOC04ZjExLTQ1NWYtYTQ2NS0zNGFkNTg1M2Q5MjQ6NjNiMGYyMTFmZDQyZGQ4NjJiMDZmN2Q1MjI4ZGJhMjk6MQ==</t>
        </is>
      </c>
      <c r="O365" t="inlineStr">
        <is>
          <t>1</t>
        </is>
      </c>
      <c r="P365" t="inlineStr">
        <is>
          <t>或签任务</t>
        </is>
      </c>
      <c r="Q365" t="inlineStr">
        <is>
          <t>0</t>
        </is>
      </c>
      <c r="R365" t="inlineStr">
        <is>
          <t>陈麒升,龚政涛,陈吉瑞</t>
        </is>
      </c>
      <c r="S365" s="4">
        <v>45861.333333333336</v>
      </c>
      <c r="T365" s="3" t="str">
        <f>=HYPERLINK("https://applink.feishu.cn/client/todo/task_list?guid=4d92b9af-66d1-4cd7-95d1-4b753a64ca6b", "跃入迷城")</f>
        <v>跃入迷城</v>
      </c>
      <c r="U365" t="inlineStr">
        <is>
          <t>4d92b9af-66d1-4cd7-95d1-4b753a64ca6b</t>
        </is>
      </c>
      <c r="V365" t="inlineStr">
        <is>
          <t>72d47dc8-8f11-455f-a465-34ad5853d924</t>
        </is>
      </c>
      <c r="W365" t="inlineStr">
        <is>
          <t>1ef4b309-db26-4a09-bba8-db9a6247069e</t>
        </is>
      </c>
      <c r="X365"/>
      <c r="Y365" t="inlineStr">
        <is>
          <t>b5b3cf09-e2af-4f6b-885e-c3afc23421c1</t>
        </is>
      </c>
      <c r="Z365" t="inlineStr">
        <is>
          <t>0.0.5</t>
        </is>
      </c>
      <c r="AA365" t="inlineStr">
        <is>
          <t>模型</t>
        </is>
      </c>
      <c r="AB365" t="inlineStr">
        <is>
          <t>已完成</t>
        </is>
      </c>
      <c r="AC365"/>
      <c r="AD365" t="inlineStr">
        <is>
          <t>🎨艺术</t>
        </is>
      </c>
      <c r="AE365">
        <v>2</v>
      </c>
    </row>
    <row r="366" ht="25.5" customHeight="1">
      <c xml:space="preserve" r="A366" s="3" t="str">
        <f>=HYPERLINK("https://applink.feishu.cn/client/todo/detail?guid=95067256-bbc8-4e66-bde5-ff95afff9d2a&amp;suite_entity_num=t100779", "🪡修改：翻滚的触发逻辑改为“释放翻滚键时触发”，而非原本的“按下翻滚键时触发”，现在玩家可以长按翻滚键，不触发翻滚，直接进行奔跑  ")</f>
        <v>🪡修改：翻滚的触发逻辑改为“释放翻滚键时触发”，而非原本的“按下翻滚键时触发”，现在玩家可以长按翻滚键，不触发翻滚，直接进行奔跑  </v>
      </c>
      <c r="B366"/>
      <c r="C366" t="inlineStr">
        <is>
          <t>默认分组</t>
        </is>
      </c>
      <c r="D366"/>
      <c r="E366"/>
      <c r="F366" t="inlineStr">
        <is>
          <t>Decay</t>
        </is>
      </c>
      <c r="G366" t="inlineStr">
        <is>
          <t>龚政涛</t>
        </is>
      </c>
      <c r="H366" s="4">
        <v>45799.689259259256</v>
      </c>
      <c r="I366" s="4">
        <v>45799.68922453704</v>
      </c>
      <c r="J366" s="4"/>
      <c r="K366" s="4">
        <v>45866.67377314815</v>
      </c>
      <c r="L366">
        <v>0</v>
      </c>
      <c r="M366">
        <v>0</v>
      </c>
      <c r="N366" t="inlineStr">
        <is>
          <t>NzQxMzM4ODg5NzkxNDY2NzAwOTo5NTA2NzI1Ni1iYmM4LTRlNjYtYmRlNS1mZjk1YWZmZjlkMmE6M2NjODFhZDdmMWE5N2RmYzQxMTY4MDEwN2QzMzk1YTQ6MQ==</t>
        </is>
      </c>
      <c r="O366" t="inlineStr">
        <is>
          <t>1</t>
        </is>
      </c>
      <c r="P366" t="inlineStr">
        <is>
          <t>或签任务</t>
        </is>
      </c>
      <c r="Q366" t="inlineStr">
        <is>
          <t>0</t>
        </is>
      </c>
      <c r="R366" t="inlineStr">
        <is>
          <t>龚政涛,Decay</t>
        </is>
      </c>
      <c r="S366" s="4"/>
      <c r="T366" s="3" t="str">
        <f>=HYPERLINK("https://applink.feishu.cn/client/todo/task_list?guid=4d92b9af-66d1-4cd7-95d1-4b753a64ca6b", "跃入迷城")</f>
        <v>跃入迷城</v>
      </c>
      <c r="U366" t="inlineStr">
        <is>
          <t>4d92b9af-66d1-4cd7-95d1-4b753a64ca6b</t>
        </is>
      </c>
      <c r="V366" t="inlineStr">
        <is>
          <t>95067256-bbc8-4e66-bde5-ff95afff9d2a</t>
        </is>
      </c>
      <c r="W366"/>
      <c r="X366"/>
      <c r="Y366"/>
      <c r="Z366" t="inlineStr">
        <is>
          <t>0.0.5</t>
        </is>
      </c>
      <c r="AA366"/>
      <c r="AB366"/>
      <c r="AC366"/>
      <c r="AD366"/>
      <c r="AE366"/>
    </row>
    <row r="367" ht="25.5" customHeight="1">
      <c r="A367" s="3" t="str">
        <f>=HYPERLINK("https://applink.feishu.cn/client/todo/detail?guid=133aa92b-94f2-4046-8fcc-a92b596d3695&amp;suite_entity_num=t100930", "GUI资产迁移")</f>
        <v>GUI资产迁移</v>
      </c>
      <c r="B367"/>
      <c r="C367" t="inlineStr">
        <is>
          <t>默认分组</t>
        </is>
      </c>
      <c r="D367"/>
      <c r="E367"/>
      <c r="F367" t="inlineStr">
        <is>
          <t>郭斯已</t>
        </is>
      </c>
      <c r="G367" t="inlineStr">
        <is>
          <t>龚政涛</t>
        </is>
      </c>
      <c r="H367" s="4">
        <v>45859.46634259259</v>
      </c>
      <c r="I367" s="4">
        <v>45862.431550925925</v>
      </c>
      <c r="J367" s="4">
        <v>45860.333333333336</v>
      </c>
      <c r="K367" s="4">
        <v>45866.68633101852</v>
      </c>
      <c r="L367">
        <v>0</v>
      </c>
      <c r="M367">
        <v>0</v>
      </c>
      <c r="N367" t="inlineStr">
        <is>
          <t>NzQxMzM4ODg5NzkxNDY2NzAwOToxMzNhYTkyYi05NGYyLTQwNDYtOGZjYy1hOTJiNTk2ZDM2OTU6ODY4N2JhYzE0NzcwNTZiNTAwMzMzZDMzNzZkYjgzMjc6MQ==</t>
        </is>
      </c>
      <c r="O367" t="inlineStr">
        <is>
          <t>1</t>
        </is>
      </c>
      <c r="P367" t="inlineStr">
        <is>
          <t>或签任务</t>
        </is>
      </c>
      <c r="Q367" t="inlineStr">
        <is>
          <t>0</t>
        </is>
      </c>
      <c r="R367" t="inlineStr">
        <is>
          <t>龚政涛,郭斯已</t>
        </is>
      </c>
      <c r="S367" s="4">
        <v>45859.333333333336</v>
      </c>
      <c r="T367" s="3" t="str">
        <f>=HYPERLINK("https://applink.feishu.cn/client/todo/task_list?guid=4d92b9af-66d1-4cd7-95d1-4b753a64ca6b", "跃入迷城")</f>
        <v>跃入迷城</v>
      </c>
      <c r="U367" t="inlineStr">
        <is>
          <t>4d92b9af-66d1-4cd7-95d1-4b753a64ca6b</t>
        </is>
      </c>
      <c r="V367" t="inlineStr">
        <is>
          <t>133aa92b-94f2-4046-8fcc-a92b596d3695</t>
        </is>
      </c>
      <c r="W367"/>
      <c r="X367" t="inlineStr">
        <is>
          <t>c08b809c-ce26-4c9f-a6a5-b500c4266b7e</t>
        </is>
      </c>
      <c r="Y367"/>
      <c r="Z367" t="inlineStr">
        <is>
          <t>0.0.5</t>
        </is>
      </c>
      <c r="AA367" t="inlineStr">
        <is>
          <t>UIUX</t>
        </is>
      </c>
      <c r="AB367"/>
      <c r="AC367"/>
      <c r="AD367" t="inlineStr">
        <is>
          <t>🎨艺术</t>
        </is>
      </c>
      <c r="AE367"/>
    </row>
    <row r="368" ht="25.5" customHeight="1">
      <c r="A368" s="3" t="str">
        <f>=HYPERLINK("https://applink.feishu.cn/client/todo/detail?guid=cffa4f2c-fb50-49e2-aad9-4a85adbe2690&amp;suite_entity_num=t100961", "角色插图制作")</f>
        <v>角色插图制作</v>
      </c>
      <c r="B368"/>
      <c r="C368" t="inlineStr">
        <is>
          <t>默认分组</t>
        </is>
      </c>
      <c r="D368"/>
      <c r="E368">
        <v>0.32</v>
      </c>
      <c r="F368" t="inlineStr">
        <is>
          <t>Ke Huang</t>
        </is>
      </c>
      <c r="G368" t="inlineStr">
        <is>
          <t>龚政涛</t>
        </is>
      </c>
      <c r="H368" s="4">
        <v>45865.92458333333</v>
      </c>
      <c r="I368" s="4"/>
      <c r="J368" s="4"/>
      <c r="K368" s="4">
        <v>45895.47990740741</v>
      </c>
      <c r="L368">
        <v>19</v>
      </c>
      <c r="M368">
        <v>0</v>
      </c>
      <c r="N368" t="inlineStr">
        <is>
          <t>NzQxMzM4ODg5NzkxNDY2NzAwOTpjZmZhNGYyYy1mYjUwLTQ5ZTItYWFkOS00YTg1YWRiZTI2OTA6OGE4ZWM0MjllODJiMDY5NTVlNTVmNThhYzY1NTJmZjQ6MQ==</t>
        </is>
      </c>
      <c r="O368" t="inlineStr">
        <is>
          <t>0</t>
        </is>
      </c>
      <c r="P368" t="inlineStr">
        <is>
          <t>或签任务</t>
        </is>
      </c>
      <c r="Q368" t="inlineStr">
        <is>
          <t>0</t>
        </is>
      </c>
      <c r="R368" t="inlineStr">
        <is>
          <t>Ke Huang,陈麒升,龚政涛</t>
        </is>
      </c>
      <c r="S368" s="4"/>
      <c r="T368" s="3" t="str">
        <f>=HYPERLINK("https://applink.feishu.cn/client/todo/task_list?guid=4d92b9af-66d1-4cd7-95d1-4b753a64ca6b", "跃入迷城")</f>
        <v>跃入迷城</v>
      </c>
      <c r="U368" t="inlineStr">
        <is>
          <t>4d92b9af-66d1-4cd7-95d1-4b753a64ca6b</t>
        </is>
      </c>
      <c r="V368" t="inlineStr">
        <is>
          <t>cffa4f2c-fb50-49e2-aad9-4a85adbe2690</t>
        </is>
      </c>
      <c r="W368"/>
      <c r="X368"/>
      <c r="Y368"/>
      <c r="Z368" t="inlineStr">
        <is>
          <t>0.0.5</t>
        </is>
      </c>
      <c r="AA368" t="inlineStr">
        <is>
          <t>平面美术</t>
        </is>
      </c>
      <c r="AB368" t="inlineStr">
        <is>
          <t>已拆分</t>
        </is>
      </c>
      <c r="AC368"/>
      <c r="AD368" t="inlineStr">
        <is>
          <t>🎨艺术</t>
        </is>
      </c>
      <c r="AE368"/>
    </row>
    <row r="369" ht="25.5" customHeight="1">
      <c r="A369" s="3" t="str">
        <f>=HYPERLINK("https://applink.feishu.cn/client/todo/detail?guid=f356c602-6674-45f1-9900-0a242a2920dd&amp;suite_entity_num=t100932", "UI界面参考整理")</f>
        <v>UI界面参考整理</v>
      </c>
      <c r="B369" t="inlineStr">
        <is>
          <t>任务关闭，逐步完成</t>
        </is>
      </c>
      <c r="C369" t="inlineStr">
        <is>
          <t>默认分组</t>
        </is>
      </c>
      <c r="D369"/>
      <c r="E369"/>
      <c r="F369" t="inlineStr">
        <is>
          <t>龚政涛</t>
        </is>
      </c>
      <c r="G369" t="inlineStr">
        <is>
          <t>龚政涛</t>
        </is>
      </c>
      <c r="H369" s="4">
        <v>45859.466412037036</v>
      </c>
      <c r="I369" s="4">
        <v>45870.48008101852</v>
      </c>
      <c r="J369" s="4">
        <v>45869.333333333336</v>
      </c>
      <c r="K369" s="4">
        <v>45870.480092592596</v>
      </c>
      <c r="L369">
        <v>0</v>
      </c>
      <c r="M369">
        <v>0</v>
      </c>
      <c r="N369" t="inlineStr">
        <is>
          <t>NzQxMzM4ODg5NzkxNDY2NzAwOTpmMzU2YzYwMi02Njc0LTQ1ZjEtOTkwMC0wYTI0MmEyOTIwZGQ6NDRiNmExZWMzNGI2Njk5NTkxYjVjMDY2NDZlYWNlOTM6MQ==</t>
        </is>
      </c>
      <c r="O369" t="inlineStr">
        <is>
          <t>1</t>
        </is>
      </c>
      <c r="P369" t="inlineStr">
        <is>
          <t>或签任务</t>
        </is>
      </c>
      <c r="Q369" t="inlineStr">
        <is>
          <t>0</t>
        </is>
      </c>
      <c r="R369" t="inlineStr">
        <is>
          <t>郭斯已,龚政涛</t>
        </is>
      </c>
      <c r="S369" s="4">
        <v>45867.333333333336</v>
      </c>
      <c r="T369" s="3" t="str">
        <f>=HYPERLINK("https://applink.feishu.cn/client/todo/task_list?guid=4d92b9af-66d1-4cd7-95d1-4b753a64ca6b", "跃入迷城")</f>
        <v>跃入迷城</v>
      </c>
      <c r="U369" t="inlineStr">
        <is>
          <t>4d92b9af-66d1-4cd7-95d1-4b753a64ca6b</t>
        </is>
      </c>
      <c r="V369" t="inlineStr">
        <is>
          <t>f356c602-6674-45f1-9900-0a242a2920dd</t>
        </is>
      </c>
      <c r="W369" t="inlineStr">
        <is>
          <t>02d674fa-120d-4427-bc7f-95ce553e5b4f</t>
        </is>
      </c>
      <c r="X369"/>
      <c r="Y369"/>
      <c r="Z369" t="inlineStr">
        <is>
          <t>0.0.5</t>
        </is>
      </c>
      <c r="AA369" t="inlineStr">
        <is>
          <t>UIUX</t>
        </is>
      </c>
      <c r="AB369"/>
      <c r="AC369"/>
      <c r="AD369" t="inlineStr">
        <is>
          <t>🎨艺术</t>
        </is>
      </c>
      <c r="AE369"/>
    </row>
    <row r="370" ht="25.5" customHeight="1">
      <c r="A370" s="3" t="str">
        <f>=HYPERLINK("https://applink.feishu.cn/client/todo/detail?guid=d4fe14e4-ffc8-4525-9146-aab0528eee0a&amp;suite_entity_num=t100962", "角色模型制作")</f>
        <v>角色模型制作</v>
      </c>
      <c r="B370"/>
      <c r="C370" t="inlineStr">
        <is>
          <t>默认分组</t>
        </is>
      </c>
      <c r="D370"/>
      <c r="E370">
        <v>0</v>
      </c>
      <c r="F370" t="inlineStr">
        <is>
          <t>陈吉瑞</t>
        </is>
      </c>
      <c r="G370" t="inlineStr">
        <is>
          <t>龚政涛</t>
        </is>
      </c>
      <c r="H370" s="4">
        <v>45865.92465277778</v>
      </c>
      <c r="I370" s="4"/>
      <c r="J370" s="4"/>
      <c r="K370" s="4">
        <v>45890.48212962963</v>
      </c>
      <c r="L370">
        <v>6</v>
      </c>
      <c r="M370">
        <v>0</v>
      </c>
      <c r="N370" t="inlineStr">
        <is>
          <t>NzQxMzM4ODg5NzkxNDY2NzAwOTpkNGZlMTRlNC1mZmM4LTQ1MjUtOTE0Ni1hYWIwNTI4ZWVlMGE6OGEzNTVmNTk1MDc0YjA1NzQ2Y2I5ZjczOTkyMjQwNTk6MQ==</t>
        </is>
      </c>
      <c r="O370" t="inlineStr">
        <is>
          <t>0</t>
        </is>
      </c>
      <c r="P370" t="inlineStr">
        <is>
          <t>或签任务</t>
        </is>
      </c>
      <c r="Q370" t="inlineStr">
        <is>
          <t>0</t>
        </is>
      </c>
      <c r="R370" t="inlineStr">
        <is>
          <t>龚政涛,陈麒升,陈吉瑞</t>
        </is>
      </c>
      <c r="S370" s="4"/>
      <c r="T370" s="3" t="str">
        <f>=HYPERLINK("https://applink.feishu.cn/client/todo/task_list?guid=4d92b9af-66d1-4cd7-95d1-4b753a64ca6b", "跃入迷城")</f>
        <v>跃入迷城</v>
      </c>
      <c r="U370" t="inlineStr">
        <is>
          <t>4d92b9af-66d1-4cd7-95d1-4b753a64ca6b</t>
        </is>
      </c>
      <c r="V370" t="inlineStr">
        <is>
          <t>d4fe14e4-ffc8-4525-9146-aab0528eee0a</t>
        </is>
      </c>
      <c r="W370"/>
      <c r="X370"/>
      <c r="Y370"/>
      <c r="Z370" t="inlineStr">
        <is>
          <t>0.0.5</t>
        </is>
      </c>
      <c r="AA370" t="inlineStr">
        <is>
          <t>模型</t>
        </is>
      </c>
      <c r="AB370" t="inlineStr">
        <is>
          <t>已拆分</t>
        </is>
      </c>
      <c r="AC370" t="inlineStr">
        <is>
          <t>P0 - Must (not) Have</t>
        </is>
      </c>
      <c r="AD370" t="inlineStr">
        <is>
          <t>🎨艺术</t>
        </is>
      </c>
      <c r="AE370"/>
    </row>
    <row r="371" ht="25.5" customHeight="1">
      <c r="A371" s="3" t="str">
        <f>=HYPERLINK("https://applink.feishu.cn/client/todo/detail?guid=4e435839-4a90-4bcc-baff-f9e5e2de414a&amp;suite_entity_num=t100953", "角色对话文本撰写")</f>
        <v>角色对话文本撰写</v>
      </c>
      <c r="B371"/>
      <c r="C371" t="inlineStr">
        <is>
          <t>默认分组</t>
        </is>
      </c>
      <c r="D371"/>
      <c r="E371"/>
      <c r="F371" t="inlineStr">
        <is>
          <t>肇国亨</t>
        </is>
      </c>
      <c r="G371" t="inlineStr">
        <is>
          <t>龚政涛</t>
        </is>
      </c>
      <c r="H371" s="4">
        <v>45860.6643287037</v>
      </c>
      <c r="I371" s="4"/>
      <c r="J371" s="4"/>
      <c r="K371" s="4">
        <v>45896.51351851852</v>
      </c>
      <c r="L371">
        <v>0</v>
      </c>
      <c r="M371">
        <v>0</v>
      </c>
      <c r="N371" t="inlineStr">
        <is>
          <t>NzQxMzM4ODg5NzkxNDY2NzAwOTo0ZTQzNTgzOS00YTkwLTRiY2MtYmFmZi1mOWU1ZTJkZTQxNGE6MjYwYWYzZjA1NWMxODA3ZjJmNjQ5Y2Y2NGU0ZDdlYzE6MQ==</t>
        </is>
      </c>
      <c r="O371" t="inlineStr">
        <is>
          <t>0</t>
        </is>
      </c>
      <c r="P371" t="inlineStr">
        <is>
          <t>或签任务</t>
        </is>
      </c>
      <c r="Q371" t="inlineStr">
        <is>
          <t>0</t>
        </is>
      </c>
      <c r="R371" t="inlineStr">
        <is>
          <t>龚政涛,肇国亨</t>
        </is>
      </c>
      <c r="S371" s="4"/>
      <c r="T371" s="3" t="str">
        <f>=HYPERLINK("https://applink.feishu.cn/client/todo/task_list?guid=4d92b9af-66d1-4cd7-95d1-4b753a64ca6b", "跃入迷城")</f>
        <v>跃入迷城</v>
      </c>
      <c r="U371" t="inlineStr">
        <is>
          <t>4d92b9af-66d1-4cd7-95d1-4b753a64ca6b</t>
        </is>
      </c>
      <c r="V371" t="inlineStr">
        <is>
          <t>4e435839-4a90-4bcc-baff-f9e5e2de414a</t>
        </is>
      </c>
      <c r="W371" t="inlineStr">
        <is>
          <t>12e16be3-d406-45a9-92d4-447212e1b0fa</t>
        </is>
      </c>
      <c r="X371" t="inlineStr">
        <is>
          <t>d5833e1c-3aa9-48cd-95dc-6fde78e8b977</t>
        </is>
      </c>
      <c r="Y371"/>
      <c r="Z371" t="inlineStr">
        <is>
          <t>0.0.5</t>
        </is>
      </c>
      <c r="AA371" t="inlineStr">
        <is>
          <t>台词</t>
        </is>
      </c>
      <c r="AB371" t="inlineStr">
        <is>
          <t>已拆分</t>
        </is>
      </c>
      <c r="AC371"/>
      <c r="AD371" t="inlineStr">
        <is>
          <t>✍️故事</t>
        </is>
      </c>
      <c r="AE371"/>
    </row>
    <row r="372" ht="25.5" customHeight="1">
      <c r="A372" s="3" t="str">
        <f>=HYPERLINK("https://applink.feishu.cn/client/todo/detail?guid=1ef4b309-db26-4a09-bba8-db9a6247069e&amp;suite_entity_num=t100955", "墙壁模型资产")</f>
        <v>墙壁模型资产</v>
      </c>
      <c r="B372"/>
      <c r="C372" t="inlineStr">
        <is>
          <t>默认分组</t>
        </is>
      </c>
      <c r="D372"/>
      <c r="E372"/>
      <c r="F372" t="inlineStr">
        <is>
          <t>陈麒升</t>
        </is>
      </c>
      <c r="G372" t="inlineStr">
        <is>
          <t>龚政涛</t>
        </is>
      </c>
      <c r="H372" s="4">
        <v>45860.85355324074</v>
      </c>
      <c r="I372" s="4">
        <v>45862.43193287037</v>
      </c>
      <c r="J372" s="4">
        <v>45860.333333333336</v>
      </c>
      <c r="K372" s="4">
        <v>45866.68651620371</v>
      </c>
      <c r="L372">
        <v>0</v>
      </c>
      <c r="M372">
        <v>0</v>
      </c>
      <c r="N372" t="inlineStr">
        <is>
          <t>NzQxMzM4ODg5NzkxNDY2NzAwOToxZWY0YjMwOS1kYjI2LTRhMDktYmJhOC1kYjlhNjI0NzA2OWU6OGM4YjI3OWRhZGY0YWJkN2JhNWM3M2E4NjgyY2FmMzM6MQ==</t>
        </is>
      </c>
      <c r="O372" t="inlineStr">
        <is>
          <t>1</t>
        </is>
      </c>
      <c r="P372" t="inlineStr">
        <is>
          <t>或签任务</t>
        </is>
      </c>
      <c r="Q372" t="inlineStr">
        <is>
          <t>0</t>
        </is>
      </c>
      <c r="R372" t="inlineStr">
        <is>
          <t>龚政涛,陈麒升</t>
        </is>
      </c>
      <c r="S372" s="4">
        <v>45857.333333333336</v>
      </c>
      <c r="T372" s="3" t="str">
        <f>=HYPERLINK("https://applink.feishu.cn/client/todo/task_list?guid=4d92b9af-66d1-4cd7-95d1-4b753a64ca6b", "跃入迷城")</f>
        <v>跃入迷城</v>
      </c>
      <c r="U372" t="inlineStr">
        <is>
          <t>4d92b9af-66d1-4cd7-95d1-4b753a64ca6b</t>
        </is>
      </c>
      <c r="V372" t="inlineStr">
        <is>
          <t>1ef4b309-db26-4a09-bba8-db9a6247069e</t>
        </is>
      </c>
      <c r="W372"/>
      <c r="X372" t="inlineStr">
        <is>
          <t>72d47dc8-8f11-455f-a465-34ad5853d924</t>
        </is>
      </c>
      <c r="Y372"/>
      <c r="Z372" t="inlineStr">
        <is>
          <t>0.0.5</t>
        </is>
      </c>
      <c r="AA372" t="inlineStr">
        <is>
          <t>UIUX</t>
        </is>
      </c>
      <c r="AB372"/>
      <c r="AC372"/>
      <c r="AD372" t="inlineStr">
        <is>
          <t>🎨艺术</t>
        </is>
      </c>
      <c r="AE372"/>
    </row>
    <row r="373" ht="25.5" customHeight="1">
      <c r="A373" s="3" t="str">
        <f>=HYPERLINK("https://applink.feishu.cn/client/todo/detail?guid=d5833e1c-3aa9-48cd-95dc-6fde78e8b977&amp;suite_entity_num=t100954", "道具文本撰写")</f>
        <v>道具文本撰写</v>
      </c>
      <c r="B373"/>
      <c r="C373" t="inlineStr">
        <is>
          <t>默认分组</t>
        </is>
      </c>
      <c r="D373"/>
      <c r="E373"/>
      <c r="F373" t="inlineStr">
        <is>
          <t>肇国亨</t>
        </is>
      </c>
      <c r="G373" t="inlineStr">
        <is>
          <t>龚政涛</t>
        </is>
      </c>
      <c r="H373" s="4">
        <v>45860.664375</v>
      </c>
      <c r="I373" s="4"/>
      <c r="J373" s="4">
        <v>45919.333333333336</v>
      </c>
      <c r="K373" s="4">
        <v>45911.409791666665</v>
      </c>
      <c r="L373">
        <v>0</v>
      </c>
      <c r="M373">
        <v>0</v>
      </c>
      <c r="N373" t="inlineStr">
        <is>
          <t>NzQxMzM4ODg5NzkxNDY2NzAwOTpkNTgzM2UxYy0zYWE5LTQ4Y2QtOTVkYy02ZmRlNzhlOGI5Nzc6ZjJhMDdhOGEyMjU2MjEyZGEwN2QwOTE4NDc3MzA3OWU6MQ==</t>
        </is>
      </c>
      <c r="O373" t="inlineStr">
        <is>
          <t>0</t>
        </is>
      </c>
      <c r="P373" t="inlineStr">
        <is>
          <t>或签任务</t>
        </is>
      </c>
      <c r="Q373" t="inlineStr">
        <is>
          <t>0</t>
        </is>
      </c>
      <c r="R373" t="inlineStr">
        <is>
          <t>龚政涛,肇国亨</t>
        </is>
      </c>
      <c r="S373" s="4">
        <v>45881.333333333336</v>
      </c>
      <c r="T373" s="3" t="str">
        <f>=HYPERLINK("https://applink.feishu.cn/client/todo/task_list?guid=4d92b9af-66d1-4cd7-95d1-4b753a64ca6b", "跃入迷城")</f>
        <v>跃入迷城</v>
      </c>
      <c r="U373" t="inlineStr">
        <is>
          <t>4d92b9af-66d1-4cd7-95d1-4b753a64ca6b</t>
        </is>
      </c>
      <c r="V373" t="inlineStr">
        <is>
          <t>d5833e1c-3aa9-48cd-95dc-6fde78e8b977</t>
        </is>
      </c>
      <c r="W373" t="inlineStr">
        <is>
          <t>4e435839-4a90-4bcc-baff-f9e5e2de414a</t>
        </is>
      </c>
      <c r="X373"/>
      <c r="Y373"/>
      <c r="Z373" t="inlineStr">
        <is>
          <t>0.0.5</t>
        </is>
      </c>
      <c r="AA373" t="inlineStr">
        <is>
          <t>说明文字</t>
        </is>
      </c>
      <c r="AB373" t="inlineStr">
        <is>
          <t>已拆分</t>
        </is>
      </c>
      <c r="AC373" t="inlineStr">
        <is>
          <t>P1 - Bigger the Better</t>
        </is>
      </c>
      <c r="AD373" t="inlineStr">
        <is>
          <t>✍️故事</t>
        </is>
      </c>
      <c r="AE373"/>
    </row>
    <row r="374" ht="25.5" customHeight="1">
      <c r="A374" s="3" t="str">
        <f>=HYPERLINK("https://applink.feishu.cn/client/todo/detail?guid=c08b809c-ce26-4c9f-a6a5-b500c4266b7e&amp;suite_entity_num=t100931", "主题配色选择")</f>
        <v>主题配色选择</v>
      </c>
      <c r="B374"/>
      <c r="C374" t="inlineStr">
        <is>
          <t>默认分组</t>
        </is>
      </c>
      <c r="D374"/>
      <c r="E374"/>
      <c r="F374" t="inlineStr">
        <is>
          <t>郭斯已</t>
        </is>
      </c>
      <c r="G374" t="inlineStr">
        <is>
          <t>龚政涛</t>
        </is>
      </c>
      <c r="H374" s="4">
        <v>45859.46637731481</v>
      </c>
      <c r="I374" s="4">
        <v>45866.68612268518</v>
      </c>
      <c r="J374" s="4">
        <v>45862.333333333336</v>
      </c>
      <c r="K374" s="4">
        <v>45866.69511574074</v>
      </c>
      <c r="L374">
        <v>0</v>
      </c>
      <c r="M374">
        <v>0</v>
      </c>
      <c r="N374" t="inlineStr">
        <is>
          <t>NzQxMzM4ODg5NzkxNDY2NzAwOTpjMDhiODA5Yy1jZTI2LTRjOWYtYTZhNS1iNTAwYzQyNjZiN2U6MDc3Y2E2MWRlYTgwMGQ3MWZhYjY5YjJmMzliOTBhZGY6MQ==</t>
        </is>
      </c>
      <c r="O374" t="inlineStr">
        <is>
          <t>1</t>
        </is>
      </c>
      <c r="P374" t="inlineStr">
        <is>
          <t>或签任务</t>
        </is>
      </c>
      <c r="Q374" t="inlineStr">
        <is>
          <t>0</t>
        </is>
      </c>
      <c r="R374" t="inlineStr">
        <is>
          <t>龚政涛,郭斯已</t>
        </is>
      </c>
      <c r="S374" s="4">
        <v>45861.333333333336</v>
      </c>
      <c r="T374" s="3" t="str">
        <f>=HYPERLINK("https://applink.feishu.cn/client/todo/task_list?guid=4d92b9af-66d1-4cd7-95d1-4b753a64ca6b", "跃入迷城")</f>
        <v>跃入迷城</v>
      </c>
      <c r="U374" t="inlineStr">
        <is>
          <t>4d92b9af-66d1-4cd7-95d1-4b753a64ca6b</t>
        </is>
      </c>
      <c r="V374" t="inlineStr">
        <is>
          <t>c08b809c-ce26-4c9f-a6a5-b500c4266b7e</t>
        </is>
      </c>
      <c r="W374" t="inlineStr">
        <is>
          <t>133aa92b-94f2-4046-8fcc-a92b596d3695</t>
        </is>
      </c>
      <c r="X374" t="inlineStr">
        <is>
          <t>02d674fa-120d-4427-bc7f-95ce553e5b4f, e428c9b6-4d7e-4e2e-bfcb-67ac4a95389f</t>
        </is>
      </c>
      <c r="Y374"/>
      <c r="Z374" t="inlineStr">
        <is>
          <t>0.0.5</t>
        </is>
      </c>
      <c r="AA374" t="inlineStr">
        <is>
          <t>UIUX</t>
        </is>
      </c>
      <c r="AB374"/>
      <c r="AC374"/>
      <c r="AD374" t="inlineStr">
        <is>
          <t>🎨艺术</t>
        </is>
      </c>
      <c r="AE374"/>
    </row>
    <row r="375" ht="25.5" customHeight="1">
      <c r="A375" s="3" t="str">
        <f>=HYPERLINK("https://applink.feishu.cn/client/todo/detail?guid=12e16be3-d406-45a9-92d4-447212e1b0fa&amp;suite_entity_num=t100952", "角色设定细化")</f>
        <v>角色设定细化</v>
      </c>
      <c r="B375"/>
      <c r="C375" t="inlineStr">
        <is>
          <t>默认分组</t>
        </is>
      </c>
      <c r="D375"/>
      <c r="E375"/>
      <c r="F375" t="inlineStr">
        <is>
          <t>肇国亨</t>
        </is>
      </c>
      <c r="G375" t="inlineStr">
        <is>
          <t>龚政涛</t>
        </is>
      </c>
      <c r="H375" s="4">
        <v>45860.66417824074</v>
      </c>
      <c r="I375" s="4"/>
      <c r="J375" s="4"/>
      <c r="K375" s="4">
        <v>45896.51337962963</v>
      </c>
      <c r="L375">
        <v>0</v>
      </c>
      <c r="M375">
        <v>0</v>
      </c>
      <c r="N375" t="inlineStr">
        <is>
          <t>NzQxMzM4ODg5NzkxNDY2NzAwOToxMmUxNmJlMy1kNDA2LTQ1YTktOTJkNC00NDcyMTJlMWIwZmE6ODkwOWExY2RjNGY4MzQ5NmRlNGFlNzQyYzFhODE2ZjU6MQ==</t>
        </is>
      </c>
      <c r="O375" t="inlineStr">
        <is>
          <t>0</t>
        </is>
      </c>
      <c r="P375" t="inlineStr">
        <is>
          <t>或签任务</t>
        </is>
      </c>
      <c r="Q375" t="inlineStr">
        <is>
          <t>0</t>
        </is>
      </c>
      <c r="R375" t="inlineStr">
        <is>
          <t>龚政涛,肇国亨</t>
        </is>
      </c>
      <c r="S375" s="4"/>
      <c r="T375" s="3" t="str">
        <f>=HYPERLINK("https://applink.feishu.cn/client/todo/task_list?guid=4d92b9af-66d1-4cd7-95d1-4b753a64ca6b", "跃入迷城")</f>
        <v>跃入迷城</v>
      </c>
      <c r="U375" t="inlineStr">
        <is>
          <t>4d92b9af-66d1-4cd7-95d1-4b753a64ca6b</t>
        </is>
      </c>
      <c r="V375" t="inlineStr">
        <is>
          <t>12e16be3-d406-45a9-92d4-447212e1b0fa</t>
        </is>
      </c>
      <c r="W375"/>
      <c r="X375" t="inlineStr">
        <is>
          <t>4e435839-4a90-4bcc-baff-f9e5e2de414a</t>
        </is>
      </c>
      <c r="Y375"/>
      <c r="Z375" t="inlineStr">
        <is>
          <t>0.0.5</t>
        </is>
      </c>
      <c r="AA375" t="inlineStr">
        <is>
          <t>设定</t>
        </is>
      </c>
      <c r="AB375" t="inlineStr">
        <is>
          <t>已拆分</t>
        </is>
      </c>
      <c r="AC375"/>
      <c r="AD375" t="inlineStr">
        <is>
          <t>✍️故事</t>
        </is>
      </c>
      <c r="AE375"/>
    </row>
    <row r="376" ht="25.5" customHeight="1">
      <c r="A376" s="3" t="str">
        <f>=HYPERLINK("https://applink.feishu.cn/client/todo/detail?guid=6e834da5-40bf-49c7-bc8b-f57b1d2544eb&amp;suite_entity_num=t100933", "修复关卡流转功能")</f>
        <v>修复关卡流转功能</v>
      </c>
      <c r="B376"/>
      <c r="C376" t="inlineStr">
        <is>
          <t>默认分组</t>
        </is>
      </c>
      <c r="D376"/>
      <c r="E376"/>
      <c r="F376" t="inlineStr">
        <is>
          <t>Decay</t>
        </is>
      </c>
      <c r="G376" t="inlineStr">
        <is>
          <t>龚政涛</t>
        </is>
      </c>
      <c r="H376" s="4">
        <v>45859.670590277776</v>
      </c>
      <c r="I376" s="4">
        <v>45862.432071759256</v>
      </c>
      <c r="J376" s="4">
        <v>45861.333333333336</v>
      </c>
      <c r="K376" s="4">
        <v>45866.674375</v>
      </c>
      <c r="L376">
        <v>0</v>
      </c>
      <c r="M376">
        <v>0</v>
      </c>
      <c r="N376" t="inlineStr">
        <is>
          <t>NzQxMzM4ODg5NzkxNDY2NzAwOTo2ZTgzNGRhNS00MGJmLTQ5YzctYmM4Yi1mNTdiMWQyNTQ0ZWI6MDNhOTE2OTNkMWUxZDE3NmEyMzAwNTM1MzY1MTQ2Njk6MQ==</t>
        </is>
      </c>
      <c r="O376" t="inlineStr">
        <is>
          <t>1</t>
        </is>
      </c>
      <c r="P376" t="inlineStr">
        <is>
          <t>或签任务</t>
        </is>
      </c>
      <c r="Q376" t="inlineStr">
        <is>
          <t>0</t>
        </is>
      </c>
      <c r="R376" t="inlineStr">
        <is>
          <t>Decay,龚政涛</t>
        </is>
      </c>
      <c r="S376" s="4">
        <v>45859.333333333336</v>
      </c>
      <c r="T376" s="3" t="str">
        <f>=HYPERLINK("https://applink.feishu.cn/client/todo/task_list?guid=4d92b9af-66d1-4cd7-95d1-4b753a64ca6b", "跃入迷城")</f>
        <v>跃入迷城</v>
      </c>
      <c r="U376" t="inlineStr">
        <is>
          <t>4d92b9af-66d1-4cd7-95d1-4b753a64ca6b</t>
        </is>
      </c>
      <c r="V376" t="inlineStr">
        <is>
          <t>6e834da5-40bf-49c7-bc8b-f57b1d2544eb</t>
        </is>
      </c>
      <c r="W376"/>
      <c r="X376"/>
      <c r="Y376"/>
      <c r="Z376" t="inlineStr">
        <is>
          <t>0.0.5</t>
        </is>
      </c>
      <c r="AA376" t="inlineStr">
        <is>
          <t>关卡</t>
        </is>
      </c>
      <c r="AB376"/>
      <c r="AC376"/>
      <c r="AD376" t="inlineStr">
        <is>
          <t>🛠️技术</t>
        </is>
      </c>
      <c r="AE376"/>
    </row>
    <row r="377" ht="25.5" customHeight="1">
      <c r="A377" s="3" t="str">
        <f>=HYPERLINK("https://applink.feishu.cn/client/todo/detail?guid=8f62c940-7ec8-4bbf-8173-e9153b8d2d70&amp;suite_entity_num=t100946", "https://dikpa4hrtn9.feishu.cn/wiki/ChLCwnfsYieSXRkAfaUcZp0Fn0b插图 &lt; 角色插图制作")</f>
        <v>https://dikpa4hrtn9.feishu.cn/wiki/ChLCwnfsYieSXRkAfaUcZp0Fn0b插图 &lt; 角色插图制作</v>
      </c>
      <c r="B377"/>
      <c r="C377"/>
      <c r="D377"/>
      <c r="E377"/>
      <c r="F377" t="inlineStr">
        <is>
          <t>Ke Huang</t>
        </is>
      </c>
      <c r="G377" t="inlineStr">
        <is>
          <t>龚政涛</t>
        </is>
      </c>
      <c r="H377" s="4">
        <v>45860.417395833334</v>
      </c>
      <c r="I377" s="4"/>
      <c r="J377" s="4">
        <v>45916.333333333336</v>
      </c>
      <c r="K377" s="4">
        <v>45895.479537037034</v>
      </c>
      <c r="L377">
        <v>0</v>
      </c>
      <c r="M377">
        <v>0</v>
      </c>
      <c r="N377" t="inlineStr">
        <is>
          <t>NzQxMzM4ODg5NzkxNDY2NzAwOTo4ZjYyYzk0MC03ZWM4LTRiYmYtODE3My1lOTE1M2I4ZDJkNzA6OTk3ZDEzMzY4YzViNzg2NWJlMDEwYTY1ZmY1N2IwOWI6MQ==</t>
        </is>
      </c>
      <c r="O377" t="inlineStr">
        <is>
          <t>0</t>
        </is>
      </c>
      <c r="P377" t="inlineStr">
        <is>
          <t>或签任务</t>
        </is>
      </c>
      <c r="Q377" t="inlineStr">
        <is>
          <t>0</t>
        </is>
      </c>
      <c r="R377" t="inlineStr">
        <is>
          <t>龚政涛,Ke Huang</t>
        </is>
      </c>
      <c r="S377" s="4">
        <v>45910.333333333336</v>
      </c>
      <c r="T377" s="3" t="str">
        <f>=HYPERLINK("https://applink.feishu.cn/client/todo/task_list?guid=4d92b9af-66d1-4cd7-95d1-4b753a64ca6b", "跃入迷城")</f>
        <v>跃入迷城</v>
      </c>
      <c r="U377" t="inlineStr">
        <is>
          <t>4d92b9af-66d1-4cd7-95d1-4b753a64ca6b</t>
        </is>
      </c>
      <c r="V377" t="inlineStr">
        <is>
          <t>8f62c940-7ec8-4bbf-8173-e9153b8d2d70</t>
        </is>
      </c>
      <c r="W377" t="inlineStr">
        <is>
          <t>6f2e3ce3-c31d-4567-b18e-1f4628e5fbd8</t>
        </is>
      </c>
      <c r="X377"/>
      <c r="Y377" t="inlineStr">
        <is>
          <t>cffa4f2c-fb50-49e2-aad9-4a85adbe2690</t>
        </is>
      </c>
      <c r="Z377"/>
      <c r="AA377" t="inlineStr">
        <is>
          <t>平面美术</t>
        </is>
      </c>
      <c r="AB377"/>
      <c r="AC377"/>
      <c r="AD377" t="inlineStr">
        <is>
          <t>🎨艺术</t>
        </is>
      </c>
      <c r="AE377"/>
    </row>
    <row r="378" ht="25.5" customHeight="1">
      <c r="A378" s="3" t="str">
        <f>=HYPERLINK("https://applink.feishu.cn/client/todo/detail?guid=6f2e3ce3-c31d-4567-b18e-1f4628e5fbd8&amp;suite_entity_num=t100945", "https://dikpa4hrtn9.feishu.cn/wiki/Ms3rwFkjAigkOZkKZO3cxaYinRe插图 &lt; 角色插图制作")</f>
        <v>https://dikpa4hrtn9.feishu.cn/wiki/Ms3rwFkjAigkOZkKZO3cxaYinRe插图 &lt; 角色插图制作</v>
      </c>
      <c r="B378"/>
      <c r="C378"/>
      <c r="D378"/>
      <c r="E378"/>
      <c r="F378" t="inlineStr">
        <is>
          <t>Ke Huang</t>
        </is>
      </c>
      <c r="G378" t="inlineStr">
        <is>
          <t>龚政涛</t>
        </is>
      </c>
      <c r="H378" s="4">
        <v>45860.41730324074</v>
      </c>
      <c r="I378" s="4"/>
      <c r="J378" s="4">
        <v>45909.333333333336</v>
      </c>
      <c r="K378" s="4">
        <v>45895.479525462964</v>
      </c>
      <c r="L378">
        <v>0</v>
      </c>
      <c r="M378">
        <v>0</v>
      </c>
      <c r="N378" t="inlineStr">
        <is>
          <t>NzQxMzM4ODg5NzkxNDY2NzAwOTo2ZjJlM2NlMy1jMzFkLTQ1NjctYjE4ZS0xZjQ2MjhlNWZiZDg6M2Y4NGY4MzYxMDM0NTQ4NjYzNjc0NzgzMzBmOTk2NjI6MQ==</t>
        </is>
      </c>
      <c r="O378" t="inlineStr">
        <is>
          <t>0</t>
        </is>
      </c>
      <c r="P378" t="inlineStr">
        <is>
          <t>或签任务</t>
        </is>
      </c>
      <c r="Q378" t="inlineStr">
        <is>
          <t>0</t>
        </is>
      </c>
      <c r="R378" t="inlineStr">
        <is>
          <t>龚政涛,Ke Huang</t>
        </is>
      </c>
      <c r="S378" s="4">
        <v>45903.333333333336</v>
      </c>
      <c r="T378" s="3" t="str">
        <f>=HYPERLINK("https://applink.feishu.cn/client/todo/task_list?guid=4d92b9af-66d1-4cd7-95d1-4b753a64ca6b", "跃入迷城")</f>
        <v>跃入迷城</v>
      </c>
      <c r="U378" t="inlineStr">
        <is>
          <t>4d92b9af-66d1-4cd7-95d1-4b753a64ca6b</t>
        </is>
      </c>
      <c r="V378" t="inlineStr">
        <is>
          <t>6f2e3ce3-c31d-4567-b18e-1f4628e5fbd8</t>
        </is>
      </c>
      <c r="W378" t="inlineStr">
        <is>
          <t>899e6520-95b5-4b8e-b76c-c1d50449e651</t>
        </is>
      </c>
      <c r="X378" t="inlineStr">
        <is>
          <t>8f62c940-7ec8-4bbf-8173-e9153b8d2d70</t>
        </is>
      </c>
      <c r="Y378" t="inlineStr">
        <is>
          <t>cffa4f2c-fb50-49e2-aad9-4a85adbe2690</t>
        </is>
      </c>
      <c r="Z378"/>
      <c r="AA378" t="inlineStr">
        <is>
          <t>平面美术</t>
        </is>
      </c>
      <c r="AB378"/>
      <c r="AC378"/>
      <c r="AD378" t="inlineStr">
        <is>
          <t>🎨艺术</t>
        </is>
      </c>
      <c r="AE378"/>
    </row>
    <row r="379" ht="25.5" customHeight="1">
      <c r="A379" s="3" t="str">
        <f>=HYPERLINK("https://applink.feishu.cn/client/todo/detail?guid=e3d69f11-f540-4c21-b086-7537e7292dc4&amp;suite_entity_num=t100944", "https://dikpa4hrtn9.feishu.cn/wiki/HqAOwpqMEiXjYjkdDjic89CZnmb插图 &lt; 角色插图制作")</f>
        <v>https://dikpa4hrtn9.feishu.cn/wiki/HqAOwpqMEiXjYjkdDjic89CZnmb插图 &lt; 角色插图制作</v>
      </c>
      <c r="B379"/>
      <c r="C379" t="inlineStr">
        <is>
          <t>默认分组</t>
        </is>
      </c>
      <c r="D379"/>
      <c r="E379">
        <v>1</v>
      </c>
      <c r="F379" t="inlineStr">
        <is>
          <t>李贺</t>
        </is>
      </c>
      <c r="G379" t="inlineStr">
        <is>
          <t>龚政涛</t>
        </is>
      </c>
      <c r="H379" s="4">
        <v>45860.41719907407</v>
      </c>
      <c r="I379" s="4"/>
      <c r="J379" s="4"/>
      <c r="K379" s="4">
        <v>45950.4074537037</v>
      </c>
      <c r="L379">
        <v>4</v>
      </c>
      <c r="M379">
        <v>0</v>
      </c>
      <c r="N379" t="inlineStr">
        <is>
          <t>NzQxMzM4ODg5NzkxNDY2NzAwOTplM2Q2OWYxMS1mNTQwLTRjMjEtYjA4Ni03NTM3ZTcyOTJkYzQ6YmExZWQyNGNhYmM0MGMzZjgxZWM1MDkwNTYzZTI5M2E6MQ==</t>
        </is>
      </c>
      <c r="O379" t="inlineStr">
        <is>
          <t>0</t>
        </is>
      </c>
      <c r="P379" t="inlineStr">
        <is>
          <t>或签任务</t>
        </is>
      </c>
      <c r="Q379" t="inlineStr">
        <is>
          <t>0</t>
        </is>
      </c>
      <c r="R379" t="inlineStr">
        <is>
          <t>Ke Huang,唐践扬,瞿敬雄,龚政涛,李贺</t>
        </is>
      </c>
      <c r="S379" s="4"/>
      <c r="T379" s="3" t="str">
        <f>=HYPERLINK("https://applink.feishu.cn/client/todo/task_list?guid=4d92b9af-66d1-4cd7-95d1-4b753a64ca6b", "跃入迷城")</f>
        <v>跃入迷城</v>
      </c>
      <c r="U379" t="inlineStr">
        <is>
          <t>4d92b9af-66d1-4cd7-95d1-4b753a64ca6b</t>
        </is>
      </c>
      <c r="V379" t="inlineStr">
        <is>
          <t>e3d69f11-f540-4c21-b086-7537e7292dc4</t>
        </is>
      </c>
      <c r="W379"/>
      <c r="X379"/>
      <c r="Y379" t="inlineStr">
        <is>
          <t>cffa4f2c-fb50-49e2-aad9-4a85adbe2690</t>
        </is>
      </c>
      <c r="Z379" t="inlineStr">
        <is>
          <t>0.0.5</t>
        </is>
      </c>
      <c r="AA379" t="inlineStr">
        <is>
          <t>平面美术</t>
        </is>
      </c>
      <c r="AB379" t="inlineStr">
        <is>
          <t>已拆分</t>
        </is>
      </c>
      <c r="AC379"/>
      <c r="AD379" t="inlineStr">
        <is>
          <t>🎨艺术</t>
        </is>
      </c>
      <c r="AE379"/>
    </row>
    <row r="380" ht="25.5" customHeight="1">
      <c r="A380" s="3" t="str">
        <f>=HYPERLINK("https://applink.feishu.cn/client/todo/detail?guid=d8d9617f-8f05-4bf2-a459-10bfebb633ab&amp;suite_entity_num=t100943", "https://dikpa4hrtn9.feishu.cn/wiki/DGufwiLuui7bBhkA3KDc0ZM4nB1插图 &lt; 角色插图制作")</f>
        <v>https://dikpa4hrtn9.feishu.cn/wiki/DGufwiLuui7bBhkA3KDc0ZM4nB1插图 &lt; 角色插图制作</v>
      </c>
      <c r="B380"/>
      <c r="C380"/>
      <c r="D380"/>
      <c r="E380"/>
      <c r="F380" t="inlineStr">
        <is>
          <t>Ke Huang</t>
        </is>
      </c>
      <c r="G380" t="inlineStr">
        <is>
          <t>龚政涛</t>
        </is>
      </c>
      <c r="H380" s="4">
        <v>45860.41400462963</v>
      </c>
      <c r="I380" s="4"/>
      <c r="J380" s="4">
        <v>45901.333333333336</v>
      </c>
      <c r="K380" s="4">
        <v>45895.479583333334</v>
      </c>
      <c r="L380">
        <v>0</v>
      </c>
      <c r="M380">
        <v>0</v>
      </c>
      <c r="N380" t="inlineStr">
        <is>
          <t>NzQxMzM4ODg5NzkxNDY2NzAwOTpkOGQ5NjE3Zi04ZjA1LTRiZjItYTQ1OS0xMGJmZWJiNjMzYWI6NWFhMjQ0Zjg3ZTFkMjc4OWQ3ZGRmYTA2YmYwMGNiMzU6MQ==</t>
        </is>
      </c>
      <c r="O380" t="inlineStr">
        <is>
          <t>0</t>
        </is>
      </c>
      <c r="P380" t="inlineStr">
        <is>
          <t>或签任务</t>
        </is>
      </c>
      <c r="Q380" t="inlineStr">
        <is>
          <t>0</t>
        </is>
      </c>
      <c r="R380" t="inlineStr">
        <is>
          <t>龚政涛,Ke Huang</t>
        </is>
      </c>
      <c r="S380" s="4">
        <v>45899.333333333336</v>
      </c>
      <c r="T380" s="3" t="str">
        <f>=HYPERLINK("https://applink.feishu.cn/client/todo/task_list?guid=4d92b9af-66d1-4cd7-95d1-4b753a64ca6b", "跃入迷城")</f>
        <v>跃入迷城</v>
      </c>
      <c r="U380" t="inlineStr">
        <is>
          <t>4d92b9af-66d1-4cd7-95d1-4b753a64ca6b</t>
        </is>
      </c>
      <c r="V380" t="inlineStr">
        <is>
          <t>d8d9617f-8f05-4bf2-a459-10bfebb633ab</t>
        </is>
      </c>
      <c r="W380" t="inlineStr">
        <is>
          <t>019d9428-76c2-43cc-b768-c8fc9972673d</t>
        </is>
      </c>
      <c r="X380"/>
      <c r="Y380" t="inlineStr">
        <is>
          <t>cffa4f2c-fb50-49e2-aad9-4a85adbe2690</t>
        </is>
      </c>
      <c r="Z380"/>
      <c r="AA380" t="inlineStr">
        <is>
          <t>平面美术</t>
        </is>
      </c>
      <c r="AB380"/>
      <c r="AC380"/>
      <c r="AD380" t="inlineStr">
        <is>
          <t>🎨艺术</t>
        </is>
      </c>
      <c r="AE380"/>
    </row>
    <row r="381" ht="25.5" customHeight="1">
      <c r="A381" s="3" t="str">
        <f>=HYPERLINK("https://applink.feishu.cn/client/todo/detail?guid=019d9428-76c2-43cc-b768-c8fc9972673d&amp;suite_entity_num=t100942", "https://dikpa4hrtn9.feishu.cn/wiki/DmPwwEekIipiShkLPAGcwxKKnSc插图 &lt; 角色插图制作")</f>
        <v>https://dikpa4hrtn9.feishu.cn/wiki/DmPwwEekIipiShkLPAGcwxKKnSc插图 &lt; 角色插图制作</v>
      </c>
      <c r="B381"/>
      <c r="C381"/>
      <c r="D381"/>
      <c r="E381"/>
      <c r="F381" t="inlineStr">
        <is>
          <t>Ke Huang</t>
        </is>
      </c>
      <c r="G381" t="inlineStr">
        <is>
          <t>龚政涛</t>
        </is>
      </c>
      <c r="H381" s="4">
        <v>45860.413935185185</v>
      </c>
      <c r="I381" s="4"/>
      <c r="J381" s="4">
        <v>45898.333333333336</v>
      </c>
      <c r="K381" s="4">
        <v>45895.479421296295</v>
      </c>
      <c r="L381">
        <v>0</v>
      </c>
      <c r="M381">
        <v>0</v>
      </c>
      <c r="N381" t="inlineStr">
        <is>
          <t>NzQxMzM4ODg5NzkxNDY2NzAwOTowMTlkOTQyOC03NmMyLTQzY2MtYjc2OC1jOGZjOTk3MjY3M2Q6YjNlZmRkNzg3OGZjN2VjYzM1MzZiMjNjM2Y0MmE5NGU6MQ==</t>
        </is>
      </c>
      <c r="O381" t="inlineStr">
        <is>
          <t>0</t>
        </is>
      </c>
      <c r="P381" t="inlineStr">
        <is>
          <t>或签任务</t>
        </is>
      </c>
      <c r="Q381" t="inlineStr">
        <is>
          <t>0</t>
        </is>
      </c>
      <c r="R381" t="inlineStr">
        <is>
          <t>龚政涛,Ke Huang</t>
        </is>
      </c>
      <c r="S381" s="4">
        <v>45896.333333333336</v>
      </c>
      <c r="T381" s="3" t="str">
        <f>=HYPERLINK("https://applink.feishu.cn/client/todo/task_list?guid=4d92b9af-66d1-4cd7-95d1-4b753a64ca6b", "跃入迷城")</f>
        <v>跃入迷城</v>
      </c>
      <c r="U381" t="inlineStr">
        <is>
          <t>4d92b9af-66d1-4cd7-95d1-4b753a64ca6b</t>
        </is>
      </c>
      <c r="V381" t="inlineStr">
        <is>
          <t>019d9428-76c2-43cc-b768-c8fc9972673d</t>
        </is>
      </c>
      <c r="W381"/>
      <c r="X381" t="inlineStr">
        <is>
          <t>d8d9617f-8f05-4bf2-a459-10bfebb633ab</t>
        </is>
      </c>
      <c r="Y381" t="inlineStr">
        <is>
          <t>cffa4f2c-fb50-49e2-aad9-4a85adbe2690</t>
        </is>
      </c>
      <c r="Z381"/>
      <c r="AA381" t="inlineStr">
        <is>
          <t>平面美术</t>
        </is>
      </c>
      <c r="AB381"/>
      <c r="AC381"/>
      <c r="AD381" t="inlineStr">
        <is>
          <t>🎨艺术</t>
        </is>
      </c>
      <c r="AE381"/>
    </row>
    <row r="382" ht="25.5" customHeight="1">
      <c r="A382" s="3" t="str">
        <f>=HYPERLINK("https://applink.feishu.cn/client/todo/detail?guid=edfd2864-50b6-40fb-96ff-5c51c3ca1b09&amp;suite_entity_num=t100941", "https://dikpa4hrtn9.feishu.cn/wiki/Xy5Fw6WuNie7nmk6zM8cLsMZntc插图 &lt; 角色插图制作")</f>
        <v>https://dikpa4hrtn9.feishu.cn/wiki/Xy5Fw6WuNie7nmk6zM8cLsMZntc插图 &lt; 角色插图制作</v>
      </c>
      <c r="B382"/>
      <c r="C382" t="inlineStr">
        <is>
          <t>默认分组</t>
        </is>
      </c>
      <c r="D382"/>
      <c r="E382">
        <v>1</v>
      </c>
      <c r="F382" t="inlineStr">
        <is>
          <t>瞿敬雄</t>
        </is>
      </c>
      <c r="G382" t="inlineStr">
        <is>
          <t>龚政涛</t>
        </is>
      </c>
      <c r="H382" s="4">
        <v>45860.41384259259</v>
      </c>
      <c r="I382" s="4">
        <v>45894.88104166667</v>
      </c>
      <c r="J382" s="4">
        <v>45891.333333333336</v>
      </c>
      <c r="K382" s="4">
        <v>45894.88101851852</v>
      </c>
      <c r="L382">
        <v>1</v>
      </c>
      <c r="M382">
        <v>0</v>
      </c>
      <c r="N382" t="inlineStr">
        <is>
          <t>NzQxMzM4ODg5NzkxNDY2NzAwOTplZGZkMjg2NC01MGI2LTQwZmItOTZmZi01YzUxYzNjYTFiMDk6YWY2MDc5MWRjYjRkNjE2ZDZmYTBhOTgzMTI4NDZiZDA6MQ==</t>
        </is>
      </c>
      <c r="O382" t="inlineStr">
        <is>
          <t>1</t>
        </is>
      </c>
      <c r="P382" t="inlineStr">
        <is>
          <t>或签任务</t>
        </is>
      </c>
      <c r="Q382" t="inlineStr">
        <is>
          <t>0</t>
        </is>
      </c>
      <c r="R382" t="inlineStr">
        <is>
          <t>Ke Huang,龚政涛</t>
        </is>
      </c>
      <c r="S382" s="4">
        <v>45884.333333333336</v>
      </c>
      <c r="T382" s="3" t="str">
        <f>=HYPERLINK("https://applink.feishu.cn/client/todo/task_list?guid=4d92b9af-66d1-4cd7-95d1-4b753a64ca6b", "跃入迷城")</f>
        <v>跃入迷城</v>
      </c>
      <c r="U382" t="inlineStr">
        <is>
          <t>4d92b9af-66d1-4cd7-95d1-4b753a64ca6b</t>
        </is>
      </c>
      <c r="V382" t="inlineStr">
        <is>
          <t>edfd2864-50b6-40fb-96ff-5c51c3ca1b09</t>
        </is>
      </c>
      <c r="W382"/>
      <c r="X382"/>
      <c r="Y382" t="inlineStr">
        <is>
          <t>cffa4f2c-fb50-49e2-aad9-4a85adbe2690</t>
        </is>
      </c>
      <c r="Z382" t="inlineStr">
        <is>
          <t>0.0.5</t>
        </is>
      </c>
      <c r="AA382" t="inlineStr">
        <is>
          <t>平面美术</t>
        </is>
      </c>
      <c r="AB382" t="inlineStr">
        <is>
          <t>已拆分</t>
        </is>
      </c>
      <c r="AC382" t="inlineStr">
        <is>
          <t>P0 - Must (not) Have</t>
        </is>
      </c>
      <c r="AD382" t="inlineStr">
        <is>
          <t>🎨艺术</t>
        </is>
      </c>
      <c r="AE382"/>
    </row>
    <row r="383" ht="25.5" customHeight="1">
      <c r="A383" s="3" t="str">
        <f>=HYPERLINK("https://applink.feishu.cn/client/todo/detail?guid=899e6520-95b5-4b8e-b76c-c1d50449e651&amp;suite_entity_num=t100940", "https://dikpa4hrtn9.feishu.cn/wiki/Veudw8xhuiRbpKkQBPQcPJjunlh插图 &lt; 角色插图制作")</f>
        <v>https://dikpa4hrtn9.feishu.cn/wiki/Veudw8xhuiRbpKkQBPQcPJjunlh插图 &lt; 角色插图制作</v>
      </c>
      <c r="B383"/>
      <c r="C383"/>
      <c r="D383"/>
      <c r="E383"/>
      <c r="F383" t="inlineStr">
        <is>
          <t>Ke Huang</t>
        </is>
      </c>
      <c r="G383" t="inlineStr">
        <is>
          <t>龚政涛</t>
        </is>
      </c>
      <c r="H383" s="4">
        <v>45860.413668981484</v>
      </c>
      <c r="I383" s="4"/>
      <c r="J383" s="4">
        <v>45902.333333333336</v>
      </c>
      <c r="K383" s="4">
        <v>45895.47944444444</v>
      </c>
      <c r="L383">
        <v>0</v>
      </c>
      <c r="M383">
        <v>0</v>
      </c>
      <c r="N383" t="inlineStr">
        <is>
          <t>NzQxMzM4ODg5NzkxNDY2NzAwOTo4OTllNjUyMC05NWI1LTRiOGUtYjc2Yy1jMWQ1MDQ0OWU2NTE6NjI3MTY4ODdkNGY1ZjhhN2Q5YTNiM2Y4MmNmODIwMTQ6MQ==</t>
        </is>
      </c>
      <c r="O383" t="inlineStr">
        <is>
          <t>0</t>
        </is>
      </c>
      <c r="P383" t="inlineStr">
        <is>
          <t>或签任务</t>
        </is>
      </c>
      <c r="Q383" t="inlineStr">
        <is>
          <t>0</t>
        </is>
      </c>
      <c r="R383" t="inlineStr">
        <is>
          <t>龚政涛,Ke Huang</t>
        </is>
      </c>
      <c r="S383" s="4">
        <v>45896.333333333336</v>
      </c>
      <c r="T383" s="3" t="str">
        <f>=HYPERLINK("https://applink.feishu.cn/client/todo/task_list?guid=4d92b9af-66d1-4cd7-95d1-4b753a64ca6b", "跃入迷城")</f>
        <v>跃入迷城</v>
      </c>
      <c r="U383" t="inlineStr">
        <is>
          <t>4d92b9af-66d1-4cd7-95d1-4b753a64ca6b</t>
        </is>
      </c>
      <c r="V383" t="inlineStr">
        <is>
          <t>899e6520-95b5-4b8e-b76c-c1d50449e651</t>
        </is>
      </c>
      <c r="W383"/>
      <c r="X383" t="inlineStr">
        <is>
          <t>6f2e3ce3-c31d-4567-b18e-1f4628e5fbd8</t>
        </is>
      </c>
      <c r="Y383" t="inlineStr">
        <is>
          <t>cffa4f2c-fb50-49e2-aad9-4a85adbe2690</t>
        </is>
      </c>
      <c r="Z383"/>
      <c r="AA383" t="inlineStr">
        <is>
          <t>平面美术</t>
        </is>
      </c>
      <c r="AB383"/>
      <c r="AC383"/>
      <c r="AD383" t="inlineStr">
        <is>
          <t>🎨艺术</t>
        </is>
      </c>
      <c r="AE383"/>
    </row>
    <row r="384" ht="25.5" customHeight="1">
      <c r="A384" s="3" t="str">
        <f>=HYPERLINK("https://applink.feishu.cn/client/todo/detail?guid=0da76285-081a-4027-baa9-e56a3aee2209&amp;suite_entity_num=t100939", "https://dikpa4hrtn9.feishu.cn/wiki/JWmRwmFnmi7iRpkz4Auc4eb4nNT插图 &lt; 角色插图制作")</f>
        <v>https://dikpa4hrtn9.feishu.cn/wiki/JWmRwmFnmi7iRpkz4Auc4eb4nNT插图 &lt; 角色插图制作</v>
      </c>
      <c r="B384"/>
      <c r="C384"/>
      <c r="D384"/>
      <c r="E384"/>
      <c r="F384" t="inlineStr">
        <is>
          <t>Ke Huang</t>
        </is>
      </c>
      <c r="G384" t="inlineStr">
        <is>
          <t>龚政涛</t>
        </is>
      </c>
      <c r="H384" s="4">
        <v>45860.41358796296</v>
      </c>
      <c r="I384" s="4">
        <v>45880.59943287037</v>
      </c>
      <c r="J384" s="4">
        <v>45874.333333333336</v>
      </c>
      <c r="K384" s="4">
        <v>45890.47231481481</v>
      </c>
      <c r="L384">
        <v>0</v>
      </c>
      <c r="M384">
        <v>0</v>
      </c>
      <c r="N384" t="inlineStr">
        <is>
          <t>NzQxMzM4ODg5NzkxNDY2NzAwOTowZGE3NjI4NS0wODFhLTQwMjctYmFhOS1lNTZhM2FlZTIyMDk6NTFhMzYwZjkxMzFkMDA2YTg1NWNmMDQ3Njk1NjRkYTE6MQ==</t>
        </is>
      </c>
      <c r="O384" t="inlineStr">
        <is>
          <t>1</t>
        </is>
      </c>
      <c r="P384" t="inlineStr">
        <is>
          <t>或签任务</t>
        </is>
      </c>
      <c r="Q384" t="inlineStr">
        <is>
          <t>0</t>
        </is>
      </c>
      <c r="R384" t="inlineStr">
        <is>
          <t>龚政涛,Ke Huang</t>
        </is>
      </c>
      <c r="S384" s="4">
        <v>45869.333333333336</v>
      </c>
      <c r="T384" s="3" t="str">
        <f>=HYPERLINK("https://applink.feishu.cn/client/todo/task_list?guid=4d92b9af-66d1-4cd7-95d1-4b753a64ca6b", "跃入迷城")</f>
        <v>跃入迷城</v>
      </c>
      <c r="U384" t="inlineStr">
        <is>
          <t>4d92b9af-66d1-4cd7-95d1-4b753a64ca6b</t>
        </is>
      </c>
      <c r="V384" t="inlineStr">
        <is>
          <t>0da76285-081a-4027-baa9-e56a3aee2209</t>
        </is>
      </c>
      <c r="W384" t="inlineStr">
        <is>
          <t>a16811cb-4964-46ee-a5ab-8ce1c8057879</t>
        </is>
      </c>
      <c r="X384"/>
      <c r="Y384" t="inlineStr">
        <is>
          <t>cffa4f2c-fb50-49e2-aad9-4a85adbe2690</t>
        </is>
      </c>
      <c r="Z384"/>
      <c r="AA384" t="inlineStr">
        <is>
          <t>平面美术</t>
        </is>
      </c>
      <c r="AB384"/>
      <c r="AC384"/>
      <c r="AD384" t="inlineStr">
        <is>
          <t>🎨艺术</t>
        </is>
      </c>
      <c r="AE384"/>
    </row>
    <row r="385" ht="25.5" customHeight="1">
      <c r="A385" s="3" t="str">
        <f>=HYPERLINK("https://applink.feishu.cn/client/todo/detail?guid=a16811cb-4964-46ee-a5ab-8ce1c8057879&amp;suite_entity_num=t100938", "https://dikpa4hrtn9.feishu.cn/wiki/BcEYwkho9i74h0kJ8D2ccSKVnW8插图 &lt; 角色插图制作")</f>
        <v>https://dikpa4hrtn9.feishu.cn/wiki/BcEYwkho9i74h0kJ8D2ccSKVnW8插图 &lt; 角色插图制作</v>
      </c>
      <c r="B385"/>
      <c r="C385"/>
      <c r="D385"/>
      <c r="E385"/>
      <c r="F385" t="inlineStr">
        <is>
          <t>Ke Huang</t>
        </is>
      </c>
      <c r="G385" t="inlineStr">
        <is>
          <t>龚政涛</t>
        </is>
      </c>
      <c r="H385" s="4">
        <v>45860.413506944446</v>
      </c>
      <c r="I385" s="4">
        <v>45877.6306712963</v>
      </c>
      <c r="J385" s="4">
        <v>45868.333333333336</v>
      </c>
      <c r="K385" s="4">
        <v>45882.49334490741</v>
      </c>
      <c r="L385">
        <v>0</v>
      </c>
      <c r="M385">
        <v>0</v>
      </c>
      <c r="N385" t="inlineStr">
        <is>
          <t>NzQxMzM4ODg5NzkxNDY2NzAwOTphMTY4MTFjYi00OTY0LTQ2ZWUtYTVhYi04Y2UxYzgwNTc4Nzk6NGZjN2NjNzhkZDU3N2E4NTlkNTk5MmIxMzJmMTE4ZTQ6MQ==</t>
        </is>
      </c>
      <c r="O385" t="inlineStr">
        <is>
          <t>1</t>
        </is>
      </c>
      <c r="P385" t="inlineStr">
        <is>
          <t>或签任务</t>
        </is>
      </c>
      <c r="Q385" t="inlineStr">
        <is>
          <t>0</t>
        </is>
      </c>
      <c r="R385" t="inlineStr">
        <is>
          <t>龚政涛,Ke Huang</t>
        </is>
      </c>
      <c r="S385" s="4">
        <v>45859.333333333336</v>
      </c>
      <c r="T385" s="3" t="str">
        <f>=HYPERLINK("https://applink.feishu.cn/client/todo/task_list?guid=4d92b9af-66d1-4cd7-95d1-4b753a64ca6b", "跃入迷城")</f>
        <v>跃入迷城</v>
      </c>
      <c r="U385" t="inlineStr">
        <is>
          <t>4d92b9af-66d1-4cd7-95d1-4b753a64ca6b</t>
        </is>
      </c>
      <c r="V385" t="inlineStr">
        <is>
          <t>a16811cb-4964-46ee-a5ab-8ce1c8057879</t>
        </is>
      </c>
      <c r="W385" t="inlineStr">
        <is>
          <t>0b0d38ba-f9c7-48e4-b18e-93cf27c2417e</t>
        </is>
      </c>
      <c r="X385" t="inlineStr">
        <is>
          <t>0da76285-081a-4027-baa9-e56a3aee2209</t>
        </is>
      </c>
      <c r="Y385" t="inlineStr">
        <is>
          <t>cffa4f2c-fb50-49e2-aad9-4a85adbe2690</t>
        </is>
      </c>
      <c r="Z385"/>
      <c r="AA385" t="inlineStr">
        <is>
          <t>平面美术</t>
        </is>
      </c>
      <c r="AB385"/>
      <c r="AC385"/>
      <c r="AD385" t="inlineStr">
        <is>
          <t>🎨艺术</t>
        </is>
      </c>
      <c r="AE385"/>
    </row>
    <row r="386" ht="25.5" customHeight="1">
      <c r="A386" s="3" t="str">
        <f>=HYPERLINK("https://applink.feishu.cn/client/todo/detail?guid=0b0d38ba-f9c7-48e4-b18e-93cf27c2417e&amp;suite_entity_num=t100937", "https://dikpa4hrtn9.feishu.cn/wiki/BRHnw0C9oiOPrFkrzNkcD9s0nsc插图 &lt; 角色插图制作")</f>
        <v>https://dikpa4hrtn9.feishu.cn/wiki/BRHnw0C9oiOPrFkrzNkcD9s0nsc插图 &lt; 角色插图制作</v>
      </c>
      <c r="B386"/>
      <c r="C386"/>
      <c r="D386"/>
      <c r="E386"/>
      <c r="F386" t="inlineStr">
        <is>
          <t>Ke Huang</t>
        </is>
      </c>
      <c r="G386" t="inlineStr">
        <is>
          <t>龚政涛</t>
        </is>
      </c>
      <c r="H386" s="4">
        <v>45860.4071412037</v>
      </c>
      <c r="I386" s="4">
        <v>45860.419537037036</v>
      </c>
      <c r="J386" s="4">
        <v>45858.333333333336</v>
      </c>
      <c r="K386" s="4">
        <v>45882.493842592594</v>
      </c>
      <c r="L386">
        <v>0</v>
      </c>
      <c r="M386">
        <v>0</v>
      </c>
      <c r="N386" t="inlineStr">
        <is>
          <t>NzQxMzM4ODg5NzkxNDY2NzAwOTowYjBkMzhiYS1mOWM3LTQ4ZTQtYjE4ZS05M2NmMjdjMjQxN2U6OTI0MmVkMWI2MTEwZGZlNWNmNWY5ZmQzN2Q2YjQzMzg6MQ==</t>
        </is>
      </c>
      <c r="O386" t="inlineStr">
        <is>
          <t>1</t>
        </is>
      </c>
      <c r="P386" t="inlineStr">
        <is>
          <t>或签任务</t>
        </is>
      </c>
      <c r="Q386" t="inlineStr">
        <is>
          <t>0</t>
        </is>
      </c>
      <c r="R386" t="inlineStr">
        <is>
          <t>龚政涛,Ke Huang</t>
        </is>
      </c>
      <c r="S386" s="4">
        <v>45852.333333333336</v>
      </c>
      <c r="T386" s="3" t="str">
        <f>=HYPERLINK("https://applink.feishu.cn/client/todo/task_list?guid=4d92b9af-66d1-4cd7-95d1-4b753a64ca6b", "跃入迷城")</f>
        <v>跃入迷城</v>
      </c>
      <c r="U386" t="inlineStr">
        <is>
          <t>4d92b9af-66d1-4cd7-95d1-4b753a64ca6b</t>
        </is>
      </c>
      <c r="V386" t="inlineStr">
        <is>
          <t>0b0d38ba-f9c7-48e4-b18e-93cf27c2417e</t>
        </is>
      </c>
      <c r="W386"/>
      <c r="X386" t="inlineStr">
        <is>
          <t>a16811cb-4964-46ee-a5ab-8ce1c8057879</t>
        </is>
      </c>
      <c r="Y386" t="inlineStr">
        <is>
          <t>cffa4f2c-fb50-49e2-aad9-4a85adbe2690</t>
        </is>
      </c>
      <c r="Z386"/>
      <c r="AA386" t="inlineStr">
        <is>
          <t>平面美术</t>
        </is>
      </c>
      <c r="AB386"/>
      <c r="AC386"/>
      <c r="AD386" t="inlineStr">
        <is>
          <t>🎨艺术</t>
        </is>
      </c>
      <c r="AE386"/>
    </row>
    <row r="387" ht="25.5" customHeight="1">
      <c r="A387" s="3" t="str">
        <f>=HYPERLINK("https://applink.feishu.cn/client/todo/detail?guid=13662a7e-555d-4e77-9ce5-eeae2548b133&amp;suite_entity_num=t100947", "夏洛特角色模型 &lt; 角色模型制作")</f>
        <v>夏洛特角色模型 &lt; 角色模型制作</v>
      </c>
      <c r="B387"/>
      <c r="C387"/>
      <c r="D387"/>
      <c r="E387"/>
      <c r="F387" t="inlineStr">
        <is>
          <t>陈吉瑞</t>
        </is>
      </c>
      <c r="G387" t="inlineStr">
        <is>
          <t>龚政涛</t>
        </is>
      </c>
      <c r="H387" s="4">
        <v>45860.42134259259</v>
      </c>
      <c r="I387" s="4"/>
      <c r="J387" s="4">
        <v>45898.333333333336</v>
      </c>
      <c r="K387" s="4">
        <v>45895.482395833336</v>
      </c>
      <c r="L387">
        <v>0</v>
      </c>
      <c r="M387">
        <v>0</v>
      </c>
      <c r="N387" t="inlineStr">
        <is>
          <t>NzQxMzM4ODg5NzkxNDY2NzAwOToxMzY2MmE3ZS01NTVkLTRlNzctOWNlNS1lZWFlMjU0OGIxMzM6NGJiODQyMGM1ZTI2MGNlMDA1OWZmYjg4MzAwYjZkNjA6MQ==</t>
        </is>
      </c>
      <c r="O387" t="inlineStr">
        <is>
          <t>0</t>
        </is>
      </c>
      <c r="P387" t="inlineStr">
        <is>
          <t>或签任务</t>
        </is>
      </c>
      <c r="Q387" t="inlineStr">
        <is>
          <t>0</t>
        </is>
      </c>
      <c r="R387" t="inlineStr">
        <is>
          <t>龚政涛,陈麒升,陈吉瑞</t>
        </is>
      </c>
      <c r="S387" s="4">
        <v>45896.333333333336</v>
      </c>
      <c r="T387" s="3" t="str">
        <f>=HYPERLINK("https://applink.feishu.cn/client/todo/task_list?guid=4d92b9af-66d1-4cd7-95d1-4b753a64ca6b", "跃入迷城")</f>
        <v>跃入迷城</v>
      </c>
      <c r="U387" t="inlineStr">
        <is>
          <t>4d92b9af-66d1-4cd7-95d1-4b753a64ca6b</t>
        </is>
      </c>
      <c r="V387" t="inlineStr">
        <is>
          <t>13662a7e-555d-4e77-9ce5-eeae2548b133</t>
        </is>
      </c>
      <c r="W387"/>
      <c r="X387"/>
      <c r="Y387" t="inlineStr">
        <is>
          <t>d4fe14e4-ffc8-4525-9146-aab0528eee0a</t>
        </is>
      </c>
      <c r="Z387"/>
      <c r="AA387"/>
      <c r="AB387"/>
      <c r="AC387"/>
      <c r="AD387" t="inlineStr">
        <is>
          <t>🎨艺术</t>
        </is>
      </c>
      <c r="AE387"/>
    </row>
    <row r="388" ht="25.5" customHeight="1">
      <c r="A388" s="3" t="str">
        <f>=HYPERLINK("https://applink.feishu.cn/client/todo/detail?guid=18a34941-c8c9-4960-acee-cee063b5c389&amp;suite_entity_num=t100948", "瑞文角色模型 &lt; 角色模型制作")</f>
        <v>瑞文角色模型 &lt; 角色模型制作</v>
      </c>
      <c r="B388"/>
      <c r="C388" t="inlineStr">
        <is>
          <t>默认分组</t>
        </is>
      </c>
      <c r="D388"/>
      <c r="E388">
        <v>1</v>
      </c>
      <c r="F388" t="inlineStr">
        <is>
          <t>陈吉瑞</t>
        </is>
      </c>
      <c r="G388" t="inlineStr">
        <is>
          <t>龚政涛</t>
        </is>
      </c>
      <c r="H388" s="4">
        <v>45860.42152777778</v>
      </c>
      <c r="I388" s="4"/>
      <c r="J388" s="4"/>
      <c r="K388" s="4">
        <v>45896.513715277775</v>
      </c>
      <c r="L388">
        <v>1</v>
      </c>
      <c r="M388">
        <v>0</v>
      </c>
      <c r="N388" t="inlineStr">
        <is>
          <t>NzQxMzM4ODg5NzkxNDY2NzAwOToxOGEzNDk0MS1jOGM5LTQ5NjAtYWNlZS1jZWUwNjNiNWMzODk6OGMzYzA2YzY2OGExNmJiZmZhNDc4MzQ0YjViMzlkYWU6MQ==</t>
        </is>
      </c>
      <c r="O388" t="inlineStr">
        <is>
          <t>0</t>
        </is>
      </c>
      <c r="P388" t="inlineStr">
        <is>
          <t>或签任务</t>
        </is>
      </c>
      <c r="Q388" t="inlineStr">
        <is>
          <t>0</t>
        </is>
      </c>
      <c r="R388" t="inlineStr">
        <is>
          <t>陈麒升,龚政涛,陈吉瑞</t>
        </is>
      </c>
      <c r="S388" s="4"/>
      <c r="T388" s="3" t="str">
        <f>=HYPERLINK("https://applink.feishu.cn/client/todo/task_list?guid=4d92b9af-66d1-4cd7-95d1-4b753a64ca6b", "跃入迷城")</f>
        <v>跃入迷城</v>
      </c>
      <c r="U388" t="inlineStr">
        <is>
          <t>4d92b9af-66d1-4cd7-95d1-4b753a64ca6b</t>
        </is>
      </c>
      <c r="V388" t="inlineStr">
        <is>
          <t>18a34941-c8c9-4960-acee-cee063b5c389</t>
        </is>
      </c>
      <c r="W388"/>
      <c r="X388"/>
      <c r="Y388" t="inlineStr">
        <is>
          <t>d4fe14e4-ffc8-4525-9146-aab0528eee0a</t>
        </is>
      </c>
      <c r="Z388" t="inlineStr">
        <is>
          <t>0.0.5</t>
        </is>
      </c>
      <c r="AA388" t="inlineStr">
        <is>
          <t>模型</t>
        </is>
      </c>
      <c r="AB388" t="inlineStr">
        <is>
          <t>已拆分</t>
        </is>
      </c>
      <c r="AC388"/>
      <c r="AD388" t="inlineStr">
        <is>
          <t>🎨艺术</t>
        </is>
      </c>
      <c r="AE388"/>
    </row>
    <row r="389" ht="25.5" customHeight="1">
      <c r="A389" s="3" t="str">
        <f>=HYPERLINK("https://applink.feishu.cn/client/todo/detail?guid=f6a9584e-ce84-4c24-a568-b1cea730723d&amp;suite_entity_num=t100949", "冈特角色模型 &lt; 角色模型制作")</f>
        <v>冈特角色模型 &lt; 角色模型制作</v>
      </c>
      <c r="B389"/>
      <c r="C389"/>
      <c r="D389"/>
      <c r="E389"/>
      <c r="F389" t="inlineStr">
        <is>
          <t>陈吉瑞</t>
        </is>
      </c>
      <c r="G389" t="inlineStr">
        <is>
          <t>龚政涛</t>
        </is>
      </c>
      <c r="H389" s="4">
        <v>45860.422685185185</v>
      </c>
      <c r="I389" s="4"/>
      <c r="J389" s="4">
        <v>45905.333333333336</v>
      </c>
      <c r="K389" s="4">
        <v>45882.49621527778</v>
      </c>
      <c r="L389">
        <v>0</v>
      </c>
      <c r="M389">
        <v>0</v>
      </c>
      <c r="N389" t="inlineStr">
        <is>
          <t>NzQxMzM4ODg5NzkxNDY2NzAwOTpmNmE5NTg0ZS1jZTg0LTRjMjQtYTU2OC1iMWNlYTczMDcyM2Q6ZTA5Zjk5M2RhNWYyNDRhYzU0MTQyODM5MDY5YTlmYjU6MQ==</t>
        </is>
      </c>
      <c r="O389" t="inlineStr">
        <is>
          <t>0</t>
        </is>
      </c>
      <c r="P389" t="inlineStr">
        <is>
          <t>或签任务</t>
        </is>
      </c>
      <c r="Q389" t="inlineStr">
        <is>
          <t>0</t>
        </is>
      </c>
      <c r="R389" t="inlineStr">
        <is>
          <t>龚政涛,陈麒升,陈吉瑞</t>
        </is>
      </c>
      <c r="S389" s="4">
        <v>45899.333333333336</v>
      </c>
      <c r="T389" s="3" t="str">
        <f>=HYPERLINK("https://applink.feishu.cn/client/todo/task_list?guid=4d92b9af-66d1-4cd7-95d1-4b753a64ca6b", "跃入迷城")</f>
        <v>跃入迷城</v>
      </c>
      <c r="U389" t="inlineStr">
        <is>
          <t>4d92b9af-66d1-4cd7-95d1-4b753a64ca6b</t>
        </is>
      </c>
      <c r="V389" t="inlineStr">
        <is>
          <t>f6a9584e-ce84-4c24-a568-b1cea730723d</t>
        </is>
      </c>
      <c r="W389"/>
      <c r="X389" t="inlineStr">
        <is>
          <t>13c24a56-ebc7-4034-bac1-0cea1738f217</t>
        </is>
      </c>
      <c r="Y389" t="inlineStr">
        <is>
          <t>d4fe14e4-ffc8-4525-9146-aab0528eee0a</t>
        </is>
      </c>
      <c r="Z389"/>
      <c r="AA389"/>
      <c r="AB389"/>
      <c r="AC389"/>
      <c r="AD389" t="inlineStr">
        <is>
          <t>🎨艺术</t>
        </is>
      </c>
      <c r="AE389"/>
    </row>
    <row r="390" ht="25.5" customHeight="1">
      <c r="A390" s="3" t="str">
        <f>=HYPERLINK("https://applink.feishu.cn/client/todo/detail?guid=13c24a56-ebc7-4034-bac1-0cea1738f217&amp;suite_entity_num=t100950", "莫里角色模型 &lt; 角色模型制作")</f>
        <v>莫里角色模型 &lt; 角色模型制作</v>
      </c>
      <c r="B390"/>
      <c r="C390"/>
      <c r="D390"/>
      <c r="E390"/>
      <c r="F390" t="inlineStr">
        <is>
          <t>陈吉瑞</t>
        </is>
      </c>
      <c r="G390" t="inlineStr">
        <is>
          <t>龚政涛</t>
        </is>
      </c>
      <c r="H390" s="4">
        <v>45860.42318287037</v>
      </c>
      <c r="I390" s="4"/>
      <c r="J390" s="4">
        <v>45912.333333333336</v>
      </c>
      <c r="K390" s="4">
        <v>45890.48278935185</v>
      </c>
      <c r="L390">
        <v>0</v>
      </c>
      <c r="M390">
        <v>0</v>
      </c>
      <c r="N390" t="inlineStr">
        <is>
          <t>NzQxMzM4ODg5NzkxNDY2NzAwOToxM2MyNGE1Ni1lYmM3LTQwMzQtYmFjMS0wY2VhMTczOGYyMTc6NzZiMDY2YjBkYjM5YjZhNjEzZGU2ZjhlNjU0MDk5MmQ6MQ==</t>
        </is>
      </c>
      <c r="O390" t="inlineStr">
        <is>
          <t>0</t>
        </is>
      </c>
      <c r="P390" t="inlineStr">
        <is>
          <t>或签任务</t>
        </is>
      </c>
      <c r="Q390" t="inlineStr">
        <is>
          <t>0</t>
        </is>
      </c>
      <c r="R390" t="inlineStr">
        <is>
          <t>陈麒升,龚政涛,陈吉瑞</t>
        </is>
      </c>
      <c r="S390" s="4">
        <v>45906.333333333336</v>
      </c>
      <c r="T390" s="3" t="str">
        <f>=HYPERLINK("https://applink.feishu.cn/client/todo/task_list?guid=4d92b9af-66d1-4cd7-95d1-4b753a64ca6b", "跃入迷城")</f>
        <v>跃入迷城</v>
      </c>
      <c r="U390" t="inlineStr">
        <is>
          <t>4d92b9af-66d1-4cd7-95d1-4b753a64ca6b</t>
        </is>
      </c>
      <c r="V390" t="inlineStr">
        <is>
          <t>13c24a56-ebc7-4034-bac1-0cea1738f217</t>
        </is>
      </c>
      <c r="W390" t="inlineStr">
        <is>
          <t>f6a9584e-ce84-4c24-a568-b1cea730723d</t>
        </is>
      </c>
      <c r="X390"/>
      <c r="Y390" t="inlineStr">
        <is>
          <t>d4fe14e4-ffc8-4525-9146-aab0528eee0a</t>
        </is>
      </c>
      <c r="Z390"/>
      <c r="AA390"/>
      <c r="AB390"/>
      <c r="AC390"/>
      <c r="AD390" t="inlineStr">
        <is>
          <t>🎨艺术</t>
        </is>
      </c>
      <c r="AE390"/>
    </row>
    <row r="391" ht="25.5" customHeight="1">
      <c r="A391" s="3" t="str">
        <f>=HYPERLINK("https://applink.feishu.cn/client/todo/detail?guid=b95ed6b3-b4ac-4c3e-9e75-a94ee2d2ab42&amp;suite_entity_num=t100951", "艾莉娅角色模型 &lt; 角色模型制作")</f>
        <v>艾莉娅角色模型 &lt; 角色模型制作</v>
      </c>
      <c r="B391"/>
      <c r="C391" t="inlineStr">
        <is>
          <t>默认分组</t>
        </is>
      </c>
      <c r="D391"/>
      <c r="E391">
        <v>1</v>
      </c>
      <c r="F391" t="inlineStr">
        <is>
          <t>陈吉瑞</t>
        </is>
      </c>
      <c r="G391" t="inlineStr">
        <is>
          <t>龚政涛</t>
        </is>
      </c>
      <c r="H391" s="4">
        <v>45860.42427083333</v>
      </c>
      <c r="I391" s="4"/>
      <c r="J391" s="4"/>
      <c r="K391" s="4">
        <v>45896.51383101852</v>
      </c>
      <c r="L391">
        <v>2</v>
      </c>
      <c r="M391">
        <v>0</v>
      </c>
      <c r="N391" t="inlineStr">
        <is>
          <t>NzQxMzM4ODg5NzkxNDY2NzAwOTpiOTVlZDZiMy1iNGFjLTRjM2UtOWU3NS1hOTRlZTJkMmFiNDI6YjM3ZGI3OWQ4YTAyNGUwNjMzNDc5M2JjYmFlNWY2ZmQ6MQ==</t>
        </is>
      </c>
      <c r="O391" t="inlineStr">
        <is>
          <t>0</t>
        </is>
      </c>
      <c r="P391" t="inlineStr">
        <is>
          <t>或签任务</t>
        </is>
      </c>
      <c r="Q391" t="inlineStr">
        <is>
          <t>0</t>
        </is>
      </c>
      <c r="R391" t="inlineStr">
        <is>
          <t>龚政涛,陈麒升,陈吉瑞</t>
        </is>
      </c>
      <c r="S391" s="4"/>
      <c r="T391" s="3" t="str">
        <f>=HYPERLINK("https://applink.feishu.cn/client/todo/task_list?guid=4d92b9af-66d1-4cd7-95d1-4b753a64ca6b", "跃入迷城")</f>
        <v>跃入迷城</v>
      </c>
      <c r="U391" t="inlineStr">
        <is>
          <t>4d92b9af-66d1-4cd7-95d1-4b753a64ca6b</t>
        </is>
      </c>
      <c r="V391" t="inlineStr">
        <is>
          <t>b95ed6b3-b4ac-4c3e-9e75-a94ee2d2ab42</t>
        </is>
      </c>
      <c r="W391"/>
      <c r="X391"/>
      <c r="Y391" t="inlineStr">
        <is>
          <t>d4fe14e4-ffc8-4525-9146-aab0528eee0a</t>
        </is>
      </c>
      <c r="Z391" t="inlineStr">
        <is>
          <t>0.0.5</t>
        </is>
      </c>
      <c r="AA391" t="inlineStr">
        <is>
          <t>模型</t>
        </is>
      </c>
      <c r="AB391" t="inlineStr">
        <is>
          <t>已拆分</t>
        </is>
      </c>
      <c r="AC391"/>
      <c r="AD391" t="inlineStr">
        <is>
          <t>🎨艺术</t>
        </is>
      </c>
      <c r="AE391"/>
    </row>
    <row r="392" ht="25.5" customHeight="1">
      <c r="A392" s="3" t="str">
        <f>=HYPERLINK("https://applink.feishu.cn/client/todo/detail?guid=967c2b80-3d05-4fc5-97b8-7344279c1ad2&amp;suite_entity_num=t100936", "伽拉提角色模型 &lt; 角色模型制作")</f>
        <v>伽拉提角色模型 &lt; 角色模型制作</v>
      </c>
      <c r="B392"/>
      <c r="C392"/>
      <c r="D392"/>
      <c r="E392"/>
      <c r="F392" t="inlineStr">
        <is>
          <t>陈吉瑞</t>
        </is>
      </c>
      <c r="G392" t="inlineStr">
        <is>
          <t>龚政涛</t>
        </is>
      </c>
      <c r="H392" s="4">
        <v>45859.671481481484</v>
      </c>
      <c r="I392" s="4"/>
      <c r="J392" s="4">
        <v>45900.333333333336</v>
      </c>
      <c r="K392" s="4">
        <v>45895.482407407406</v>
      </c>
      <c r="L392">
        <v>0</v>
      </c>
      <c r="M392">
        <v>0</v>
      </c>
      <c r="N392" t="inlineStr">
        <is>
          <t>NzQxMzM4ODg5NzkxNDY2NzAwOTo5NjdjMmI4MC0zZDA1LTRmYzUtOTdiOC03MzQ0Mjc5YzFhZDI6ZjNlNmNlMDg5N2Y4YWZmMzIxMWZmYmI5Y2VlMjY4YjY6MQ==</t>
        </is>
      </c>
      <c r="O392" t="inlineStr">
        <is>
          <t>0</t>
        </is>
      </c>
      <c r="P392" t="inlineStr">
        <is>
          <t>或签任务</t>
        </is>
      </c>
      <c r="Q392" t="inlineStr">
        <is>
          <t>0</t>
        </is>
      </c>
      <c r="R392" t="inlineStr">
        <is>
          <t>龚政涛,陈麒升,陈吉瑞</t>
        </is>
      </c>
      <c r="S392" s="4">
        <v>45896.333333333336</v>
      </c>
      <c r="T392" s="3" t="str">
        <f>=HYPERLINK("https://applink.feishu.cn/client/todo/task_list?guid=4d92b9af-66d1-4cd7-95d1-4b753a64ca6b", "跃入迷城")</f>
        <v>跃入迷城</v>
      </c>
      <c r="U392" t="inlineStr">
        <is>
          <t>4d92b9af-66d1-4cd7-95d1-4b753a64ca6b</t>
        </is>
      </c>
      <c r="V392" t="inlineStr">
        <is>
          <t>967c2b80-3d05-4fc5-97b8-7344279c1ad2</t>
        </is>
      </c>
      <c r="W392"/>
      <c r="X392"/>
      <c r="Y392" t="inlineStr">
        <is>
          <t>d4fe14e4-ffc8-4525-9146-aab0528eee0a</t>
        </is>
      </c>
      <c r="Z392"/>
      <c r="AA392"/>
      <c r="AB392"/>
      <c r="AC392"/>
      <c r="AD392" t="inlineStr">
        <is>
          <t>🎨艺术</t>
        </is>
      </c>
      <c r="AE392"/>
    </row>
    <row r="393" ht="25.5" customHeight="1">
      <c xml:space="preserve" r="A393" s="3" t="str">
        <f>=HYPERLINK("https://applink.feishu.cn/client/todo/detail?guid=9298b963-95f4-4c7c-ac2e-f4e4d6775a3f&amp;suite_entity_num=t100935", "六边柱模型 &lt; ✨新增：墙壁、地面、门、窗、电梯制作了定制模型，以更好的呈现正式版本的视觉风格 ")</f>
        <v>六边柱模型 &lt; ✨新增：墙壁、地面、门、窗、电梯制作了定制模型，以更好的呈现正式版本的视觉风格 </v>
      </c>
      <c r="B393"/>
      <c r="C393" t="inlineStr">
        <is>
          <t>默认分组</t>
        </is>
      </c>
      <c r="D393"/>
      <c r="E393">
        <v>1</v>
      </c>
      <c r="F393" t="inlineStr">
        <is>
          <t>陈吉瑞</t>
        </is>
      </c>
      <c r="G393" t="inlineStr">
        <is>
          <t>龚政涛</t>
        </is>
      </c>
      <c r="H393" s="4">
        <v>45859.67123842592</v>
      </c>
      <c r="I393" s="4">
        <v>45950.415127314816</v>
      </c>
      <c r="J393" s="4"/>
      <c r="K393" s="4">
        <v>45950.415127314816</v>
      </c>
      <c r="L393">
        <v>2</v>
      </c>
      <c r="M393">
        <v>0</v>
      </c>
      <c r="N393" t="inlineStr">
        <is>
          <t>NzQxMzM4ODg5NzkxNDY2NzAwOTo5Mjk4Yjk2My05NWY0LTRjN2MtYWMyZS1mNGU0ZDY3NzVhM2Y6Y2U5ZDJjMTUwODk5NDg3MWI0MmYwNjQyODI2MzM2NWI6MQ==</t>
        </is>
      </c>
      <c r="O393" t="inlineStr">
        <is>
          <t>1</t>
        </is>
      </c>
      <c r="P393" t="inlineStr">
        <is>
          <t>或签任务</t>
        </is>
      </c>
      <c r="Q393" t="inlineStr">
        <is>
          <t>0</t>
        </is>
      </c>
      <c r="R393" t="inlineStr">
        <is>
          <t>陈麒升,龚政涛,陈吉瑞</t>
        </is>
      </c>
      <c r="S393" s="4"/>
      <c r="T393" s="3" t="str">
        <f>=HYPERLINK("https://applink.feishu.cn/client/todo/task_list?guid=4d92b9af-66d1-4cd7-95d1-4b753a64ca6b", "跃入迷城")</f>
        <v>跃入迷城</v>
      </c>
      <c r="U393" t="inlineStr">
        <is>
          <t>4d92b9af-66d1-4cd7-95d1-4b753a64ca6b</t>
        </is>
      </c>
      <c r="V393" t="inlineStr">
        <is>
          <t>9298b963-95f4-4c7c-ac2e-f4e4d6775a3f</t>
        </is>
      </c>
      <c r="W393"/>
      <c r="X393"/>
      <c r="Y393" t="inlineStr">
        <is>
          <t>b5b3cf09-e2af-4f6b-885e-c3afc23421c1</t>
        </is>
      </c>
      <c r="Z393" t="inlineStr">
        <is>
          <t>0.0.5</t>
        </is>
      </c>
      <c r="AA393" t="inlineStr">
        <is>
          <t>模型</t>
        </is>
      </c>
      <c r="AB393" t="inlineStr">
        <is>
          <t>已拆分</t>
        </is>
      </c>
      <c r="AC393"/>
      <c r="AD393" t="inlineStr">
        <is>
          <t>🎨艺术</t>
        </is>
      </c>
      <c r="AE393"/>
    </row>
    <row r="394" ht="25.5" customHeight="1">
      <c xml:space="preserve" r="A394" s="3" t="str">
        <f>=HYPERLINK("https://applink.feishu.cn/client/todo/detail?guid=842eec78-e1d6-4696-a7de-476675ac20cc&amp;suite_entity_num=t100934", "地面模型资产 &lt; ✨新增：墙壁、地面、门、窗、电梯制作了定制模型，以更好的呈现正式版本的视觉风格 ")</f>
        <v>地面模型资产 &lt; ✨新增：墙壁、地面、门、窗、电梯制作了定制模型，以更好的呈现正式版本的视觉风格 </v>
      </c>
      <c r="B394"/>
      <c r="C394"/>
      <c r="D394"/>
      <c r="E394"/>
      <c r="F394" t="inlineStr">
        <is>
          <t>陈麒升</t>
        </is>
      </c>
      <c r="G394" t="inlineStr">
        <is>
          <t>龚政涛</t>
        </is>
      </c>
      <c r="H394" s="4">
        <v>45859.67099537037</v>
      </c>
      <c r="I394" s="4">
        <v>45882.49695601852</v>
      </c>
      <c r="J394" s="4">
        <v>45879.333333333336</v>
      </c>
      <c r="K394" s="4">
        <v>45895.48851851852</v>
      </c>
      <c r="L394">
        <v>0</v>
      </c>
      <c r="M394">
        <v>0</v>
      </c>
      <c r="N394" t="inlineStr">
        <is>
          <t>NzQxMzM4ODg5NzkxNDY2NzAwOTo4NDJlZWM3OC1lMWQ2LTQ2OTYtYTdkZS00NzY2NzVhYzIwY2M6NGM4MzNlOGNjZjhjY2Q3NTZkMTMwMmJjZTI5OWI3YmU6MQ==</t>
        </is>
      </c>
      <c r="O394" t="inlineStr">
        <is>
          <t>1</t>
        </is>
      </c>
      <c r="P394" t="inlineStr">
        <is>
          <t>或签任务</t>
        </is>
      </c>
      <c r="Q394" t="inlineStr">
        <is>
          <t>0</t>
        </is>
      </c>
      <c r="R394" t="inlineStr">
        <is>
          <t>陈麒升,龚政涛</t>
        </is>
      </c>
      <c r="S394" s="4">
        <v>45859.333333333336</v>
      </c>
      <c r="T394" s="3" t="str">
        <f>=HYPERLINK("https://applink.feishu.cn/client/todo/task_list?guid=4d92b9af-66d1-4cd7-95d1-4b753a64ca6b", "跃入迷城")</f>
        <v>跃入迷城</v>
      </c>
      <c r="U394" t="inlineStr">
        <is>
          <t>4d92b9af-66d1-4cd7-95d1-4b753a64ca6b</t>
        </is>
      </c>
      <c r="V394" t="inlineStr">
        <is>
          <t>842eec78-e1d6-4696-a7de-476675ac20cc</t>
        </is>
      </c>
      <c r="W394"/>
      <c r="X394"/>
      <c r="Y394" t="inlineStr">
        <is>
          <t>b5b3cf09-e2af-4f6b-885e-c3afc23421c1</t>
        </is>
      </c>
      <c r="Z394" t="inlineStr">
        <is>
          <t>0.0.5</t>
        </is>
      </c>
      <c r="AA394" t="inlineStr">
        <is>
          <t>模型</t>
        </is>
      </c>
      <c r="AB394" t="inlineStr">
        <is>
          <t>已完成</t>
        </is>
      </c>
      <c r="AC394"/>
      <c r="AD394" t="inlineStr">
        <is>
          <t>🎨艺术</t>
        </is>
      </c>
      <c r="AE394">
        <v>2</v>
      </c>
    </row>
    <row r="395" ht="25.5" customHeight="1">
      <c r="A395" s="3" t="str">
        <f>=HYPERLINK("https://applink.feishu.cn/client/todo/detail?guid=42e37c5a-30e7-4891-970f-16f2d1ea942c&amp;suite_entity_num=t100991", "🪡修改：彻底更新了战斗相关的菜单UI效果")</f>
        <v>🪡修改：彻底更新了战斗相关的菜单UI效果</v>
      </c>
      <c r="B395"/>
      <c r="C395" t="inlineStr">
        <is>
          <t>默认分组</t>
        </is>
      </c>
      <c r="D395"/>
      <c r="E395">
        <v>0.25</v>
      </c>
      <c r="F395" t="inlineStr">
        <is>
          <t>郭斯已</t>
        </is>
      </c>
      <c r="G395" t="inlineStr">
        <is>
          <t>龚政涛</t>
        </is>
      </c>
      <c r="H395" s="4">
        <v>45866.69702546296</v>
      </c>
      <c r="I395" s="4"/>
      <c r="J395" s="4"/>
      <c r="K395" s="4">
        <v>45895.50140046296</v>
      </c>
      <c r="L395">
        <v>8</v>
      </c>
      <c r="M395">
        <v>0</v>
      </c>
      <c r="N395" t="inlineStr">
        <is>
          <t>NzQxMzM4ODg5NzkxNDY2NzAwOTo0MmUzN2M1YS0zMGU3LTQ4OTEtOTcwZi0xNmYyZDFlYTk0MmM6NjVmYmQ2MDRiNmYxNjUyNWY1YmEwM2ExZTFiZjFlYTU6MQ==</t>
        </is>
      </c>
      <c r="O395" t="inlineStr">
        <is>
          <t>0</t>
        </is>
      </c>
      <c r="P395" t="inlineStr">
        <is>
          <t>或签任务</t>
        </is>
      </c>
      <c r="Q395" t="inlineStr">
        <is>
          <t>0</t>
        </is>
      </c>
      <c r="R395" t="inlineStr">
        <is>
          <t>龚政涛,郭斯已</t>
        </is>
      </c>
      <c r="S395" s="4"/>
      <c r="T395" s="3" t="str">
        <f>=HYPERLINK("https://applink.feishu.cn/client/todo/task_list?guid=4d92b9af-66d1-4cd7-95d1-4b753a64ca6b", "跃入迷城")</f>
        <v>跃入迷城</v>
      </c>
      <c r="U395" t="inlineStr">
        <is>
          <t>4d92b9af-66d1-4cd7-95d1-4b753a64ca6b</t>
        </is>
      </c>
      <c r="V395" t="inlineStr">
        <is>
          <t>42e37c5a-30e7-4891-970f-16f2d1ea942c</t>
        </is>
      </c>
      <c r="W395"/>
      <c r="X395"/>
      <c r="Y395"/>
      <c r="Z395" t="inlineStr">
        <is>
          <t>0.0.5</t>
        </is>
      </c>
      <c r="AA395" t="inlineStr">
        <is>
          <t>UIUX</t>
        </is>
      </c>
      <c r="AB395" t="inlineStr">
        <is>
          <t>已拆分</t>
        </is>
      </c>
      <c r="AC395"/>
      <c r="AD395" t="inlineStr">
        <is>
          <t>🎨艺术</t>
        </is>
      </c>
      <c r="AE395"/>
    </row>
    <row r="396" ht="25.5" customHeight="1">
      <c r="A396" s="3" t="str">
        <f>=HYPERLINK("https://applink.feishu.cn/client/todo/detail?guid=e428c9b6-4d7e-4e2e-bfcb-67ac4a95389f&amp;suite_entity_num=t100987", "武器打印机 &lt; 🪡修改：彻底更新了战斗相关的菜单UI效果")</f>
        <v>武器打印机 &lt; 🪡修改：彻底更新了战斗相关的菜单UI效果</v>
      </c>
      <c r="B396"/>
      <c r="C396" t="inlineStr">
        <is>
          <t>默认分组</t>
        </is>
      </c>
      <c r="D396"/>
      <c r="E396"/>
      <c r="F396" t="inlineStr">
        <is>
          <t>郭斯已</t>
        </is>
      </c>
      <c r="G396" t="inlineStr">
        <is>
          <t>龚政涛</t>
        </is>
      </c>
      <c r="H396" s="4">
        <v>45866.69467592592</v>
      </c>
      <c r="I396" s="4">
        <v>45890.49505787037</v>
      </c>
      <c r="J396" s="4">
        <v>45882.333333333336</v>
      </c>
      <c r="K396" s="4">
        <v>45890.49506944444</v>
      </c>
      <c r="L396">
        <v>0</v>
      </c>
      <c r="M396">
        <v>0</v>
      </c>
      <c r="N396" t="inlineStr">
        <is>
          <t>NzQxMzM4ODg5NzkxNDY2NzAwOTplNDI4YzliNi00ZDdlLTRlMmUtYmZjYi02N2FjNGE5NTM4OWY6NmU3YjAwZTExNDNiZDUzMGRjNzU3MGRlYmE2ODdkNDY6MQ==</t>
        </is>
      </c>
      <c r="O396" t="inlineStr">
        <is>
          <t>1</t>
        </is>
      </c>
      <c r="P396" t="inlineStr">
        <is>
          <t>或签任务</t>
        </is>
      </c>
      <c r="Q396" t="inlineStr">
        <is>
          <t>0</t>
        </is>
      </c>
      <c r="R396" t="inlineStr">
        <is>
          <t>龚政涛,郭斯已</t>
        </is>
      </c>
      <c r="S396" s="4">
        <v>45866.333333333336</v>
      </c>
      <c r="T396" s="3" t="str">
        <f>=HYPERLINK("https://applink.feishu.cn/client/todo/task_list?guid=4d92b9af-66d1-4cd7-95d1-4b753a64ca6b", "跃入迷城")</f>
        <v>跃入迷城</v>
      </c>
      <c r="U396" t="inlineStr">
        <is>
          <t>4d92b9af-66d1-4cd7-95d1-4b753a64ca6b</t>
        </is>
      </c>
      <c r="V396" t="inlineStr">
        <is>
          <t>e428c9b6-4d7e-4e2e-bfcb-67ac4a95389f</t>
        </is>
      </c>
      <c r="W396" t="inlineStr">
        <is>
          <t>c08b809c-ce26-4c9f-a6a5-b500c4266b7e</t>
        </is>
      </c>
      <c r="X396"/>
      <c r="Y396" t="inlineStr">
        <is>
          <t>42e37c5a-30e7-4891-970f-16f2d1ea942c</t>
        </is>
      </c>
      <c r="Z396" t="inlineStr">
        <is>
          <t>0.0.5</t>
        </is>
      </c>
      <c r="AA396" t="inlineStr">
        <is>
          <t>UIUX</t>
        </is>
      </c>
      <c r="AB396" t="inlineStr">
        <is>
          <t>已完成</t>
        </is>
      </c>
      <c r="AC396"/>
      <c r="AD396" t="inlineStr">
        <is>
          <t>🎨艺术</t>
        </is>
      </c>
      <c r="AE396">
        <v>64</v>
      </c>
    </row>
    <row r="397" ht="25.5" customHeight="1">
      <c r="A397" s="3" t="str">
        <f>=HYPERLINK("https://applink.feishu.cn/client/todo/detail?guid=a51ce06c-d7c2-4d27-a40f-6dda28e669a3&amp;suite_entity_num=t100992", "义体打印机 &lt; 🪡修改：彻底更新了战斗相关的菜单UI效果")</f>
        <v>义体打印机 &lt; 🪡修改：彻底更新了战斗相关的菜单UI效果</v>
      </c>
      <c r="B397"/>
      <c r="C397" t="inlineStr">
        <is>
          <t>默认分组</t>
        </is>
      </c>
      <c r="D397"/>
      <c r="E397"/>
      <c r="F397" t="inlineStr">
        <is>
          <t>郭斯已</t>
        </is>
      </c>
      <c r="G397" t="inlineStr">
        <is>
          <t>龚政涛</t>
        </is>
      </c>
      <c r="H397" s="4">
        <v>45866.69888888889</v>
      </c>
      <c r="I397" s="4">
        <v>45895.48693287037</v>
      </c>
      <c r="J397" s="4">
        <v>45890.333333333336</v>
      </c>
      <c r="K397" s="4">
        <v>45895.48694444444</v>
      </c>
      <c r="L397">
        <v>0</v>
      </c>
      <c r="M397">
        <v>1</v>
      </c>
      <c r="N397" t="inlineStr">
        <is>
          <t>NzQxMzM4ODg5NzkxNDY2NzAwOTphNTFjZTA2Yy1kN2MyLTRkMjctYTQwZi02ZGRhMjhlNjY5YTM6NGQ5Y2M3OTljOGIyOGQ2OWFkYzM3ZDFhYzEwZTI5NmY6MQ==</t>
        </is>
      </c>
      <c r="O397" t="inlineStr">
        <is>
          <t>1</t>
        </is>
      </c>
      <c r="P397" t="inlineStr">
        <is>
          <t>或签任务</t>
        </is>
      </c>
      <c r="Q397" t="inlineStr">
        <is>
          <t>0</t>
        </is>
      </c>
      <c r="R397" t="inlineStr">
        <is>
          <t>龚政涛,郭斯已</t>
        </is>
      </c>
      <c r="S397" s="4">
        <v>45889.333333333336</v>
      </c>
      <c r="T397" s="3" t="str">
        <f>=HYPERLINK("https://applink.feishu.cn/client/todo/task_list?guid=4d92b9af-66d1-4cd7-95d1-4b753a64ca6b", "跃入迷城")</f>
        <v>跃入迷城</v>
      </c>
      <c r="U397" t="inlineStr">
        <is>
          <t>4d92b9af-66d1-4cd7-95d1-4b753a64ca6b</t>
        </is>
      </c>
      <c r="V397" t="inlineStr">
        <is>
          <t>a51ce06c-d7c2-4d27-a40f-6dda28e669a3</t>
        </is>
      </c>
      <c r="W397"/>
      <c r="X397"/>
      <c r="Y397" t="inlineStr">
        <is>
          <t>42e37c5a-30e7-4891-970f-16f2d1ea942c</t>
        </is>
      </c>
      <c r="Z397" t="inlineStr">
        <is>
          <t>0.0.5</t>
        </is>
      </c>
      <c r="AA397" t="inlineStr">
        <is>
          <t>UIUX</t>
        </is>
      </c>
      <c r="AB397" t="inlineStr">
        <is>
          <t>已完成</t>
        </is>
      </c>
      <c r="AC397"/>
      <c r="AD397" t="inlineStr">
        <is>
          <t>🎨艺术</t>
        </is>
      </c>
      <c r="AE397">
        <v>8</v>
      </c>
    </row>
    <row r="398" ht="25.5" customHeight="1">
      <c r="A398" s="3" t="str">
        <f>=HYPERLINK("https://applink.feishu.cn/client/todo/detail?guid=0d3b856b-3e13-4a6a-9f86-79f74024f696&amp;suite_entity_num=t100993", "TAB选单 &lt; 🪡修改：彻底更新了战斗相关的菜单UI效果")</f>
        <v>TAB选单 &lt; 🪡修改：彻底更新了战斗相关的菜单UI效果</v>
      </c>
      <c r="B398"/>
      <c r="C398" t="inlineStr">
        <is>
          <t>默认分组</t>
        </is>
      </c>
      <c r="D398"/>
      <c r="E398">
        <v>1</v>
      </c>
      <c r="F398" t="inlineStr">
        <is>
          <t>郭斯已</t>
        </is>
      </c>
      <c r="G398" t="inlineStr">
        <is>
          <t>龚政涛</t>
        </is>
      </c>
      <c r="H398" s="4">
        <v>45866.698958333334</v>
      </c>
      <c r="I398" s="4"/>
      <c r="J398" s="4"/>
      <c r="K398" s="4">
        <v>45895.49796296296</v>
      </c>
      <c r="L398">
        <v>1</v>
      </c>
      <c r="M398">
        <v>0</v>
      </c>
      <c r="N398" t="inlineStr">
        <is>
          <t>NzQxMzM4ODg5NzkxNDY2NzAwOTowZDNiODU2Yi0zZTEzLTRhNmEtOWY4Ni03OWY3NDAyNGY2OTY6ZjQzMWVhNWRlZGIwMjE4NGQ4ZDU5OTY4YzZmYzM1OTI6MQ==</t>
        </is>
      </c>
      <c r="O398" t="inlineStr">
        <is>
          <t>0</t>
        </is>
      </c>
      <c r="P398" t="inlineStr">
        <is>
          <t>或签任务</t>
        </is>
      </c>
      <c r="Q398" t="inlineStr">
        <is>
          <t>0</t>
        </is>
      </c>
      <c r="R398" t="inlineStr">
        <is>
          <t>龚政涛,郭斯已</t>
        </is>
      </c>
      <c r="S398" s="4"/>
      <c r="T398" s="3" t="str">
        <f>=HYPERLINK("https://applink.feishu.cn/client/todo/task_list?guid=4d92b9af-66d1-4cd7-95d1-4b753a64ca6b", "跃入迷城")</f>
        <v>跃入迷城</v>
      </c>
      <c r="U398" t="inlineStr">
        <is>
          <t>4d92b9af-66d1-4cd7-95d1-4b753a64ca6b</t>
        </is>
      </c>
      <c r="V398" t="inlineStr">
        <is>
          <t>0d3b856b-3e13-4a6a-9f86-79f74024f696</t>
        </is>
      </c>
      <c r="W398"/>
      <c r="X398"/>
      <c r="Y398" t="inlineStr">
        <is>
          <t>42e37c5a-30e7-4891-970f-16f2d1ea942c</t>
        </is>
      </c>
      <c r="Z398" t="inlineStr">
        <is>
          <t>0.0.5</t>
        </is>
      </c>
      <c r="AA398" t="inlineStr">
        <is>
          <t>UIUX</t>
        </is>
      </c>
      <c r="AB398" t="inlineStr">
        <is>
          <t>已拆分</t>
        </is>
      </c>
      <c r="AC398"/>
      <c r="AD398" t="inlineStr">
        <is>
          <t>🎨艺术</t>
        </is>
      </c>
      <c r="AE398">
        <v>0</v>
      </c>
    </row>
    <row r="399" ht="25.5" customHeight="1">
      <c r="A399" s="3" t="str">
        <f>=HYPERLINK("https://applink.feishu.cn/client/todo/detail?guid=a050c946-a0d1-45ed-a03b-aa9e62bbfddc&amp;suite_entity_num=t100994", "仓库 - 安全屋 &lt; 🪡修改：彻底更新了战斗相关的菜单UI效果")</f>
        <v>仓库 - 安全屋 &lt; 🪡修改：彻底更新了战斗相关的菜单UI效果</v>
      </c>
      <c r="B399"/>
      <c r="C399" t="inlineStr">
        <is>
          <t>默认分组</t>
        </is>
      </c>
      <c r="D399"/>
      <c r="E399">
        <v>1</v>
      </c>
      <c r="F399" t="inlineStr">
        <is>
          <t>郭斯已</t>
        </is>
      </c>
      <c r="G399" t="inlineStr">
        <is>
          <t>龚政涛</t>
        </is>
      </c>
      <c r="H399" s="4">
        <v>45866.69900462963</v>
      </c>
      <c r="I399" s="4"/>
      <c r="J399" s="4"/>
      <c r="K399" s="4">
        <v>45895.50137731482</v>
      </c>
      <c r="L399">
        <v>6</v>
      </c>
      <c r="M399">
        <v>0</v>
      </c>
      <c r="N399" t="inlineStr">
        <is>
          <t>NzQxMzM4ODg5NzkxNDY2NzAwOTphMDUwYzk0Ni1hMGQxLTQ1ZWQtYTAzYi1hYTllNjJiYmZkZGM6YzVlMzY5ODY5MDE1ODBlYTY0YWFkMjY0NWFkNzUwY2Y6MQ==</t>
        </is>
      </c>
      <c r="O399" t="inlineStr">
        <is>
          <t>0</t>
        </is>
      </c>
      <c r="P399" t="inlineStr">
        <is>
          <t>或签任务</t>
        </is>
      </c>
      <c r="Q399" t="inlineStr">
        <is>
          <t>0</t>
        </is>
      </c>
      <c r="R399" t="inlineStr">
        <is>
          <t>龚政涛,郭斯已</t>
        </is>
      </c>
      <c r="S399" s="4"/>
      <c r="T399" s="3" t="str">
        <f>=HYPERLINK("https://applink.feishu.cn/client/todo/task_list?guid=4d92b9af-66d1-4cd7-95d1-4b753a64ca6b", "跃入迷城")</f>
        <v>跃入迷城</v>
      </c>
      <c r="U399" t="inlineStr">
        <is>
          <t>4d92b9af-66d1-4cd7-95d1-4b753a64ca6b</t>
        </is>
      </c>
      <c r="V399" t="inlineStr">
        <is>
          <t>a050c946-a0d1-45ed-a03b-aa9e62bbfddc</t>
        </is>
      </c>
      <c r="W399"/>
      <c r="X399"/>
      <c r="Y399" t="inlineStr">
        <is>
          <t>42e37c5a-30e7-4891-970f-16f2d1ea942c</t>
        </is>
      </c>
      <c r="Z399" t="inlineStr">
        <is>
          <t>0.0.5</t>
        </is>
      </c>
      <c r="AA399" t="inlineStr">
        <is>
          <t>UIUX</t>
        </is>
      </c>
      <c r="AB399" t="inlineStr">
        <is>
          <t>已拆分</t>
        </is>
      </c>
      <c r="AC399"/>
      <c r="AD399" t="inlineStr">
        <is>
          <t>🎨艺术</t>
        </is>
      </c>
      <c r="AE399"/>
    </row>
    <row r="400" ht="25.5" customHeight="1">
      <c r="A400" s="3" t="str">
        <f>=HYPERLINK("https://applink.feishu.cn/client/todo/detail?guid=3461e793-c350-4474-8700-e2b34acb841d&amp;suite_entity_num=t100995", "无人机回寄 &lt; 🪡修改：彻底更新了战斗相关的菜单UI效果")</f>
        <v>无人机回寄 &lt; 🪡修改：彻底更新了战斗相关的菜单UI效果</v>
      </c>
      <c r="B400"/>
      <c r="C400" t="inlineStr">
        <is>
          <t>默认分组</t>
        </is>
      </c>
      <c r="D400"/>
      <c r="E400">
        <v>1</v>
      </c>
      <c r="F400" t="inlineStr">
        <is>
          <t>郭斯已</t>
        </is>
      </c>
      <c r="G400" t="inlineStr">
        <is>
          <t>龚政涛</t>
        </is>
      </c>
      <c r="H400" s="4">
        <v>45866.699166666665</v>
      </c>
      <c r="I400" s="4"/>
      <c r="J400" s="4"/>
      <c r="K400" s="4">
        <v>45895.50127314815</v>
      </c>
      <c r="L400">
        <v>2</v>
      </c>
      <c r="M400">
        <v>0</v>
      </c>
      <c r="N400" t="inlineStr">
        <is>
          <t>NzQxMzM4ODg5NzkxNDY2NzAwOTozNDYxZTc5My1jMzUwLTQ0NzQtODcwMC1lMmIzNGFjYjg0MWQ6NDMzM2ZlNDE4OTgyMzc2ZTc3ZTdjZjU2YjJkOTRmY2M6MQ==</t>
        </is>
      </c>
      <c r="O400" t="inlineStr">
        <is>
          <t>0</t>
        </is>
      </c>
      <c r="P400" t="inlineStr">
        <is>
          <t>或签任务</t>
        </is>
      </c>
      <c r="Q400" t="inlineStr">
        <is>
          <t>0</t>
        </is>
      </c>
      <c r="R400" t="inlineStr">
        <is>
          <t>龚政涛,郭斯已</t>
        </is>
      </c>
      <c r="S400" s="4"/>
      <c r="T400" s="3" t="str">
        <f>=HYPERLINK("https://applink.feishu.cn/client/todo/task_list?guid=4d92b9af-66d1-4cd7-95d1-4b753a64ca6b", "跃入迷城")</f>
        <v>跃入迷城</v>
      </c>
      <c r="U400" t="inlineStr">
        <is>
          <t>4d92b9af-66d1-4cd7-95d1-4b753a64ca6b</t>
        </is>
      </c>
      <c r="V400" t="inlineStr">
        <is>
          <t>3461e793-c350-4474-8700-e2b34acb841d</t>
        </is>
      </c>
      <c r="W400"/>
      <c r="X400"/>
      <c r="Y400" t="inlineStr">
        <is>
          <t>42e37c5a-30e7-4891-970f-16f2d1ea942c</t>
        </is>
      </c>
      <c r="Z400" t="inlineStr">
        <is>
          <t>0.0.5</t>
        </is>
      </c>
      <c r="AA400" t="inlineStr">
        <is>
          <t>UIUX</t>
        </is>
      </c>
      <c r="AB400" t="inlineStr">
        <is>
          <t>已拆分</t>
        </is>
      </c>
      <c r="AC400"/>
      <c r="AD400" t="inlineStr">
        <is>
          <t>🎨艺术</t>
        </is>
      </c>
      <c r="AE400"/>
    </row>
    <row r="401" ht="25.5" customHeight="1">
      <c r="A401" s="3" t="str">
        <f>=HYPERLINK("https://applink.feishu.cn/client/todo/detail?guid=25fd384d-1784-4f88-a18d-0debe989ac18&amp;suite_entity_num=t100996", "武器商人 &lt; 🪡修改：彻底更新了战斗相关的菜单UI效果")</f>
        <v>武器商人 &lt; 🪡修改：彻底更新了战斗相关的菜单UI效果</v>
      </c>
      <c r="B401"/>
      <c r="C401"/>
      <c r="D401"/>
      <c r="E401"/>
      <c r="F401" t="inlineStr">
        <is>
          <t>郭斯已</t>
        </is>
      </c>
      <c r="G401" t="inlineStr">
        <is>
          <t>龚政涛</t>
        </is>
      </c>
      <c r="H401" s="4">
        <v>45866.69920138889</v>
      </c>
      <c r="I401" s="4"/>
      <c r="J401" s="4">
        <v>45924.333333333336</v>
      </c>
      <c r="K401" s="4">
        <v>45890.49533564815</v>
      </c>
      <c r="L401">
        <v>0</v>
      </c>
      <c r="M401">
        <v>0</v>
      </c>
      <c r="N401" t="inlineStr">
        <is>
          <t>NzQxMzM4ODg5NzkxNDY2NzAwOToyNWZkMzg0ZC0xNzg0LTRmODgtYTE4ZC0wZGViZTk4OWFjMTg6NDBkNjVlY2Y5NWQ2ZWU5NTU5MGI1MzAzM2MzMzYyZmI6MQ==</t>
        </is>
      </c>
      <c r="O401" t="inlineStr">
        <is>
          <t>0</t>
        </is>
      </c>
      <c r="P401" t="inlineStr">
        <is>
          <t>或签任务</t>
        </is>
      </c>
      <c r="Q401" t="inlineStr">
        <is>
          <t>0</t>
        </is>
      </c>
      <c r="R401" t="inlineStr">
        <is>
          <t>龚政涛,郭斯已</t>
        </is>
      </c>
      <c r="S401" s="4">
        <v>45924.333333333336</v>
      </c>
      <c r="T401" s="3" t="str">
        <f>=HYPERLINK("https://applink.feishu.cn/client/todo/task_list?guid=4d92b9af-66d1-4cd7-95d1-4b753a64ca6b", "跃入迷城")</f>
        <v>跃入迷城</v>
      </c>
      <c r="U401" t="inlineStr">
        <is>
          <t>4d92b9af-66d1-4cd7-95d1-4b753a64ca6b</t>
        </is>
      </c>
      <c r="V401" t="inlineStr">
        <is>
          <t>25fd384d-1784-4f88-a18d-0debe989ac18</t>
        </is>
      </c>
      <c r="W401" t="inlineStr">
        <is>
          <t>a05eb32e-9d1e-43b8-b15f-f22f00e964dd</t>
        </is>
      </c>
      <c r="X401" t="inlineStr">
        <is>
          <t>b5e40db9-ec83-4c8d-8fe3-c9a8eb266f72</t>
        </is>
      </c>
      <c r="Y401" t="inlineStr">
        <is>
          <t>42e37c5a-30e7-4891-970f-16f2d1ea942c</t>
        </is>
      </c>
      <c r="Z401" t="inlineStr">
        <is>
          <t>0.0.5</t>
        </is>
      </c>
      <c r="AA401" t="inlineStr">
        <is>
          <t>UIUX</t>
        </is>
      </c>
      <c r="AB401"/>
      <c r="AC401"/>
      <c r="AD401" t="inlineStr">
        <is>
          <t>🎨艺术</t>
        </is>
      </c>
      <c r="AE401">
        <v>1</v>
      </c>
    </row>
    <row r="402" ht="25.5" customHeight="1">
      <c r="A402" s="3" t="str">
        <f>=HYPERLINK("https://applink.feishu.cn/client/todo/detail?guid=b5e40db9-ec83-4c8d-8fe3-c9a8eb266f72&amp;suite_entity_num=t100997", "义体商人 &lt; 🪡修改：彻底更新了战斗相关的菜单UI效果")</f>
        <v>义体商人 &lt; 🪡修改：彻底更新了战斗相关的菜单UI效果</v>
      </c>
      <c r="B402"/>
      <c r="C402"/>
      <c r="D402"/>
      <c r="E402"/>
      <c r="F402" t="inlineStr">
        <is>
          <t>郭斯已</t>
        </is>
      </c>
      <c r="G402" t="inlineStr">
        <is>
          <t>龚政涛</t>
        </is>
      </c>
      <c r="H402" s="4">
        <v>45866.699282407404</v>
      </c>
      <c r="I402" s="4"/>
      <c r="J402" s="4">
        <v>45925.333333333336</v>
      </c>
      <c r="K402" s="4">
        <v>45890.49534722222</v>
      </c>
      <c r="L402">
        <v>0</v>
      </c>
      <c r="M402">
        <v>0</v>
      </c>
      <c r="N402" t="inlineStr">
        <is>
          <t>NzQxMzM4ODg5NzkxNDY2NzAwOTpiNWU0MGRiOS1lYzgzLTRjOGQtOGZlMy1jOWE4ZWIyNjZmNzI6OWQ1M2JkMDI3M2ZjNTI0MWQyYWE1YTA2YTQ4NTVhYzM6MQ==</t>
        </is>
      </c>
      <c r="O402" t="inlineStr">
        <is>
          <t>0</t>
        </is>
      </c>
      <c r="P402" t="inlineStr">
        <is>
          <t>或签任务</t>
        </is>
      </c>
      <c r="Q402" t="inlineStr">
        <is>
          <t>0</t>
        </is>
      </c>
      <c r="R402" t="inlineStr">
        <is>
          <t>龚政涛,郭斯已</t>
        </is>
      </c>
      <c r="S402" s="4">
        <v>45925.333333333336</v>
      </c>
      <c r="T402" s="3" t="str">
        <f>=HYPERLINK("https://applink.feishu.cn/client/todo/task_list?guid=4d92b9af-66d1-4cd7-95d1-4b753a64ca6b", "跃入迷城")</f>
        <v>跃入迷城</v>
      </c>
      <c r="U402" t="inlineStr">
        <is>
          <t>4d92b9af-66d1-4cd7-95d1-4b753a64ca6b</t>
        </is>
      </c>
      <c r="V402" t="inlineStr">
        <is>
          <t>b5e40db9-ec83-4c8d-8fe3-c9a8eb266f72</t>
        </is>
      </c>
      <c r="W402" t="inlineStr">
        <is>
          <t>25fd384d-1784-4f88-a18d-0debe989ac18</t>
        </is>
      </c>
      <c r="X402" t="inlineStr">
        <is>
          <t>186feab8-9fcc-4c80-8fd0-36cba01a25da</t>
        </is>
      </c>
      <c r="Y402" t="inlineStr">
        <is>
          <t>42e37c5a-30e7-4891-970f-16f2d1ea942c</t>
        </is>
      </c>
      <c r="Z402" t="inlineStr">
        <is>
          <t>0.0.5</t>
        </is>
      </c>
      <c r="AA402" t="inlineStr">
        <is>
          <t>UIUX</t>
        </is>
      </c>
      <c r="AB402"/>
      <c r="AC402"/>
      <c r="AD402" t="inlineStr">
        <is>
          <t>🎨艺术</t>
        </is>
      </c>
      <c r="AE402">
        <v>1</v>
      </c>
    </row>
    <row r="403" ht="25.5" customHeight="1">
      <c r="A403" s="3" t="str">
        <f>=HYPERLINK("https://applink.feishu.cn/client/todo/detail?guid=186feab8-9fcc-4c80-8fd0-36cba01a25da&amp;suite_entity_num=t100998", "回收商人 &lt; 🪡修改：彻底更新了战斗相关的菜单UI效果")</f>
        <v>回收商人 &lt; 🪡修改：彻底更新了战斗相关的菜单UI效果</v>
      </c>
      <c r="B403"/>
      <c r="C403"/>
      <c r="D403"/>
      <c r="E403"/>
      <c r="F403" t="inlineStr">
        <is>
          <t>郭斯已</t>
        </is>
      </c>
      <c r="G403" t="inlineStr">
        <is>
          <t>龚政涛</t>
        </is>
      </c>
      <c r="H403" s="4">
        <v>45866.69938657407</v>
      </c>
      <c r="I403" s="4"/>
      <c r="J403" s="4">
        <v>45926.333333333336</v>
      </c>
      <c r="K403" s="4">
        <v>45890.495358796295</v>
      </c>
      <c r="L403">
        <v>0</v>
      </c>
      <c r="M403">
        <v>0</v>
      </c>
      <c r="N403" t="inlineStr">
        <is>
          <t>NzQxMzM4ODg5NzkxNDY2NzAwOToxODZmZWFiOC05ZmNjLTRjODAtOGZkMC0zNmNiYTAxYTI1ZGE6NjhjYjU0NmY2NTBjNGU5YzhjNjFmYTBmYTQ2OGQzZWU6MQ==</t>
        </is>
      </c>
      <c r="O403" t="inlineStr">
        <is>
          <t>0</t>
        </is>
      </c>
      <c r="P403" t="inlineStr">
        <is>
          <t>或签任务</t>
        </is>
      </c>
      <c r="Q403" t="inlineStr">
        <is>
          <t>0</t>
        </is>
      </c>
      <c r="R403" t="inlineStr">
        <is>
          <t>龚政涛,郭斯已</t>
        </is>
      </c>
      <c r="S403" s="4">
        <v>45926.333333333336</v>
      </c>
      <c r="T403" s="3" t="str">
        <f>=HYPERLINK("https://applink.feishu.cn/client/todo/task_list?guid=4d92b9af-66d1-4cd7-95d1-4b753a64ca6b", "跃入迷城")</f>
        <v>跃入迷城</v>
      </c>
      <c r="U403" t="inlineStr">
        <is>
          <t>4d92b9af-66d1-4cd7-95d1-4b753a64ca6b</t>
        </is>
      </c>
      <c r="V403" t="inlineStr">
        <is>
          <t>186feab8-9fcc-4c80-8fd0-36cba01a25da</t>
        </is>
      </c>
      <c r="W403" t="inlineStr">
        <is>
          <t>b5e40db9-ec83-4c8d-8fe3-c9a8eb266f72</t>
        </is>
      </c>
      <c r="X403"/>
      <c r="Y403" t="inlineStr">
        <is>
          <t>42e37c5a-30e7-4891-970f-16f2d1ea942c</t>
        </is>
      </c>
      <c r="Z403" t="inlineStr">
        <is>
          <t>0.0.5</t>
        </is>
      </c>
      <c r="AA403" t="inlineStr">
        <is>
          <t>UIUX</t>
        </is>
      </c>
      <c r="AB403"/>
      <c r="AC403"/>
      <c r="AD403" t="inlineStr">
        <is>
          <t>🎨艺术</t>
        </is>
      </c>
      <c r="AE403">
        <v>1</v>
      </c>
    </row>
    <row r="404" ht="25.5" customHeight="1">
      <c r="A404" s="3" t="str">
        <f>=HYPERLINK("https://applink.feishu.cn/client/todo/detail?guid=f8d9a924-9c8f-4be8-a268-e525371a6dbc&amp;suite_entity_num=t101000", "🪡修改：彻底更新了对话相关的菜单UI效果")</f>
        <v>🪡修改：彻底更新了对话相关的菜单UI效果</v>
      </c>
      <c r="B404"/>
      <c r="C404" t="inlineStr">
        <is>
          <t>默认分组</t>
        </is>
      </c>
      <c r="D404"/>
      <c r="E404">
        <v>1</v>
      </c>
      <c r="F404" t="inlineStr">
        <is>
          <t>郭斯已</t>
        </is>
      </c>
      <c r="G404" t="inlineStr">
        <is>
          <t>龚政涛</t>
        </is>
      </c>
      <c r="H404" s="4">
        <v>45867.503275462965</v>
      </c>
      <c r="I404" s="4"/>
      <c r="J404" s="4"/>
      <c r="K404" s="4">
        <v>45895.50146990741</v>
      </c>
      <c r="L404">
        <v>3</v>
      </c>
      <c r="M404">
        <v>0</v>
      </c>
      <c r="N404" t="inlineStr">
        <is>
          <t>NzQxMzM4ODg5NzkxNDY2NzAwOTpmOGQ5YTkyNC05YzhmLTRiZTgtYTI2OC1lNTI1MzcxYTZkYmM6YmNiZTEyMzIzMTJmMjkyZGU4MDVlZDY0YTk1MWY4ZTE6MQ==</t>
        </is>
      </c>
      <c r="O404" t="inlineStr">
        <is>
          <t>0</t>
        </is>
      </c>
      <c r="P404" t="inlineStr">
        <is>
          <t>或签任务</t>
        </is>
      </c>
      <c r="Q404" t="inlineStr">
        <is>
          <t>0</t>
        </is>
      </c>
      <c r="R404" t="inlineStr">
        <is>
          <t>龚政涛,郭斯已</t>
        </is>
      </c>
      <c r="S404" s="4"/>
      <c r="T404" s="3" t="str">
        <f>=HYPERLINK("https://applink.feishu.cn/client/todo/task_list?guid=4d92b9af-66d1-4cd7-95d1-4b753a64ca6b", "跃入迷城")</f>
        <v>跃入迷城</v>
      </c>
      <c r="U404" t="inlineStr">
        <is>
          <t>4d92b9af-66d1-4cd7-95d1-4b753a64ca6b</t>
        </is>
      </c>
      <c r="V404" t="inlineStr">
        <is>
          <t>f8d9a924-9c8f-4be8-a268-e525371a6dbc</t>
        </is>
      </c>
      <c r="W404"/>
      <c r="X404"/>
      <c r="Y404"/>
      <c r="Z404" t="inlineStr">
        <is>
          <t>0.0.5</t>
        </is>
      </c>
      <c r="AA404" t="inlineStr">
        <is>
          <t>UIUX</t>
        </is>
      </c>
      <c r="AB404" t="inlineStr">
        <is>
          <t>已拆分</t>
        </is>
      </c>
      <c r="AC404"/>
      <c r="AD404" t="inlineStr">
        <is>
          <t>🎨艺术</t>
        </is>
      </c>
      <c r="AE404"/>
    </row>
    <row r="405" ht="25.5" customHeight="1">
      <c r="A405" s="3" t="str">
        <f>=HYPERLINK("https://applink.feishu.cn/client/todo/detail?guid=328e0b40-9b81-4963-a862-591f08ec2e12&amp;suite_entity_num=t101001", "弹窗对话 &lt; 🪡修改：彻底更新了对话相关的菜单UI效果")</f>
        <v>弹窗对话 &lt; 🪡修改：彻底更新了对话相关的菜单UI效果</v>
      </c>
      <c r="B405"/>
      <c r="C405" t="inlineStr">
        <is>
          <t>默认分组</t>
        </is>
      </c>
      <c r="D405"/>
      <c r="E405"/>
      <c r="F405" t="inlineStr">
        <is>
          <t>郭斯已</t>
        </is>
      </c>
      <c r="G405" t="inlineStr">
        <is>
          <t>龚政涛</t>
        </is>
      </c>
      <c r="H405" s="4">
        <v>45867.50341435185</v>
      </c>
      <c r="I405" s="4">
        <v>45911.41185185185</v>
      </c>
      <c r="J405" s="4">
        <v>45905.333333333336</v>
      </c>
      <c r="K405" s="4">
        <v>45911.411875</v>
      </c>
      <c r="L405">
        <v>0</v>
      </c>
      <c r="M405">
        <v>0</v>
      </c>
      <c r="N405" t="inlineStr">
        <is>
          <t>NzQxMzM4ODg5NzkxNDY2NzAwOTozMjhlMGI0MC05YjgxLTQ5NjMtYTg2Mi01OTFmMDhlYzJlMTI6ZWQwNmQxNjE4YjhmNjg5YWZlNDI0NTFkZWQ1YzcwNzQ6MQ==</t>
        </is>
      </c>
      <c r="O405" t="inlineStr">
        <is>
          <t>1</t>
        </is>
      </c>
      <c r="P405" t="inlineStr">
        <is>
          <t>或签任务</t>
        </is>
      </c>
      <c r="Q405" t="inlineStr">
        <is>
          <t>0</t>
        </is>
      </c>
      <c r="R405" t="inlineStr">
        <is>
          <t>龚政涛,郭斯已</t>
        </is>
      </c>
      <c r="S405" s="4">
        <v>45898.333333333336</v>
      </c>
      <c r="T405" s="3" t="str">
        <f>=HYPERLINK("https://applink.feishu.cn/client/todo/task_list?guid=4d92b9af-66d1-4cd7-95d1-4b753a64ca6b", "跃入迷城")</f>
        <v>跃入迷城</v>
      </c>
      <c r="U405" t="inlineStr">
        <is>
          <t>4d92b9af-66d1-4cd7-95d1-4b753a64ca6b</t>
        </is>
      </c>
      <c r="V405" t="inlineStr">
        <is>
          <t>328e0b40-9b81-4963-a862-591f08ec2e12</t>
        </is>
      </c>
      <c r="W405"/>
      <c r="X405" t="inlineStr">
        <is>
          <t>44200edd-c4e4-4dcf-b446-31189a8210b0, 83b38433-47d2-47fd-bac3-08661d70905d</t>
        </is>
      </c>
      <c r="Y405" t="inlineStr">
        <is>
          <t>f8d9a924-9c8f-4be8-a268-e525371a6dbc</t>
        </is>
      </c>
      <c r="Z405" t="inlineStr">
        <is>
          <t>0.0.5</t>
        </is>
      </c>
      <c r="AA405" t="inlineStr">
        <is>
          <t>UIUX</t>
        </is>
      </c>
      <c r="AB405" t="inlineStr">
        <is>
          <t>已完成</t>
        </is>
      </c>
      <c r="AC405" t="inlineStr">
        <is>
          <t>P0 - Must (not) Have</t>
        </is>
      </c>
      <c r="AD405" t="inlineStr">
        <is>
          <t>🎨艺术</t>
        </is>
      </c>
      <c r="AE405">
        <v>4</v>
      </c>
    </row>
    <row r="406" ht="25.5" customHeight="1">
      <c r="A406" s="3" t="str">
        <f>=HYPERLINK("https://applink.feishu.cn/client/todo/detail?guid=44200edd-c4e4-4dcf-b446-31189a8210b0&amp;suite_entity_num=t101002", "字幕对话 &lt; 🪡修改：彻底更新了对话相关的菜单UI效果")</f>
        <v>字幕对话 &lt; 🪡修改：彻底更新了对话相关的菜单UI效果</v>
      </c>
      <c r="B406"/>
      <c r="C406" t="inlineStr">
        <is>
          <t>默认分组</t>
        </is>
      </c>
      <c r="D406"/>
      <c r="E406"/>
      <c r="F406" t="inlineStr">
        <is>
          <t>郭斯已</t>
        </is>
      </c>
      <c r="G406" t="inlineStr">
        <is>
          <t>龚政涛</t>
        </is>
      </c>
      <c r="H406" s="4">
        <v>45867.50342592593</v>
      </c>
      <c r="I406" s="4">
        <v>45911.411944444444</v>
      </c>
      <c r="J406" s="4">
        <v>45905.333333333336</v>
      </c>
      <c r="K406" s="4">
        <v>45911.41196759259</v>
      </c>
      <c r="L406">
        <v>0</v>
      </c>
      <c r="M406">
        <v>0</v>
      </c>
      <c r="N406" t="inlineStr">
        <is>
          <t>NzQxMzM4ODg5NzkxNDY2NzAwOTo0NDIwMGVkZC1jNGU0LTRkY2YtYjQ0Ni0zMTE4OWE4MjEwYjA6ZjI5ZjM3N2FjYjNhNDRlNDMxZjQzMjA0Y2JmMmE1YzA6MQ==</t>
        </is>
      </c>
      <c r="O406" t="inlineStr">
        <is>
          <t>1</t>
        </is>
      </c>
      <c r="P406" t="inlineStr">
        <is>
          <t>或签任务</t>
        </is>
      </c>
      <c r="Q406" t="inlineStr">
        <is>
          <t>0</t>
        </is>
      </c>
      <c r="R406" t="inlineStr">
        <is>
          <t>郭斯已,龚政涛</t>
        </is>
      </c>
      <c r="S406" s="4">
        <v>45899.333333333336</v>
      </c>
      <c r="T406" s="3" t="str">
        <f>=HYPERLINK("https://applink.feishu.cn/client/todo/task_list?guid=4d92b9af-66d1-4cd7-95d1-4b753a64ca6b", "跃入迷城")</f>
        <v>跃入迷城</v>
      </c>
      <c r="U406" t="inlineStr">
        <is>
          <t>4d92b9af-66d1-4cd7-95d1-4b753a64ca6b</t>
        </is>
      </c>
      <c r="V406" t="inlineStr">
        <is>
          <t>44200edd-c4e4-4dcf-b446-31189a8210b0</t>
        </is>
      </c>
      <c r="W406" t="inlineStr">
        <is>
          <t>328e0b40-9b81-4963-a862-591f08ec2e12</t>
        </is>
      </c>
      <c r="X406"/>
      <c r="Y406" t="inlineStr">
        <is>
          <t>f8d9a924-9c8f-4be8-a268-e525371a6dbc</t>
        </is>
      </c>
      <c r="Z406" t="inlineStr">
        <is>
          <t>0.0.5</t>
        </is>
      </c>
      <c r="AA406" t="inlineStr">
        <is>
          <t>UIUX</t>
        </is>
      </c>
      <c r="AB406" t="inlineStr">
        <is>
          <t>已完成</t>
        </is>
      </c>
      <c r="AC406" t="inlineStr">
        <is>
          <t>P0 - Must (not) Have</t>
        </is>
      </c>
      <c r="AD406" t="inlineStr">
        <is>
          <t>🎨艺术</t>
        </is>
      </c>
      <c r="AE406">
        <v>4</v>
      </c>
    </row>
    <row r="407" ht="25.5" customHeight="1">
      <c r="A407" s="3" t="str">
        <f>=HYPERLINK("https://applink.feishu.cn/client/todo/detail?guid=83b38433-47d2-47fd-bac3-08661d70905d&amp;suite_entity_num=t101003", "气泡对话 &lt; 🪡修改：彻底更新了对话相关的菜单UI效果")</f>
        <v>气泡对话 &lt; 🪡修改：彻底更新了对话相关的菜单UI效果</v>
      </c>
      <c r="B407"/>
      <c r="C407" t="inlineStr">
        <is>
          <t>默认分组</t>
        </is>
      </c>
      <c r="D407"/>
      <c r="E407"/>
      <c r="F407" t="inlineStr">
        <is>
          <t>郭斯已</t>
        </is>
      </c>
      <c r="G407" t="inlineStr">
        <is>
          <t>龚政涛</t>
        </is>
      </c>
      <c r="H407" s="4">
        <v>45867.50344907407</v>
      </c>
      <c r="I407" s="4">
        <v>45911.41175925926</v>
      </c>
      <c r="J407" s="4">
        <v>45905.333333333336</v>
      </c>
      <c r="K407" s="4">
        <v>45911.411770833336</v>
      </c>
      <c r="L407">
        <v>0</v>
      </c>
      <c r="M407">
        <v>0</v>
      </c>
      <c r="N407" t="inlineStr">
        <is>
          <t>NzQxMzM4ODg5NzkxNDY2NzAwOTo4M2IzODQzMy00N2QyLTQ3ZmQtYmFjMy0wODY2MWQ3MDkwNWQ6MTQ5OTg1NWNiZDRiZmY3MjhlYmVhZGYyYWM4NjRmNjQ6MQ==</t>
        </is>
      </c>
      <c r="O407" t="inlineStr">
        <is>
          <t>1</t>
        </is>
      </c>
      <c r="P407" t="inlineStr">
        <is>
          <t>或签任务</t>
        </is>
      </c>
      <c r="Q407" t="inlineStr">
        <is>
          <t>0</t>
        </is>
      </c>
      <c r="R407" t="inlineStr">
        <is>
          <t>龚政涛,郭斯已</t>
        </is>
      </c>
      <c r="S407" s="4">
        <v>45899.333333333336</v>
      </c>
      <c r="T407" s="3" t="str">
        <f>=HYPERLINK("https://applink.feishu.cn/client/todo/task_list?guid=4d92b9af-66d1-4cd7-95d1-4b753a64ca6b", "跃入迷城")</f>
        <v>跃入迷城</v>
      </c>
      <c r="U407" t="inlineStr">
        <is>
          <t>4d92b9af-66d1-4cd7-95d1-4b753a64ca6b</t>
        </is>
      </c>
      <c r="V407" t="inlineStr">
        <is>
          <t>83b38433-47d2-47fd-bac3-08661d70905d</t>
        </is>
      </c>
      <c r="W407" t="inlineStr">
        <is>
          <t>328e0b40-9b81-4963-a862-591f08ec2e12</t>
        </is>
      </c>
      <c r="X407"/>
      <c r="Y407" t="inlineStr">
        <is>
          <t>f8d9a924-9c8f-4be8-a268-e525371a6dbc</t>
        </is>
      </c>
      <c r="Z407" t="inlineStr">
        <is>
          <t>0.0.5</t>
        </is>
      </c>
      <c r="AA407" t="inlineStr">
        <is>
          <t>UIUX</t>
        </is>
      </c>
      <c r="AB407" t="inlineStr">
        <is>
          <t>已完成</t>
        </is>
      </c>
      <c r="AC407"/>
      <c r="AD407" t="inlineStr">
        <is>
          <t>🎨艺术</t>
        </is>
      </c>
      <c r="AE407">
        <v>4</v>
      </c>
    </row>
    <row r="408" ht="25.5" customHeight="1">
      <c r="A408" s="3" t="str">
        <f>=HYPERLINK("https://applink.feishu.cn/client/todo/detail?guid=b4317bda-2949-4286-8b80-8dc3bbe14d53&amp;suite_entity_num=t101006", "https://dikpa4hrtn9.feishu.cn/wiki/Id3AwEQVbioihIkzs2Ncb3bpnLc插图 &lt; 角色插图制作")</f>
        <v>https://dikpa4hrtn9.feishu.cn/wiki/Id3AwEQVbioihIkzs2Ncb3bpnLc插图 &lt; 角色插图制作</v>
      </c>
      <c r="B408"/>
      <c r="C408"/>
      <c r="D408"/>
      <c r="E408"/>
      <c r="F408"/>
      <c r="G408" t="inlineStr">
        <is>
          <t>龚政涛</t>
        </is>
      </c>
      <c r="H408" s="4">
        <v>45873.405694444446</v>
      </c>
      <c r="I408" s="4"/>
      <c r="J408" s="4">
        <v>45906.333333333336</v>
      </c>
      <c r="K408" s="4">
        <v>45882.490902777776</v>
      </c>
      <c r="L408">
        <v>0</v>
      </c>
      <c r="M408">
        <v>0</v>
      </c>
      <c r="N408" t="inlineStr">
        <is>
          <t>NzQxMzM4ODg5NzkxNDY2NzAwOTpiNDMxN2JkYS0yOTQ5LTQyODYtOGI4MC04ZGMzYmJlMTRkNTM6NjM4MDFkYjZjOTEzNTc1NGFiYjM3YzQ0ZDUxODhjNDU6MQ==</t>
        </is>
      </c>
      <c r="O408" t="inlineStr">
        <is>
          <t>0</t>
        </is>
      </c>
      <c r="P408" t="inlineStr">
        <is>
          <t>或签任务</t>
        </is>
      </c>
      <c r="Q408" t="inlineStr">
        <is>
          <t>0</t>
        </is>
      </c>
      <c r="R408" t="inlineStr">
        <is>
          <t>龚政涛</t>
        </is>
      </c>
      <c r="S408" s="4">
        <v>45902.333333333336</v>
      </c>
      <c r="T408" s="3" t="str">
        <f>=HYPERLINK("https://applink.feishu.cn/client/todo/task_list?guid=4d92b9af-66d1-4cd7-95d1-4b753a64ca6b", "跃入迷城")</f>
        <v>跃入迷城</v>
      </c>
      <c r="U408" t="inlineStr">
        <is>
          <t>4d92b9af-66d1-4cd7-95d1-4b753a64ca6b</t>
        </is>
      </c>
      <c r="V408" t="inlineStr">
        <is>
          <t>b4317bda-2949-4286-8b80-8dc3bbe14d53</t>
        </is>
      </c>
      <c r="W408"/>
      <c r="X408"/>
      <c r="Y408" t="inlineStr">
        <is>
          <t>cffa4f2c-fb50-49e2-aad9-4a85adbe2690</t>
        </is>
      </c>
      <c r="Z408"/>
      <c r="AA408" t="inlineStr">
        <is>
          <t>平面美术</t>
        </is>
      </c>
      <c r="AB408"/>
      <c r="AC408"/>
      <c r="AD408" t="inlineStr">
        <is>
          <t>🎨艺术</t>
        </is>
      </c>
      <c r="AE408"/>
    </row>
    <row r="409" ht="25.5" customHeight="1">
      <c r="A409" s="3" t="str">
        <f>=HYPERLINK("https://applink.feishu.cn/client/todo/detail?guid=5af848c9-b213-4ee5-82f9-a6641bf88397&amp;suite_entity_num=t101007", "奶妈插图 &lt; 角色插图制作")</f>
        <v>奶妈插图 &lt; 角色插图制作</v>
      </c>
      <c r="B409"/>
      <c r="C409"/>
      <c r="D409"/>
      <c r="E409"/>
      <c r="F409"/>
      <c r="G409" t="inlineStr">
        <is>
          <t>龚政涛</t>
        </is>
      </c>
      <c r="H409" s="4">
        <v>45873.40721064815</v>
      </c>
      <c r="I409" s="4"/>
      <c r="J409" s="4">
        <v>45910.333333333336</v>
      </c>
      <c r="K409" s="4">
        <v>45882.4909375</v>
      </c>
      <c r="L409">
        <v>0</v>
      </c>
      <c r="M409">
        <v>0</v>
      </c>
      <c r="N409" t="inlineStr">
        <is>
          <t>NzQxMzM4ODg5NzkxNDY2NzAwOTo1YWY4NDhjOS1iMjEzLTRlZTUtODJmOS1hNjY0MWJmODgzOTc6YTZmYmZhMGM0NzI2NWI1M2YzY2FjNDg1YTRmYjFkOTU6MQ==</t>
        </is>
      </c>
      <c r="O409" t="inlineStr">
        <is>
          <t>0</t>
        </is>
      </c>
      <c r="P409" t="inlineStr">
        <is>
          <t>或签任务</t>
        </is>
      </c>
      <c r="Q409" t="inlineStr">
        <is>
          <t>0</t>
        </is>
      </c>
      <c r="R409" t="inlineStr">
        <is>
          <t>龚政涛</t>
        </is>
      </c>
      <c r="S409" s="4">
        <v>45906.333333333336</v>
      </c>
      <c r="T409" s="3" t="str">
        <f>=HYPERLINK("https://applink.feishu.cn/client/todo/task_list?guid=4d92b9af-66d1-4cd7-95d1-4b753a64ca6b", "跃入迷城")</f>
        <v>跃入迷城</v>
      </c>
      <c r="U409" t="inlineStr">
        <is>
          <t>4d92b9af-66d1-4cd7-95d1-4b753a64ca6b</t>
        </is>
      </c>
      <c r="V409" t="inlineStr">
        <is>
          <t>5af848c9-b213-4ee5-82f9-a6641bf88397</t>
        </is>
      </c>
      <c r="W409"/>
      <c r="X409"/>
      <c r="Y409" t="inlineStr">
        <is>
          <t>cffa4f2c-fb50-49e2-aad9-4a85adbe2690</t>
        </is>
      </c>
      <c r="Z409"/>
      <c r="AA409" t="inlineStr">
        <is>
          <t>平面美术</t>
        </is>
      </c>
      <c r="AB409"/>
      <c r="AC409"/>
      <c r="AD409" t="inlineStr">
        <is>
          <t>🎨艺术</t>
        </is>
      </c>
      <c r="AE409"/>
    </row>
    <row r="410" ht="25.5" customHeight="1">
      <c r="A410" s="3" t="str">
        <f>=HYPERLINK("https://applink.feishu.cn/client/todo/detail?guid=1309de2e-de79-4a68-b93c-d2aff6e3b643&amp;suite_entity_num=t101008", "支柱插图 &lt; 角色插图制作")</f>
        <v>支柱插图 &lt; 角色插图制作</v>
      </c>
      <c r="B410"/>
      <c r="C410"/>
      <c r="D410"/>
      <c r="E410"/>
      <c r="F410"/>
      <c r="G410" t="inlineStr">
        <is>
          <t>龚政涛</t>
        </is>
      </c>
      <c r="H410" s="4">
        <v>45873.40840277778</v>
      </c>
      <c r="I410" s="4"/>
      <c r="J410" s="4">
        <v>45918.333333333336</v>
      </c>
      <c r="K410" s="4">
        <v>45882.490694444445</v>
      </c>
      <c r="L410">
        <v>0</v>
      </c>
      <c r="M410">
        <v>0</v>
      </c>
      <c r="N410" t="inlineStr">
        <is>
          <t>NzQxMzM4ODg5NzkxNDY2NzAwOToxMzA5ZGUyZS1kZTc5LTRhNjgtYjkzYy1kMmFmZjZlM2I2NDM6NmQzMmUxZjIxNjA4ODUxYTVkOTM2NDNmNmZjZjk2MDM6MQ==</t>
        </is>
      </c>
      <c r="O410" t="inlineStr">
        <is>
          <t>0</t>
        </is>
      </c>
      <c r="P410" t="inlineStr">
        <is>
          <t>或签任务</t>
        </is>
      </c>
      <c r="Q410" t="inlineStr">
        <is>
          <t>0</t>
        </is>
      </c>
      <c r="R410" t="inlineStr">
        <is>
          <t>龚政涛</t>
        </is>
      </c>
      <c r="S410" s="4">
        <v>45912.333333333336</v>
      </c>
      <c r="T410" s="3" t="str">
        <f>=HYPERLINK("https://applink.feishu.cn/client/todo/task_list?guid=4d92b9af-66d1-4cd7-95d1-4b753a64ca6b", "跃入迷城")</f>
        <v>跃入迷城</v>
      </c>
      <c r="U410" t="inlineStr">
        <is>
          <t>4d92b9af-66d1-4cd7-95d1-4b753a64ca6b</t>
        </is>
      </c>
      <c r="V410" t="inlineStr">
        <is>
          <t>1309de2e-de79-4a68-b93c-d2aff6e3b643</t>
        </is>
      </c>
      <c r="W410"/>
      <c r="X410"/>
      <c r="Y410" t="inlineStr">
        <is>
          <t>cffa4f2c-fb50-49e2-aad9-4a85adbe2690</t>
        </is>
      </c>
      <c r="Z410"/>
      <c r="AA410" t="inlineStr">
        <is>
          <t>平面美术</t>
        </is>
      </c>
      <c r="AB410"/>
      <c r="AC410"/>
      <c r="AD410" t="inlineStr">
        <is>
          <t>🎨艺术</t>
        </is>
      </c>
      <c r="AE410"/>
    </row>
    <row r="411" ht="25.5" customHeight="1">
      <c r="A411" s="3" t="str">
        <f>=HYPERLINK("https://applink.feishu.cn/client/todo/detail?guid=7e1ea3f2-ba5e-4173-aa9d-ea0d224c645a&amp;suite_entity_num=t101009", "总裁插图 &lt; 角色插图制作")</f>
        <v>总裁插图 &lt; 角色插图制作</v>
      </c>
      <c r="B411"/>
      <c r="C411"/>
      <c r="D411"/>
      <c r="E411"/>
      <c r="F411"/>
      <c r="G411" t="inlineStr">
        <is>
          <t>龚政涛</t>
        </is>
      </c>
      <c r="H411" s="4">
        <v>45873.40851851852</v>
      </c>
      <c r="I411" s="4"/>
      <c r="J411" s="4">
        <v>45925.333333333336</v>
      </c>
      <c r="K411" s="4">
        <v>45882.49065972222</v>
      </c>
      <c r="L411">
        <v>0</v>
      </c>
      <c r="M411">
        <v>0</v>
      </c>
      <c r="N411" t="inlineStr">
        <is>
          <t>NzQxMzM4ODg5NzkxNDY2NzAwOTo3ZTFlYTNmMi1iYTVlLTQxNzMtYWE5ZC1lYTBkMjI0YzY0NWE6NTFjZmFlODU5OGQwYjYxNjhmYjU2NzgwZjA1MTg4ZmY6MQ==</t>
        </is>
      </c>
      <c r="O411" t="inlineStr">
        <is>
          <t>0</t>
        </is>
      </c>
      <c r="P411" t="inlineStr">
        <is>
          <t>或签任务</t>
        </is>
      </c>
      <c r="Q411" t="inlineStr">
        <is>
          <t>0</t>
        </is>
      </c>
      <c r="R411" t="inlineStr">
        <is>
          <t>龚政涛</t>
        </is>
      </c>
      <c r="S411" s="4">
        <v>45919.333333333336</v>
      </c>
      <c r="T411" s="3" t="str">
        <f>=HYPERLINK("https://applink.feishu.cn/client/todo/task_list?guid=4d92b9af-66d1-4cd7-95d1-4b753a64ca6b", "跃入迷城")</f>
        <v>跃入迷城</v>
      </c>
      <c r="U411" t="inlineStr">
        <is>
          <t>4d92b9af-66d1-4cd7-95d1-4b753a64ca6b</t>
        </is>
      </c>
      <c r="V411" t="inlineStr">
        <is>
          <t>7e1ea3f2-ba5e-4173-aa9d-ea0d224c645a</t>
        </is>
      </c>
      <c r="W411"/>
      <c r="X411"/>
      <c r="Y411" t="inlineStr">
        <is>
          <t>cffa4f2c-fb50-49e2-aad9-4a85adbe2690</t>
        </is>
      </c>
      <c r="Z411"/>
      <c r="AA411" t="inlineStr">
        <is>
          <t>平面美术</t>
        </is>
      </c>
      <c r="AB411"/>
      <c r="AC411"/>
      <c r="AD411" t="inlineStr">
        <is>
          <t>🎨艺术</t>
        </is>
      </c>
      <c r="AE411"/>
    </row>
    <row r="412" ht="25.5" customHeight="1">
      <c r="A412" s="3" t="str">
        <f>=HYPERLINK("https://applink.feishu.cn/client/todo/detail?guid=3bb54d7d-5e8e-4a43-b86a-bf9c8d11185b&amp;suite_entity_num=t101010", "TWIN插图 &lt; 角色插图制作")</f>
        <v>TWIN插图 &lt; 角色插图制作</v>
      </c>
      <c r="B412"/>
      <c r="C412"/>
      <c r="D412"/>
      <c r="E412"/>
      <c r="F412"/>
      <c r="G412" t="inlineStr">
        <is>
          <t>龚政涛</t>
        </is>
      </c>
      <c r="H412" s="4">
        <v>45873.40859953704</v>
      </c>
      <c r="I412" s="4"/>
      <c r="J412" s="4">
        <v>45929.333333333336</v>
      </c>
      <c r="K412" s="4">
        <v>45882.4906712963</v>
      </c>
      <c r="L412">
        <v>0</v>
      </c>
      <c r="M412">
        <v>0</v>
      </c>
      <c r="N412" t="inlineStr">
        <is>
          <t>NzQxMzM4ODg5NzkxNDY2NzAwOTozYmI1NGQ3ZC01ZThlLTRhNDMtYjg2YS1iZjljOGQxMTE4NWI6ZTE2NmFmNzA0ODE1MWZhZjdhMDQwZGM4ODFjMzg5NTY6MQ==</t>
        </is>
      </c>
      <c r="O412" t="inlineStr">
        <is>
          <t>0</t>
        </is>
      </c>
      <c r="P412" t="inlineStr">
        <is>
          <t>或签任务</t>
        </is>
      </c>
      <c r="Q412" t="inlineStr">
        <is>
          <t>0</t>
        </is>
      </c>
      <c r="R412" t="inlineStr">
        <is>
          <t>龚政涛</t>
        </is>
      </c>
      <c r="S412" s="4">
        <v>45923.333333333336</v>
      </c>
      <c r="T412" s="3" t="str">
        <f>=HYPERLINK("https://applink.feishu.cn/client/todo/task_list?guid=4d92b9af-66d1-4cd7-95d1-4b753a64ca6b", "跃入迷城")</f>
        <v>跃入迷城</v>
      </c>
      <c r="U412" t="inlineStr">
        <is>
          <t>4d92b9af-66d1-4cd7-95d1-4b753a64ca6b</t>
        </is>
      </c>
      <c r="V412" t="inlineStr">
        <is>
          <t>3bb54d7d-5e8e-4a43-b86a-bf9c8d11185b</t>
        </is>
      </c>
      <c r="W412"/>
      <c r="X412"/>
      <c r="Y412" t="inlineStr">
        <is>
          <t>cffa4f2c-fb50-49e2-aad9-4a85adbe2690</t>
        </is>
      </c>
      <c r="Z412"/>
      <c r="AA412" t="inlineStr">
        <is>
          <t>平面美术</t>
        </is>
      </c>
      <c r="AB412"/>
      <c r="AC412"/>
      <c r="AD412" t="inlineStr">
        <is>
          <t>🎨艺术</t>
        </is>
      </c>
      <c r="AE412"/>
    </row>
    <row r="413" ht="25.5" customHeight="1">
      <c r="A413" s="3" t="str">
        <f>=HYPERLINK("https://applink.feishu.cn/client/todo/detail?guid=fa0159e7-ccc8-48bb-b78a-5acdd62cf97c&amp;suite_entity_num=t101014", "子弹尾迹和烟雾VFX分开处理，参考上行战场 &lt; 🪡修改：优化了游戏中的VFX效果")</f>
        <v>子弹尾迹和烟雾VFX分开处理，参考上行战场 &lt; 🪡修改：优化了游戏中的VFX效果</v>
      </c>
      <c r="B413"/>
      <c r="C413"/>
      <c r="D413"/>
      <c r="E413"/>
      <c r="F413" t="inlineStr">
        <is>
          <t>Decay</t>
        </is>
      </c>
      <c r="G413" t="inlineStr">
        <is>
          <t>龚政涛</t>
        </is>
      </c>
      <c r="H413" s="4">
        <v>45877.62446759259</v>
      </c>
      <c r="I413" s="4"/>
      <c r="J413" s="4">
        <v>45905.333333333336</v>
      </c>
      <c r="K413" s="4">
        <v>45895.471967592595</v>
      </c>
      <c r="L413">
        <v>0</v>
      </c>
      <c r="M413">
        <v>0</v>
      </c>
      <c r="N413" t="inlineStr">
        <is>
          <t>NzQxMzM4ODg5NzkxNDY2NzAwOTpmYTAxNTllNy1jY2M4LTQ4YmItYjc4YS01YWNkZDYyY2Y5N2M6NjdjZTExMjhiMWQwNjgzNzU4ZThhNjEwYjY0ZWZmNTM6MQ==</t>
        </is>
      </c>
      <c r="O413" t="inlineStr">
        <is>
          <t>0</t>
        </is>
      </c>
      <c r="P413" t="inlineStr">
        <is>
          <t>或签任务</t>
        </is>
      </c>
      <c r="Q413" t="inlineStr">
        <is>
          <t>0</t>
        </is>
      </c>
      <c r="R413" t="inlineStr">
        <is>
          <t>龚政涛,Decay</t>
        </is>
      </c>
      <c r="S413" s="4">
        <v>45905.333333333336</v>
      </c>
      <c r="T413" s="3" t="str">
        <f>=HYPERLINK("https://applink.feishu.cn/client/todo/task_list?guid=4d92b9af-66d1-4cd7-95d1-4b753a64ca6b", "跃入迷城")</f>
        <v>跃入迷城</v>
      </c>
      <c r="U413" t="inlineStr">
        <is>
          <t>4d92b9af-66d1-4cd7-95d1-4b753a64ca6b</t>
        </is>
      </c>
      <c r="V413" t="inlineStr">
        <is>
          <t>fa0159e7-ccc8-48bb-b78a-5acdd62cf97c</t>
        </is>
      </c>
      <c r="W413" t="inlineStr">
        <is>
          <t>d701f38b-762e-4205-b484-d2328e2c5ccb</t>
        </is>
      </c>
      <c r="X413"/>
      <c r="Y413" t="inlineStr">
        <is>
          <t>7b20d840-79cc-4a3d-a52b-b61bd092fe16</t>
        </is>
      </c>
      <c r="Z413"/>
      <c r="AA413"/>
      <c r="AB413"/>
      <c r="AC413"/>
      <c r="AD413" t="inlineStr">
        <is>
          <t>🎨艺术</t>
        </is>
      </c>
      <c r="AE413"/>
    </row>
    <row r="414" ht="25.5" customHeight="1">
      <c xml:space="preserve" r="A414" s="3" t="str">
        <f>=HYPERLINK("https://applink.feishu.cn/client/todo/detail?guid=35cbb765-0c35-4652-a566-0b44e25091d6&amp;suite_entity_num=t101015", "改变关卡与关卡之间的连接 &lt; 🪡修改：关卡的布局进行了调整，现在关卡内的动线和敌人布置会变得更合理 ")</f>
        <v>改变关卡与关卡之间的连接 &lt; 🪡修改：关卡的布局进行了调整，现在关卡内的动线和敌人布置会变得更合理 </v>
      </c>
      <c r="B414"/>
      <c r="C414"/>
      <c r="D414"/>
      <c r="E414"/>
      <c r="F414"/>
      <c r="G414" t="inlineStr">
        <is>
          <t>龚政涛</t>
        </is>
      </c>
      <c r="H414" s="4">
        <v>45877.627974537034</v>
      </c>
      <c r="I414" s="4">
        <v>45877.628171296295</v>
      </c>
      <c r="J414" s="4">
        <v>45907.333333333336</v>
      </c>
      <c r="K414" s="4">
        <v>45882.65142361111</v>
      </c>
      <c r="L414">
        <v>0</v>
      </c>
      <c r="M414">
        <v>0</v>
      </c>
      <c r="N414" t="inlineStr">
        <is>
          <t>NzQxMzM4ODg5NzkxNDY2NzAwOTozNWNiYjc2NS0wYzM1LTQ2NTItYTU2Ni0wYjQ0ZTI1MDkxZDY6NzI2MDRlNjNiMzhiZTQ5ZTYwZDYzMzNiOGIwN2Q3ZWI6MQ==</t>
        </is>
      </c>
      <c r="O414" t="inlineStr">
        <is>
          <t>1</t>
        </is>
      </c>
      <c r="P414" t="inlineStr">
        <is>
          <t>或签任务</t>
        </is>
      </c>
      <c r="Q414" t="inlineStr">
        <is>
          <t>0</t>
        </is>
      </c>
      <c r="R414" t="inlineStr">
        <is>
          <t>龚政涛</t>
        </is>
      </c>
      <c r="S414" s="4">
        <v>45907.333333333336</v>
      </c>
      <c r="T414" s="3" t="str">
        <f>=HYPERLINK("https://applink.feishu.cn/client/todo/task_list?guid=4d92b9af-66d1-4cd7-95d1-4b753a64ca6b", "跃入迷城")</f>
        <v>跃入迷城</v>
      </c>
      <c r="U414" t="inlineStr">
        <is>
          <t>4d92b9af-66d1-4cd7-95d1-4b753a64ca6b</t>
        </is>
      </c>
      <c r="V414" t="inlineStr">
        <is>
          <t>35cbb765-0c35-4652-a566-0b44e25091d6</t>
        </is>
      </c>
      <c r="W414"/>
      <c r="X414" t="inlineStr">
        <is>
          <t>2b1634f1-c9d3-4dbc-9094-f0bf62eb05c0</t>
        </is>
      </c>
      <c r="Y414" t="inlineStr">
        <is>
          <t>d3433274-fd98-4367-9d04-1998c696fe95</t>
        </is>
      </c>
      <c r="Z414"/>
      <c r="AA414"/>
      <c r="AB414"/>
      <c r="AC414"/>
      <c r="AD414" t="inlineStr">
        <is>
          <t>🎮玩法</t>
        </is>
      </c>
      <c r="AE414"/>
    </row>
    <row r="415" ht="25.5" customHeight="1">
      <c xml:space="preserve" r="A415" s="3" t="str">
        <f>=HYPERLINK("https://applink.feishu.cn/client/todo/detail?guid=2b1634f1-c9d3-4dbc-9094-f0bf62eb05c0&amp;suite_entity_num=t101016", "增设关卡内障碍物 &lt; 🪡修改：关卡的布局进行了调整，现在关卡内的动线和敌人布置会变得更合理 ")</f>
        <v>增设关卡内障碍物 &lt; 🪡修改：关卡的布局进行了调整，现在关卡内的动线和敌人布置会变得更合理 </v>
      </c>
      <c r="B415"/>
      <c r="C415"/>
      <c r="D415"/>
      <c r="E415"/>
      <c r="F415"/>
      <c r="G415" t="inlineStr">
        <is>
          <t>龚政涛</t>
        </is>
      </c>
      <c r="H415" s="4">
        <v>45877.62803240741</v>
      </c>
      <c r="I415" s="4"/>
      <c r="J415" s="4">
        <v>45908.333333333336</v>
      </c>
      <c r="K415" s="4">
        <v>45882.651412037034</v>
      </c>
      <c r="L415">
        <v>0</v>
      </c>
      <c r="M415">
        <v>0</v>
      </c>
      <c r="N415" t="inlineStr">
        <is>
          <t>NzQxMzM4ODg5NzkxNDY2NzAwOToyYjE2MzRmMS1jOWQzLTRkYmMtOTA5NC1mMGJmNjJlYjA1YzA6MGQwNjI3MzI0ZDM4NzM0MGIzMTExMjdhZWI4NmMyYjQ6MQ==</t>
        </is>
      </c>
      <c r="O415" t="inlineStr">
        <is>
          <t>0</t>
        </is>
      </c>
      <c r="P415" t="inlineStr">
        <is>
          <t>或签任务</t>
        </is>
      </c>
      <c r="Q415" t="inlineStr">
        <is>
          <t>0</t>
        </is>
      </c>
      <c r="R415" t="inlineStr">
        <is>
          <t>龚政涛</t>
        </is>
      </c>
      <c r="S415" s="4">
        <v>45908.333333333336</v>
      </c>
      <c r="T415" s="3" t="str">
        <f>=HYPERLINK("https://applink.feishu.cn/client/todo/task_list?guid=4d92b9af-66d1-4cd7-95d1-4b753a64ca6b", "跃入迷城")</f>
        <v>跃入迷城</v>
      </c>
      <c r="U415" t="inlineStr">
        <is>
          <t>4d92b9af-66d1-4cd7-95d1-4b753a64ca6b</t>
        </is>
      </c>
      <c r="V415" t="inlineStr">
        <is>
          <t>2b1634f1-c9d3-4dbc-9094-f0bf62eb05c0</t>
        </is>
      </c>
      <c r="W415" t="inlineStr">
        <is>
          <t>35cbb765-0c35-4652-a566-0b44e25091d6</t>
        </is>
      </c>
      <c r="X415"/>
      <c r="Y415" t="inlineStr">
        <is>
          <t>d3433274-fd98-4367-9d04-1998c696fe95</t>
        </is>
      </c>
      <c r="Z415"/>
      <c r="AA415"/>
      <c r="AB415"/>
      <c r="AC415"/>
      <c r="AD415" t="inlineStr">
        <is>
          <t>🎮玩法</t>
        </is>
      </c>
      <c r="AE415"/>
    </row>
    <row r="416" ht="25.5" customHeight="1">
      <c r="A416" s="3" t="str">
        <f>=HYPERLINK("https://applink.feishu.cn/client/todo/detail?guid=a724068f-9a4d-422a-b877-271742bcd7a4&amp;suite_entity_num=t101021", "✨新增：增加了敌人补充的功能，另外，现在无需击杀所有敌人就能前往下一关（电梯卡堂堂回归）")</f>
        <v>✨新增：增加了敌人补充的功能，另外，现在无需击杀所有敌人就能前往下一关（电梯卡堂堂回归）</v>
      </c>
      <c r="B416"/>
      <c r="C416" t="inlineStr">
        <is>
          <t>默认分组</t>
        </is>
      </c>
      <c r="D416"/>
      <c r="E416"/>
      <c r="F416" t="inlineStr">
        <is>
          <t>Decay</t>
        </is>
      </c>
      <c r="G416" t="inlineStr">
        <is>
          <t>龚政涛</t>
        </is>
      </c>
      <c r="H416" s="4">
        <v>45877.69243055556</v>
      </c>
      <c r="I416" s="4"/>
      <c r="J416" s="4">
        <v>45918.333333333336</v>
      </c>
      <c r="K416" s="4">
        <v>45911.40971064815</v>
      </c>
      <c r="L416">
        <v>0</v>
      </c>
      <c r="M416">
        <v>0</v>
      </c>
      <c r="N416" t="inlineStr">
        <is>
          <t>NzQxMzM4ODg5NzkxNDY2NzAwOTphNzI0MDY4Zi05YTRkLTQyMmEtYjg3Ny0yNzE3NDJiY2Q3YTQ6M2VkMDI3YTU1Y2UxNmU4ZThiZjkxYmQxYmE3YWZiY2M6MQ==</t>
        </is>
      </c>
      <c r="O416" t="inlineStr">
        <is>
          <t>0</t>
        </is>
      </c>
      <c r="P416" t="inlineStr">
        <is>
          <t>或签任务</t>
        </is>
      </c>
      <c r="Q416" t="inlineStr">
        <is>
          <t>0</t>
        </is>
      </c>
      <c r="R416" t="inlineStr">
        <is>
          <t>龚政涛,Decay</t>
        </is>
      </c>
      <c r="S416" s="4">
        <v>45903.333333333336</v>
      </c>
      <c r="T416" s="3" t="str">
        <f>=HYPERLINK("https://applink.feishu.cn/client/todo/task_list?guid=4d92b9af-66d1-4cd7-95d1-4b753a64ca6b", "跃入迷城")</f>
        <v>跃入迷城</v>
      </c>
      <c r="U416" t="inlineStr">
        <is>
          <t>4d92b9af-66d1-4cd7-95d1-4b753a64ca6b</t>
        </is>
      </c>
      <c r="V416" t="inlineStr">
        <is>
          <t>a724068f-9a4d-422a-b877-271742bcd7a4</t>
        </is>
      </c>
      <c r="W416" t="inlineStr">
        <is>
          <t>ac428c2f-96e9-4cd8-83aa-b78ec9473ea1</t>
        </is>
      </c>
      <c r="X416"/>
      <c r="Y416"/>
      <c r="Z416" t="inlineStr">
        <is>
          <t>0.0.5</t>
        </is>
      </c>
      <c r="AA416" t="inlineStr">
        <is>
          <t>关卡</t>
        </is>
      </c>
      <c r="AB416"/>
      <c r="AC416" t="inlineStr">
        <is>
          <t>P1 - Bigger the Better</t>
        </is>
      </c>
      <c r="AD416" t="inlineStr">
        <is>
          <t>🎮玩法</t>
        </is>
      </c>
      <c r="AE416">
        <v>4</v>
      </c>
    </row>
    <row r="417" ht="25.5" customHeight="1">
      <c r="A417" s="3" t="str">
        <f>=HYPERLINK("https://applink.feishu.cn/client/todo/detail?guid=6dcd4b32-0856-43a5-8a80-b3d12c6a8bd3&amp;suite_entity_num=t101017", "解决关卡加载缓慢的问题")</f>
        <v>解决关卡加载缓慢的问题</v>
      </c>
      <c r="B417"/>
      <c r="C417" t="inlineStr">
        <is>
          <t>默认分组</t>
        </is>
      </c>
      <c r="D417"/>
      <c r="E417"/>
      <c r="F417"/>
      <c r="G417" t="inlineStr">
        <is>
          <t>龚政涛</t>
        </is>
      </c>
      <c r="H417" s="4">
        <v>45877.68446759259</v>
      </c>
      <c r="I417" s="4"/>
      <c r="J417" s="4"/>
      <c r="K417" s="4">
        <v>45877.684479166666</v>
      </c>
      <c r="L417">
        <v>0</v>
      </c>
      <c r="M417">
        <v>0</v>
      </c>
      <c r="N417" t="inlineStr">
        <is>
          <t>NzQxMzM4ODg5NzkxNDY2NzAwOTo2ZGNkNGIzMi0wODU2LTQzYTUtOGE4MC1iM2QxMmM2YThiZDM6ZDc1NDRkNDVkYWM0YzMwZmE2YWE1NTVlNThiZGU4NTI6MQ==</t>
        </is>
      </c>
      <c r="O417" t="inlineStr">
        <is>
          <t>0</t>
        </is>
      </c>
      <c r="P417" t="inlineStr">
        <is>
          <t>或签任务</t>
        </is>
      </c>
      <c r="Q417" t="inlineStr">
        <is>
          <t>0</t>
        </is>
      </c>
      <c r="R417" t="inlineStr">
        <is>
          <t>龚政涛</t>
        </is>
      </c>
      <c r="S417" s="4"/>
      <c r="T417" s="3" t="str">
        <f>=HYPERLINK("https://applink.feishu.cn/client/todo/task_list?guid=4d92b9af-66d1-4cd7-95d1-4b753a64ca6b", "跃入迷城")</f>
        <v>跃入迷城</v>
      </c>
      <c r="U417" t="inlineStr">
        <is>
          <t>4d92b9af-66d1-4cd7-95d1-4b753a64ca6b</t>
        </is>
      </c>
      <c r="V417" t="inlineStr">
        <is>
          <t>6dcd4b32-0856-43a5-8a80-b3d12c6a8bd3</t>
        </is>
      </c>
      <c r="W417"/>
      <c r="X417"/>
      <c r="Y417"/>
      <c r="Z417"/>
      <c r="AA417" t="inlineStr">
        <is>
          <t>关卡</t>
        </is>
      </c>
      <c r="AB417"/>
      <c r="AC417"/>
      <c r="AD417"/>
      <c r="AE417"/>
    </row>
    <row r="418" ht="25.5" customHeight="1">
      <c r="A418" s="3" t="str">
        <f>=HYPERLINK("https://applink.feishu.cn/client/todo/detail?guid=b731e7fc-2a22-4bbb-a4ef-e1c345f9c36b&amp;suite_entity_num=t101018", "修复component attachment问题 -&gt; 教我一下 &lt; ✨新增：玩家被墙壁遮挡时，会隐藏半墙优化视野")</f>
        <v>修复component attachment问题 -&gt; 教我一下 &lt; ✨新增：玩家被墙壁遮挡时，会隐藏半墙优化视野</v>
      </c>
      <c r="B418"/>
      <c r="C418"/>
      <c r="D418"/>
      <c r="E418"/>
      <c r="F418" t="inlineStr">
        <is>
          <t>Decay</t>
        </is>
      </c>
      <c r="G418" t="inlineStr">
        <is>
          <t>龚政涛</t>
        </is>
      </c>
      <c r="H418" s="4">
        <v>45877.684953703705</v>
      </c>
      <c r="I418" s="4"/>
      <c r="J418" s="4">
        <v>45901.333333333336</v>
      </c>
      <c r="K418" s="4">
        <v>45918.58070601852</v>
      </c>
      <c r="L418">
        <v>0</v>
      </c>
      <c r="M418">
        <v>0</v>
      </c>
      <c r="N418" t="inlineStr">
        <is>
          <t>NzQxMzM4ODg5NzkxNDY2NzAwOTpiNzMxZTdmYy0yYTIyLTRiYmItYTRlZi1lMWMzNDVmOWMzNmI6M2FlNjM1OWEyNmJmZDJhNWViODkxNDllYjU5N2RmNTU6MQ==</t>
        </is>
      </c>
      <c r="O418" t="inlineStr">
        <is>
          <t>0</t>
        </is>
      </c>
      <c r="P418" t="inlineStr">
        <is>
          <t>或签任务</t>
        </is>
      </c>
      <c r="Q418" t="inlineStr">
        <is>
          <t>0</t>
        </is>
      </c>
      <c r="R418" t="inlineStr">
        <is>
          <t>龚政涛,Decay</t>
        </is>
      </c>
      <c r="S418" s="4">
        <v>45901.333333333336</v>
      </c>
      <c r="T418" s="3" t="str">
        <f>=HYPERLINK("https://applink.feishu.cn/client/todo/task_list?guid=4d92b9af-66d1-4cd7-95d1-4b753a64ca6b", "跃入迷城")</f>
        <v>跃入迷城</v>
      </c>
      <c r="U418" t="inlineStr">
        <is>
          <t>4d92b9af-66d1-4cd7-95d1-4b753a64ca6b</t>
        </is>
      </c>
      <c r="V418" t="inlineStr">
        <is>
          <t>b731e7fc-2a22-4bbb-a4ef-e1c345f9c36b</t>
        </is>
      </c>
      <c r="W418"/>
      <c r="X418" t="inlineStr">
        <is>
          <t>9386e3ad-53de-4fe7-8cb0-ffcf0d51c147</t>
        </is>
      </c>
      <c r="Y418" t="inlineStr">
        <is>
          <t>eb3864cf-41d8-4dc6-9bc3-911c11d8ba85</t>
        </is>
      </c>
      <c r="Z418"/>
      <c r="AA418"/>
      <c r="AB418"/>
      <c r="AC418"/>
      <c r="AD418" t="inlineStr">
        <is>
          <t>🛠️技术</t>
        </is>
      </c>
      <c r="AE418"/>
    </row>
    <row r="419" ht="25.5" customHeight="1">
      <c r="A419" s="3" t="str">
        <f>=HYPERLINK("https://applink.feishu.cn/client/todo/detail?guid=346ff4a5-1b97-42a4-b357-f9790524b61a&amp;suite_entity_num=t101023", "section gate &lt; 🪡修改：优化关卡切换的演出")</f>
        <v>section gate &lt; 🪡修改：优化关卡切换的演出</v>
      </c>
      <c r="B419"/>
      <c r="C419"/>
      <c r="D419"/>
      <c r="E419"/>
      <c r="F419"/>
      <c r="G419" t="inlineStr">
        <is>
          <t>龚政涛</t>
        </is>
      </c>
      <c r="H419" s="4">
        <v>45880.604155092595</v>
      </c>
      <c r="I419" s="4"/>
      <c r="J419" s="4">
        <v>45885.333333333336</v>
      </c>
      <c r="K419" s="4">
        <v>45880.60435185185</v>
      </c>
      <c r="L419">
        <v>0</v>
      </c>
      <c r="M419">
        <v>0</v>
      </c>
      <c r="N419" t="inlineStr">
        <is>
          <t>NzQxMzM4ODg5NzkxNDY2NzAwOTozNDZmZjRhNS0xYjk3LTQyYTQtYjM1Ny1mOTc5MDUyNGI2MWE6MjlhZjA3NzBjNTE4M2RkOWZkNDk3OGY2ZDkxMGFhYmI6MQ==</t>
        </is>
      </c>
      <c r="O419" t="inlineStr">
        <is>
          <t>0</t>
        </is>
      </c>
      <c r="P419" t="inlineStr">
        <is>
          <t>或签任务</t>
        </is>
      </c>
      <c r="Q419" t="inlineStr">
        <is>
          <t>0</t>
        </is>
      </c>
      <c r="R419" t="inlineStr">
        <is>
          <t>龚政涛</t>
        </is>
      </c>
      <c r="S419" s="4">
        <v>45885.333333333336</v>
      </c>
      <c r="T419" s="3" t="str">
        <f>=HYPERLINK("https://applink.feishu.cn/client/todo/task_list?guid=4d92b9af-66d1-4cd7-95d1-4b753a64ca6b", "跃入迷城")</f>
        <v>跃入迷城</v>
      </c>
      <c r="U419" t="inlineStr">
        <is>
          <t>4d92b9af-66d1-4cd7-95d1-4b753a64ca6b</t>
        </is>
      </c>
      <c r="V419" t="inlineStr">
        <is>
          <t>346ff4a5-1b97-42a4-b357-f9790524b61a</t>
        </is>
      </c>
      <c r="W419"/>
      <c r="X419"/>
      <c r="Y419" t="inlineStr">
        <is>
          <t>f13757d5-44f3-4120-ace3-8e2d59451c18</t>
        </is>
      </c>
      <c r="Z419"/>
      <c r="AA419"/>
      <c r="AB419"/>
      <c r="AC419"/>
      <c r="AD419" t="inlineStr">
        <is>
          <t>🛠️技术</t>
        </is>
      </c>
      <c r="AE419"/>
    </row>
    <row r="420" ht="25.5" customHeight="1">
      <c r="A420" s="3" t="str">
        <f>=HYPERLINK("https://applink.feishu.cn/client/todo/detail?guid=76cefce4-ea34-4db9-84c5-f9135f46b860&amp;suite_entity_num=t101024", "电梯 &lt; 🪡修改：优化关卡切换的演出")</f>
        <v>电梯 &lt; 🪡修改：优化关卡切换的演出</v>
      </c>
      <c r="B420"/>
      <c r="C420"/>
      <c r="D420"/>
      <c r="E420"/>
      <c r="F420"/>
      <c r="G420" t="inlineStr">
        <is>
          <t>龚政涛</t>
        </is>
      </c>
      <c r="H420" s="4">
        <v>45880.60417824074</v>
      </c>
      <c r="I420" s="4"/>
      <c r="J420" s="4">
        <v>45885.333333333336</v>
      </c>
      <c r="K420" s="4">
        <v>45880.604363425926</v>
      </c>
      <c r="L420">
        <v>0</v>
      </c>
      <c r="M420">
        <v>0</v>
      </c>
      <c r="N420" t="inlineStr">
        <is>
          <t>NzQxMzM4ODg5NzkxNDY2NzAwOTo3NmNlZmNlNC1lYTM0LTRkYjktODRjNS1mOTEzNWY0NmI4NjA6MWU4NjRlYWI4YjZlYjBmMDM5OWE4YzRlNmZkMDIwZWE6MQ==</t>
        </is>
      </c>
      <c r="O420" t="inlineStr">
        <is>
          <t>0</t>
        </is>
      </c>
      <c r="P420" t="inlineStr">
        <is>
          <t>或签任务</t>
        </is>
      </c>
      <c r="Q420" t="inlineStr">
        <is>
          <t>0</t>
        </is>
      </c>
      <c r="R420" t="inlineStr">
        <is>
          <t>龚政涛</t>
        </is>
      </c>
      <c r="S420" s="4">
        <v>45885.333333333336</v>
      </c>
      <c r="T420" s="3" t="str">
        <f>=HYPERLINK("https://applink.feishu.cn/client/todo/task_list?guid=4d92b9af-66d1-4cd7-95d1-4b753a64ca6b", "跃入迷城")</f>
        <v>跃入迷城</v>
      </c>
      <c r="U420" t="inlineStr">
        <is>
          <t>4d92b9af-66d1-4cd7-95d1-4b753a64ca6b</t>
        </is>
      </c>
      <c r="V420" t="inlineStr">
        <is>
          <t>76cefce4-ea34-4db9-84c5-f9135f46b860</t>
        </is>
      </c>
      <c r="W420"/>
      <c r="X420"/>
      <c r="Y420" t="inlineStr">
        <is>
          <t>f13757d5-44f3-4120-ace3-8e2d59451c18</t>
        </is>
      </c>
      <c r="Z420"/>
      <c r="AA420"/>
      <c r="AB420"/>
      <c r="AC420"/>
      <c r="AD420" t="inlineStr">
        <is>
          <t>🎨艺术</t>
        </is>
      </c>
      <c r="AE420"/>
    </row>
    <row r="421" ht="25.5" customHeight="1">
      <c r="A421" s="3" t="str">
        <f>=HYPERLINK("https://applink.feishu.cn/client/todo/detail?guid=b67baa8f-02f2-4a91-8a57-42f4efd4d5e5&amp;suite_entity_num=t101025", "左下角数值 &lt; 🪡修改：彻底更新了场景内、HUD的UI效果")</f>
        <v>左下角数值 &lt; 🪡修改：彻底更新了场景内、HUD的UI效果</v>
      </c>
      <c r="B421"/>
      <c r="C421" t="inlineStr">
        <is>
          <t>默认分组</t>
        </is>
      </c>
      <c r="D421"/>
      <c r="E421"/>
      <c r="F421" t="inlineStr">
        <is>
          <t>郭斯已</t>
        </is>
      </c>
      <c r="G421" t="inlineStr">
        <is>
          <t>龚政涛</t>
        </is>
      </c>
      <c r="H421" s="4">
        <v>45882.471030092594</v>
      </c>
      <c r="I421" s="4">
        <v>45890.49034722222</v>
      </c>
      <c r="J421" s="4">
        <v>45883.333333333336</v>
      </c>
      <c r="K421" s="4">
        <v>45890.49140046296</v>
      </c>
      <c r="L421">
        <v>0</v>
      </c>
      <c r="M421">
        <v>0</v>
      </c>
      <c r="N421" t="inlineStr">
        <is>
          <t>NzQxMzM4ODg5NzkxNDY2NzAwOTpiNjdiYWE4Zi0wMmYyLTRhOTEtOGE1Ny00MmY0ZWZkNGQ1ZTU6MjhmMzcyY2NkMTQwYWNkNTZiNTNkY2ExMTYwZjg0YTg6MQ==</t>
        </is>
      </c>
      <c r="O421" t="inlineStr">
        <is>
          <t>1</t>
        </is>
      </c>
      <c r="P421" t="inlineStr">
        <is>
          <t>或签任务</t>
        </is>
      </c>
      <c r="Q421" t="inlineStr">
        <is>
          <t>0</t>
        </is>
      </c>
      <c r="R421" t="inlineStr">
        <is>
          <t>郭斯已,龚政涛</t>
        </is>
      </c>
      <c r="S421" s="4">
        <v>45881.333333333336</v>
      </c>
      <c r="T421" s="3" t="str">
        <f>=HYPERLINK("https://applink.feishu.cn/client/todo/task_list?guid=4d92b9af-66d1-4cd7-95d1-4b753a64ca6b", "跃入迷城")</f>
        <v>跃入迷城</v>
      </c>
      <c r="U421" t="inlineStr">
        <is>
          <t>4d92b9af-66d1-4cd7-95d1-4b753a64ca6b</t>
        </is>
      </c>
      <c r="V421" t="inlineStr">
        <is>
          <t>b67baa8f-02f2-4a91-8a57-42f4efd4d5e5</t>
        </is>
      </c>
      <c r="W421"/>
      <c r="X421"/>
      <c r="Y421" t="inlineStr">
        <is>
          <t>ee9e782f-8625-473f-ba1b-d97ed6c6e2f9</t>
        </is>
      </c>
      <c r="Z421" t="inlineStr">
        <is>
          <t>0.0.5</t>
        </is>
      </c>
      <c r="AA421" t="inlineStr">
        <is>
          <t>UIUX</t>
        </is>
      </c>
      <c r="AB421" t="inlineStr">
        <is>
          <t>已完成</t>
        </is>
      </c>
      <c r="AC421"/>
      <c r="AD421" t="inlineStr">
        <is>
          <t>🎨艺术</t>
        </is>
      </c>
      <c r="AE421">
        <v>32</v>
      </c>
    </row>
    <row r="422" ht="25.5" customHeight="1">
      <c r="A422" s="3" t="str">
        <f>=HYPERLINK("https://applink.feishu.cn/client/todo/detail?guid=9a1a4079-95df-4457-ba34-d8a1d0391a15&amp;suite_entity_num=t101026", "右下角武器卡牌 &lt; 🪡修改：彻底更新了场景内、HUD的UI效果")</f>
        <v>右下角武器卡牌 &lt; 🪡修改：彻底更新了场景内、HUD的UI效果</v>
      </c>
      <c r="B422"/>
      <c r="C422" t="inlineStr">
        <is>
          <t>默认分组</t>
        </is>
      </c>
      <c r="D422"/>
      <c r="E422"/>
      <c r="F422" t="inlineStr">
        <is>
          <t>郭斯已</t>
        </is>
      </c>
      <c r="G422" t="inlineStr">
        <is>
          <t>龚政涛</t>
        </is>
      </c>
      <c r="H422" s="4">
        <v>45882.47126157407</v>
      </c>
      <c r="I422" s="4">
        <v>45890.49034722222</v>
      </c>
      <c r="J422" s="4">
        <v>45883.333333333336</v>
      </c>
      <c r="K422" s="4">
        <v>45890.49136574074</v>
      </c>
      <c r="L422">
        <v>0</v>
      </c>
      <c r="M422">
        <v>0</v>
      </c>
      <c r="N422" t="inlineStr">
        <is>
          <t>NzQxMzM4ODg5NzkxNDY2NzAwOTo5YTFhNDA3OS05NWRmLTQ0NTctYmEzNC1kOGExZDAzOTFhMTU6YWRiMThhOGRhMmRlMTdlZTcxZGIyMWI0ZWJhZjUxZDU6MQ==</t>
        </is>
      </c>
      <c r="O422" t="inlineStr">
        <is>
          <t>1</t>
        </is>
      </c>
      <c r="P422" t="inlineStr">
        <is>
          <t>或签任务</t>
        </is>
      </c>
      <c r="Q422" t="inlineStr">
        <is>
          <t>0</t>
        </is>
      </c>
      <c r="R422" t="inlineStr">
        <is>
          <t>龚政涛,郭斯已</t>
        </is>
      </c>
      <c r="S422" s="4">
        <v>45881.333333333336</v>
      </c>
      <c r="T422" s="3" t="str">
        <f>=HYPERLINK("https://applink.feishu.cn/client/todo/task_list?guid=4d92b9af-66d1-4cd7-95d1-4b753a64ca6b", "跃入迷城")</f>
        <v>跃入迷城</v>
      </c>
      <c r="U422" t="inlineStr">
        <is>
          <t>4d92b9af-66d1-4cd7-95d1-4b753a64ca6b</t>
        </is>
      </c>
      <c r="V422" t="inlineStr">
        <is>
          <t>9a1a4079-95df-4457-ba34-d8a1d0391a15</t>
        </is>
      </c>
      <c r="W422"/>
      <c r="X422"/>
      <c r="Y422" t="inlineStr">
        <is>
          <t>ee9e782f-8625-473f-ba1b-d97ed6c6e2f9</t>
        </is>
      </c>
      <c r="Z422" t="inlineStr">
        <is>
          <t>0.0.5</t>
        </is>
      </c>
      <c r="AA422" t="inlineStr">
        <is>
          <t>UIUX</t>
        </is>
      </c>
      <c r="AB422" t="inlineStr">
        <is>
          <t>已完成</t>
        </is>
      </c>
      <c r="AC422"/>
      <c r="AD422" t="inlineStr">
        <is>
          <t>🎨艺术</t>
        </is>
      </c>
      <c r="AE422">
        <v>32</v>
      </c>
    </row>
    <row r="423" ht="25.5" customHeight="1">
      <c r="A423" s="3" t="str">
        <f>=HYPERLINK("https://applink.feishu.cn/client/todo/detail?guid=5d411dff-f393-4ed8-90e0-dd8a8cf88f68&amp;suite_entity_num=t101027", "右上角资源卡牌 &lt; 🪡修改：彻底更新了场景内、HUD的UI效果")</f>
        <v>右上角资源卡牌 &lt; 🪡修改：彻底更新了场景内、HUD的UI效果</v>
      </c>
      <c r="B423"/>
      <c r="C423" t="inlineStr">
        <is>
          <t>默认分组</t>
        </is>
      </c>
      <c r="D423"/>
      <c r="E423"/>
      <c r="F423" t="inlineStr">
        <is>
          <t>郭斯已</t>
        </is>
      </c>
      <c r="G423" t="inlineStr">
        <is>
          <t>龚政涛</t>
        </is>
      </c>
      <c r="H423" s="4">
        <v>45882.47133101852</v>
      </c>
      <c r="I423" s="4">
        <v>45890.490335648145</v>
      </c>
      <c r="J423" s="4">
        <v>45888.333333333336</v>
      </c>
      <c r="K423" s="4">
        <v>45890.49134259259</v>
      </c>
      <c r="L423">
        <v>0</v>
      </c>
      <c r="M423">
        <v>0</v>
      </c>
      <c r="N423" t="inlineStr">
        <is>
          <t>NzQxMzM4ODg5NzkxNDY2NzAwOTo1ZDQxMWRmZi1mMzkzLTRlZDgtOTBlMC1kZDhhOGNmODhmNjg6Y2FiNDQ2NDA2M2E4MmFiYmJiZjRmYzllNjZkNWFlNjM6MQ==</t>
        </is>
      </c>
      <c r="O423" t="inlineStr">
        <is>
          <t>1</t>
        </is>
      </c>
      <c r="P423" t="inlineStr">
        <is>
          <t>或签任务</t>
        </is>
      </c>
      <c r="Q423" t="inlineStr">
        <is>
          <t>0</t>
        </is>
      </c>
      <c r="R423" t="inlineStr">
        <is>
          <t>龚政涛,郭斯已</t>
        </is>
      </c>
      <c r="S423" s="4">
        <v>45887.333333333336</v>
      </c>
      <c r="T423" s="3" t="str">
        <f>=HYPERLINK("https://applink.feishu.cn/client/todo/task_list?guid=4d92b9af-66d1-4cd7-95d1-4b753a64ca6b", "跃入迷城")</f>
        <v>跃入迷城</v>
      </c>
      <c r="U423" t="inlineStr">
        <is>
          <t>4d92b9af-66d1-4cd7-95d1-4b753a64ca6b</t>
        </is>
      </c>
      <c r="V423" t="inlineStr">
        <is>
          <t>5d411dff-f393-4ed8-90e0-dd8a8cf88f68</t>
        </is>
      </c>
      <c r="W423"/>
      <c r="X423"/>
      <c r="Y423" t="inlineStr">
        <is>
          <t>ee9e782f-8625-473f-ba1b-d97ed6c6e2f9</t>
        </is>
      </c>
      <c r="Z423" t="inlineStr">
        <is>
          <t>0.0.5</t>
        </is>
      </c>
      <c r="AA423" t="inlineStr">
        <is>
          <t>UIUX</t>
        </is>
      </c>
      <c r="AB423" t="inlineStr">
        <is>
          <t>已完成</t>
        </is>
      </c>
      <c r="AC423"/>
      <c r="AD423" t="inlineStr">
        <is>
          <t>🎨艺术</t>
        </is>
      </c>
      <c r="AE423">
        <v>8</v>
      </c>
    </row>
    <row r="424" ht="25.5" customHeight="1">
      <c r="A424" s="3" t="str">
        <f>=HYPERLINK("https://applink.feishu.cn/client/todo/detail?guid=cb32b15b-387f-4c8e-ab27-7530dabb4171&amp;suite_entity_num=t101028", "左上角关卡卡牌 &lt; 🪡修改：彻底更新了场景内、HUD的UI效果")</f>
        <v>左上角关卡卡牌 &lt; 🪡修改：彻底更新了场景内、HUD的UI效果</v>
      </c>
      <c r="B424"/>
      <c r="C424" t="inlineStr">
        <is>
          <t>默认分组</t>
        </is>
      </c>
      <c r="D424"/>
      <c r="E424"/>
      <c r="F424" t="inlineStr">
        <is>
          <t>郭斯已</t>
        </is>
      </c>
      <c r="G424" t="inlineStr">
        <is>
          <t>龚政涛</t>
        </is>
      </c>
      <c r="H424" s="4">
        <v>45882.47144675926</v>
      </c>
      <c r="I424" s="4">
        <v>45890.490335648145</v>
      </c>
      <c r="J424" s="4">
        <v>45888.333333333336</v>
      </c>
      <c r="K424" s="4">
        <v>45890.491319444445</v>
      </c>
      <c r="L424">
        <v>0</v>
      </c>
      <c r="M424">
        <v>0</v>
      </c>
      <c r="N424" t="inlineStr">
        <is>
          <t>NzQxMzM4ODg5NzkxNDY2NzAwOTpjYjMyYjE1Yi0zODdmLTRjOGUtYWIyNy03NTMwZGFiYjQxNzE6MzNhYWNhNTNkNjNjMWM0N2Y3YzhjM2U0NjE5NTc5Y2E6MQ==</t>
        </is>
      </c>
      <c r="O424" t="inlineStr">
        <is>
          <t>1</t>
        </is>
      </c>
      <c r="P424" t="inlineStr">
        <is>
          <t>或签任务</t>
        </is>
      </c>
      <c r="Q424" t="inlineStr">
        <is>
          <t>0</t>
        </is>
      </c>
      <c r="R424" t="inlineStr">
        <is>
          <t>龚政涛,郭斯已</t>
        </is>
      </c>
      <c r="S424" s="4">
        <v>45887.333333333336</v>
      </c>
      <c r="T424" s="3" t="str">
        <f>=HYPERLINK("https://applink.feishu.cn/client/todo/task_list?guid=4d92b9af-66d1-4cd7-95d1-4b753a64ca6b", "跃入迷城")</f>
        <v>跃入迷城</v>
      </c>
      <c r="U424" t="inlineStr">
        <is>
          <t>4d92b9af-66d1-4cd7-95d1-4b753a64ca6b</t>
        </is>
      </c>
      <c r="V424" t="inlineStr">
        <is>
          <t>cb32b15b-387f-4c8e-ab27-7530dabb4171</t>
        </is>
      </c>
      <c r="W424"/>
      <c r="X424"/>
      <c r="Y424" t="inlineStr">
        <is>
          <t>ee9e782f-8625-473f-ba1b-d97ed6c6e2f9</t>
        </is>
      </c>
      <c r="Z424" t="inlineStr">
        <is>
          <t>0.0.5</t>
        </is>
      </c>
      <c r="AA424" t="inlineStr">
        <is>
          <t>UIUX</t>
        </is>
      </c>
      <c r="AB424" t="inlineStr">
        <is>
          <t>已完成</t>
        </is>
      </c>
      <c r="AC424"/>
      <c r="AD424" t="inlineStr">
        <is>
          <t>🎨艺术</t>
        </is>
      </c>
      <c r="AE424">
        <v>8</v>
      </c>
    </row>
    <row r="425" ht="25.5" customHeight="1">
      <c r="A425" s="3" t="str">
        <f>=HYPERLINK("https://applink.feishu.cn/client/todo/detail?guid=2b848403-b47e-4bea-bd39-4b32b37fd15d&amp;suite_entity_num=t101029", "交互提示 &lt; 🪡修改：彻底更新了场景内、HUD的UI效果")</f>
        <v>交互提示 &lt; 🪡修改：彻底更新了场景内、HUD的UI效果</v>
      </c>
      <c r="B425"/>
      <c r="C425" t="inlineStr">
        <is>
          <t>默认分组</t>
        </is>
      </c>
      <c r="D425"/>
      <c r="E425"/>
      <c r="F425" t="inlineStr">
        <is>
          <t>郭斯已</t>
        </is>
      </c>
      <c r="G425" t="inlineStr">
        <is>
          <t>龚政涛</t>
        </is>
      </c>
      <c r="H425" s="4">
        <v>45882.47152777778</v>
      </c>
      <c r="I425" s="4">
        <v>45895.48658564815</v>
      </c>
      <c r="J425" s="4">
        <v>45890.333333333336</v>
      </c>
      <c r="K425" s="4">
        <v>45895.486597222225</v>
      </c>
      <c r="L425">
        <v>0</v>
      </c>
      <c r="M425">
        <v>0</v>
      </c>
      <c r="N425" t="inlineStr">
        <is>
          <t>NzQxMzM4ODg5NzkxNDY2NzAwOToyYjg0ODQwMy1iNDdlLTRiZWEtYmQzOS00YjMyYjM3ZmQxNWQ6YTAxZWM2NWUyYmZmZDNjYzliNGU2NjhlZWMyOTVkNTY6MQ==</t>
        </is>
      </c>
      <c r="O425" t="inlineStr">
        <is>
          <t>1</t>
        </is>
      </c>
      <c r="P425" t="inlineStr">
        <is>
          <t>或签任务</t>
        </is>
      </c>
      <c r="Q425" t="inlineStr">
        <is>
          <t>0</t>
        </is>
      </c>
      <c r="R425" t="inlineStr">
        <is>
          <t>龚政涛,郭斯已</t>
        </is>
      </c>
      <c r="S425" s="4">
        <v>45889.333333333336</v>
      </c>
      <c r="T425" s="3" t="str">
        <f>=HYPERLINK("https://applink.feishu.cn/client/todo/task_list?guid=4d92b9af-66d1-4cd7-95d1-4b753a64ca6b", "跃入迷城")</f>
        <v>跃入迷城</v>
      </c>
      <c r="U425" t="inlineStr">
        <is>
          <t>4d92b9af-66d1-4cd7-95d1-4b753a64ca6b</t>
        </is>
      </c>
      <c r="V425" t="inlineStr">
        <is>
          <t>2b848403-b47e-4bea-bd39-4b32b37fd15d</t>
        </is>
      </c>
      <c r="W425"/>
      <c r="X425"/>
      <c r="Y425" t="inlineStr">
        <is>
          <t>ee9e782f-8625-473f-ba1b-d97ed6c6e2f9</t>
        </is>
      </c>
      <c r="Z425" t="inlineStr">
        <is>
          <t>0.0.5</t>
        </is>
      </c>
      <c r="AA425" t="inlineStr">
        <is>
          <t>UIUX</t>
        </is>
      </c>
      <c r="AB425" t="inlineStr">
        <is>
          <t>已完成</t>
        </is>
      </c>
      <c r="AC425"/>
      <c r="AD425" t="inlineStr">
        <is>
          <t>🎨艺术</t>
        </is>
      </c>
      <c r="AE425">
        <v>8</v>
      </c>
    </row>
    <row r="426" ht="25.5" customHeight="1">
      <c r="A426" s="3" t="str">
        <f>=HYPERLINK("https://applink.feishu.cn/client/todo/detail?guid=f6543b95-45c4-40d8-afea-214843981db6&amp;suite_entity_num=t101030", "https://dikpa4hrtn9.feishu.cn/wiki/ElfRwFggKiRu6sk62RZcxcgtn8m插图 &lt; 角色插图制作")</f>
        <v>https://dikpa4hrtn9.feishu.cn/wiki/ElfRwFggKiRu6sk62RZcxcgtn8m插图 &lt; 角色插图制作</v>
      </c>
      <c r="B426"/>
      <c r="C426"/>
      <c r="D426"/>
      <c r="E426"/>
      <c r="F426" t="inlineStr">
        <is>
          <t>Ke Huang</t>
        </is>
      </c>
      <c r="G426" t="inlineStr">
        <is>
          <t>龚政涛</t>
        </is>
      </c>
      <c r="H426" s="4">
        <v>45882.47305555556</v>
      </c>
      <c r="I426" s="4">
        <v>45882.48710648148</v>
      </c>
      <c r="J426" s="4"/>
      <c r="K426" s="4">
        <v>45882.48710648148</v>
      </c>
      <c r="L426">
        <v>0</v>
      </c>
      <c r="M426">
        <v>0</v>
      </c>
      <c r="N426" t="inlineStr">
        <is>
          <t>NzQxMzM4ODg5NzkxNDY2NzAwOTpmNjU0M2I5NS00NWM0LTQwZDgtYWZlYS0yMTQ4NDM5ODFkYjY6OGIzNWFjOGFhNTM0YTJlMDY4YWIzYTgyMWFlZTRiNWQ6MQ==</t>
        </is>
      </c>
      <c r="O426" t="inlineStr">
        <is>
          <t>1</t>
        </is>
      </c>
      <c r="P426" t="inlineStr">
        <is>
          <t>或签任务</t>
        </is>
      </c>
      <c r="Q426" t="inlineStr">
        <is>
          <t>0</t>
        </is>
      </c>
      <c r="R426" t="inlineStr">
        <is>
          <t>Ke Huang,龚政涛</t>
        </is>
      </c>
      <c r="S426" s="4"/>
      <c r="T426" s="3" t="str">
        <f>=HYPERLINK("https://applink.feishu.cn/client/todo/task_list?guid=4d92b9af-66d1-4cd7-95d1-4b753a64ca6b", "跃入迷城")</f>
        <v>跃入迷城</v>
      </c>
      <c r="U426" t="inlineStr">
        <is>
          <t>4d92b9af-66d1-4cd7-95d1-4b753a64ca6b</t>
        </is>
      </c>
      <c r="V426" t="inlineStr">
        <is>
          <t>f6543b95-45c4-40d8-afea-214843981db6</t>
        </is>
      </c>
      <c r="W426"/>
      <c r="X426"/>
      <c r="Y426" t="inlineStr">
        <is>
          <t>cffa4f2c-fb50-49e2-aad9-4a85adbe2690</t>
        </is>
      </c>
      <c r="Z426"/>
      <c r="AA426" t="inlineStr">
        <is>
          <t>平面美术</t>
        </is>
      </c>
      <c r="AB426"/>
      <c r="AC426"/>
      <c r="AD426" t="inlineStr">
        <is>
          <t>🎨艺术</t>
        </is>
      </c>
      <c r="AE426"/>
    </row>
    <row r="427" ht="25.5" customHeight="1">
      <c r="A427" s="3" t="str">
        <f>=HYPERLINK("https://applink.feishu.cn/client/todo/detail?guid=4efc85f8-6ceb-45cd-8e7e-3927488011ac&amp;suite_entity_num=t101031", "https://dikpa4hrtn9.feishu.cn/wiki/TVHDwqiUziiOeYkaluvcE9rdnJf插图 &lt; 角色插图制作")</f>
        <v>https://dikpa4hrtn9.feishu.cn/wiki/TVHDwqiUziiOeYkaluvcE9rdnJf插图 &lt; 角色插图制作</v>
      </c>
      <c r="B427"/>
      <c r="C427"/>
      <c r="D427"/>
      <c r="E427"/>
      <c r="F427" t="inlineStr">
        <is>
          <t>Ke Huang</t>
        </is>
      </c>
      <c r="G427" t="inlineStr">
        <is>
          <t>龚政涛</t>
        </is>
      </c>
      <c r="H427" s="4">
        <v>45882.47871527778</v>
      </c>
      <c r="I427" s="4">
        <v>45882.48704861111</v>
      </c>
      <c r="J427" s="4"/>
      <c r="K427" s="4">
        <v>45895.47424768518</v>
      </c>
      <c r="L427">
        <v>0</v>
      </c>
      <c r="M427">
        <v>0</v>
      </c>
      <c r="N427" t="inlineStr">
        <is>
          <t>NzQxMzM4ODg5NzkxNDY2NzAwOTo0ZWZjODVmOC02Y2ViLTQ1Y2QtOGU3ZS0zOTI3NDg4MDExYWM6ZmZlYzVmNWY5ZDk1ZTYzM2JhZmMyZmRjMjgwNzExZjI6MQ==</t>
        </is>
      </c>
      <c r="O427" t="inlineStr">
        <is>
          <t>1</t>
        </is>
      </c>
      <c r="P427" t="inlineStr">
        <is>
          <t>或签任务</t>
        </is>
      </c>
      <c r="Q427" t="inlineStr">
        <is>
          <t>0</t>
        </is>
      </c>
      <c r="R427" t="inlineStr">
        <is>
          <t>龚政涛,Ke Huang</t>
        </is>
      </c>
      <c r="S427" s="4"/>
      <c r="T427" s="3" t="str">
        <f>=HYPERLINK("https://applink.feishu.cn/client/todo/task_list?guid=4d92b9af-66d1-4cd7-95d1-4b753a64ca6b", "跃入迷城")</f>
        <v>跃入迷城</v>
      </c>
      <c r="U427" t="inlineStr">
        <is>
          <t>4d92b9af-66d1-4cd7-95d1-4b753a64ca6b</t>
        </is>
      </c>
      <c r="V427" t="inlineStr">
        <is>
          <t>4efc85f8-6ceb-45cd-8e7e-3927488011ac</t>
        </is>
      </c>
      <c r="W427"/>
      <c r="X427"/>
      <c r="Y427" t="inlineStr">
        <is>
          <t>cffa4f2c-fb50-49e2-aad9-4a85adbe2690</t>
        </is>
      </c>
      <c r="Z427"/>
      <c r="AA427"/>
      <c r="AB427"/>
      <c r="AC427"/>
      <c r="AD427" t="inlineStr">
        <is>
          <t>🎨艺术</t>
        </is>
      </c>
      <c r="AE427"/>
    </row>
    <row r="428" ht="25.5" customHeight="1">
      <c r="A428" s="3" t="str">
        <f>=HYPERLINK("https://applink.feishu.cn/client/todo/detail?guid=ed1ab17e-3350-4a77-885c-31ecf570ba38&amp;suite_entity_num=t101033", "统一画风")</f>
        <v>统一画风</v>
      </c>
      <c r="B428"/>
      <c r="C428" t="inlineStr">
        <is>
          <t>默认分组</t>
        </is>
      </c>
      <c r="D428"/>
      <c r="E428"/>
      <c r="F428" t="inlineStr">
        <is>
          <t>Ke Huang,瞿敬雄</t>
        </is>
      </c>
      <c r="G428" t="inlineStr">
        <is>
          <t>龚政涛</t>
        </is>
      </c>
      <c r="H428" s="4">
        <v>45882.49113425926</v>
      </c>
      <c r="I428" s="4">
        <v>45894.88099537037</v>
      </c>
      <c r="J428" s="4">
        <v>45893.333333333336</v>
      </c>
      <c r="K428" s="4">
        <v>45894.8809837963</v>
      </c>
      <c r="L428">
        <v>0</v>
      </c>
      <c r="M428">
        <v>0</v>
      </c>
      <c r="N428" t="inlineStr">
        <is>
          <t>NzQxMzM4ODg5NzkxNDY2NzAwOTplZDFhYjE3ZS0zMzUwLTRhNzctODg1Yy0zMWVjZjU3MGJhMzg6Njc0MDQ5ZTQ1MWUzMzU0ZDM3ZjdlYWNlZThjNzM4MDA6MQ==</t>
        </is>
      </c>
      <c r="O428" t="inlineStr">
        <is>
          <t>1</t>
        </is>
      </c>
      <c r="P428" t="inlineStr">
        <is>
          <t>或签任务</t>
        </is>
      </c>
      <c r="Q428" t="inlineStr">
        <is>
          <t>0</t>
        </is>
      </c>
      <c r="R428" t="inlineStr">
        <is>
          <t>龚政涛,瞿敬雄</t>
        </is>
      </c>
      <c r="S428" s="4">
        <v>45887.333333333336</v>
      </c>
      <c r="T428" s="3" t="str">
        <f>=HYPERLINK("https://applink.feishu.cn/client/todo/task_list?guid=4d92b9af-66d1-4cd7-95d1-4b753a64ca6b", "跃入迷城")</f>
        <v>跃入迷城</v>
      </c>
      <c r="U428" t="inlineStr">
        <is>
          <t>4d92b9af-66d1-4cd7-95d1-4b753a64ca6b</t>
        </is>
      </c>
      <c r="V428" t="inlineStr">
        <is>
          <t>ed1ab17e-3350-4a77-885c-31ecf570ba38</t>
        </is>
      </c>
      <c r="W428"/>
      <c r="X428"/>
      <c r="Y428"/>
      <c r="Z428" t="inlineStr">
        <is>
          <t>0.0.5</t>
        </is>
      </c>
      <c r="AA428" t="inlineStr">
        <is>
          <t>平面美术</t>
        </is>
      </c>
      <c r="AB428" t="inlineStr">
        <is>
          <t>工作中</t>
        </is>
      </c>
      <c r="AC428"/>
      <c r="AD428" t="inlineStr">
        <is>
          <t>🎨艺术</t>
        </is>
      </c>
      <c r="AE428"/>
    </row>
    <row r="429" ht="25.5" customHeight="1">
      <c xml:space="preserve" r="A429" s="3" t="str">
        <f>=HYPERLINK("https://applink.feishu.cn/client/todo/detail?guid=601c8e2a-259f-48ef-9a90-be92531e9aa1&amp;suite_entity_num=t101034", "墙面模型 &lt; ✨新增：墙壁、地面、门、窗、电梯制作了定制模型，以更好的呈现正式版本的视觉风格 ")</f>
        <v>墙面模型 &lt; ✨新增：墙壁、地面、门、窗、电梯制作了定制模型，以更好的呈现正式版本的视觉风格 </v>
      </c>
      <c r="B429"/>
      <c r="C429" t="inlineStr">
        <is>
          <t>默认分组</t>
        </is>
      </c>
      <c r="D429"/>
      <c r="E429">
        <v>1</v>
      </c>
      <c r="F429" t="inlineStr">
        <is>
          <t>陈吉瑞</t>
        </is>
      </c>
      <c r="G429" t="inlineStr">
        <is>
          <t>龚政涛</t>
        </is>
      </c>
      <c r="H429" s="4">
        <v>45882.497094907405</v>
      </c>
      <c r="I429" s="4">
        <v>45950.4152662037</v>
      </c>
      <c r="J429" s="4"/>
      <c r="K429" s="4">
        <v>45950.41527777778</v>
      </c>
      <c r="L429">
        <v>2</v>
      </c>
      <c r="M429">
        <v>0</v>
      </c>
      <c r="N429" t="inlineStr">
        <is>
          <t>NzQxMzM4ODg5NzkxNDY2NzAwOTo2MDFjOGUyYS0yNTlmLTQ4ZWYtOWE5MC1iZTkyNTMxZTlhYTE6YmViOGYxYjQ2OThiNzc1NGNjYTA5NTg4NWFmMmUyYWU6MQ==</t>
        </is>
      </c>
      <c r="O429" t="inlineStr">
        <is>
          <t>1</t>
        </is>
      </c>
      <c r="P429" t="inlineStr">
        <is>
          <t>或签任务</t>
        </is>
      </c>
      <c r="Q429" t="inlineStr">
        <is>
          <t>0</t>
        </is>
      </c>
      <c r="R429" t="inlineStr">
        <is>
          <t>陈吉瑞,龚政涛</t>
        </is>
      </c>
      <c r="S429" s="4"/>
      <c r="T429" s="3" t="str">
        <f>=HYPERLINK("https://applink.feishu.cn/client/todo/task_list?guid=4d92b9af-66d1-4cd7-95d1-4b753a64ca6b", "跃入迷城")</f>
        <v>跃入迷城</v>
      </c>
      <c r="U429" t="inlineStr">
        <is>
          <t>4d92b9af-66d1-4cd7-95d1-4b753a64ca6b</t>
        </is>
      </c>
      <c r="V429" t="inlineStr">
        <is>
          <t>601c8e2a-259f-48ef-9a90-be92531e9aa1</t>
        </is>
      </c>
      <c r="W429"/>
      <c r="X429"/>
      <c r="Y429" t="inlineStr">
        <is>
          <t>b5b3cf09-e2af-4f6b-885e-c3afc23421c1</t>
        </is>
      </c>
      <c r="Z429" t="inlineStr">
        <is>
          <t>0.0.5</t>
        </is>
      </c>
      <c r="AA429" t="inlineStr">
        <is>
          <t>模型</t>
        </is>
      </c>
      <c r="AB429" t="inlineStr">
        <is>
          <t>已拆分</t>
        </is>
      </c>
      <c r="AC429"/>
      <c r="AD429" t="inlineStr">
        <is>
          <t>🎨艺术</t>
        </is>
      </c>
      <c r="AE429"/>
    </row>
    <row r="430" ht="25.5" customHeight="1">
      <c xml:space="preserve" r="A430" s="3" t="str">
        <f>=HYPERLINK("https://applink.feishu.cn/client/todo/detail?guid=70ba16f2-4136-4dbe-b044-6918afe6bf89&amp;suite_entity_num=t101035", "地面模型 &lt; ✨新增：墙壁、地面、门、窗、电梯制作了定制模型，以更好的呈现正式版本的视觉风格 ")</f>
        <v>地面模型 &lt; ✨新增：墙壁、地面、门、窗、电梯制作了定制模型，以更好的呈现正式版本的视觉风格 </v>
      </c>
      <c r="B430"/>
      <c r="C430"/>
      <c r="D430"/>
      <c r="E430">
        <v>1</v>
      </c>
      <c r="F430" t="inlineStr">
        <is>
          <t>陈吉瑞</t>
        </is>
      </c>
      <c r="G430" t="inlineStr">
        <is>
          <t>龚政涛</t>
        </is>
      </c>
      <c r="H430" s="4">
        <v>45882.497141203705</v>
      </c>
      <c r="I430" s="4"/>
      <c r="J430" s="4"/>
      <c r="K430" s="4">
        <v>45895.48835648148</v>
      </c>
      <c r="L430">
        <v>2</v>
      </c>
      <c r="M430">
        <v>0</v>
      </c>
      <c r="N430" t="inlineStr">
        <is>
          <t>NzQxMzM4ODg5NzkxNDY2NzAwOTo3MGJhMTZmMi00MTM2LTRkYmUtYjA0NC02OTE4YWZlNmJmODk6ODE5NmQwODBlYjY2NjU4NWExMzBjNTY5ZGRkOTQ1ODE6MQ==</t>
        </is>
      </c>
      <c r="O430" t="inlineStr">
        <is>
          <t>0</t>
        </is>
      </c>
      <c r="P430" t="inlineStr">
        <is>
          <t>或签任务</t>
        </is>
      </c>
      <c r="Q430" t="inlineStr">
        <is>
          <t>0</t>
        </is>
      </c>
      <c r="R430" t="inlineStr">
        <is>
          <t>龚政涛,陈吉瑞</t>
        </is>
      </c>
      <c r="S430" s="4"/>
      <c r="T430" s="3" t="str">
        <f>=HYPERLINK("https://applink.feishu.cn/client/todo/task_list?guid=4d92b9af-66d1-4cd7-95d1-4b753a64ca6b", "跃入迷城")</f>
        <v>跃入迷城</v>
      </c>
      <c r="U430" t="inlineStr">
        <is>
          <t>4d92b9af-66d1-4cd7-95d1-4b753a64ca6b</t>
        </is>
      </c>
      <c r="V430" t="inlineStr">
        <is>
          <t>70ba16f2-4136-4dbe-b044-6918afe6bf89</t>
        </is>
      </c>
      <c r="W430"/>
      <c r="X430"/>
      <c r="Y430" t="inlineStr">
        <is>
          <t>b5b3cf09-e2af-4f6b-885e-c3afc23421c1</t>
        </is>
      </c>
      <c r="Z430" t="inlineStr">
        <is>
          <t>0.0.5</t>
        </is>
      </c>
      <c r="AA430" t="inlineStr">
        <is>
          <t>模型</t>
        </is>
      </c>
      <c r="AB430" t="inlineStr">
        <is>
          <t>已拆分</t>
        </is>
      </c>
      <c r="AC430"/>
      <c r="AD430" t="inlineStr">
        <is>
          <t>🎨艺术</t>
        </is>
      </c>
      <c r="AE430"/>
    </row>
    <row r="431" ht="25.5" customHeight="1">
      <c r="A431" s="3" t="str">
        <f>=HYPERLINK("https://applink.feishu.cn/client/todo/detail?guid=a7c983b8-75dc-4566-9062-e4f7b38a3931&amp;suite_entity_num=t101051", "ICON基础探讨 &lt; ✨新增：游戏中新增了义体、技能的icon")</f>
        <v>ICON基础探讨 &lt; ✨新增：游戏中新增了义体、技能的icon</v>
      </c>
      <c r="B431"/>
      <c r="C431" t="inlineStr">
        <is>
          <t>默认分组</t>
        </is>
      </c>
      <c r="D431"/>
      <c r="E431"/>
      <c r="F431" t="inlineStr">
        <is>
          <t>郭斯已</t>
        </is>
      </c>
      <c r="G431" t="inlineStr">
        <is>
          <t>龚政涛</t>
        </is>
      </c>
      <c r="H431" s="4">
        <v>45890.49346064815</v>
      </c>
      <c r="I431" s="4">
        <v>45897.97497685185</v>
      </c>
      <c r="J431" s="4">
        <v>45896.333333333336</v>
      </c>
      <c r="K431" s="4">
        <v>45897.97497685185</v>
      </c>
      <c r="L431">
        <v>0</v>
      </c>
      <c r="M431">
        <v>1</v>
      </c>
      <c r="N431" t="inlineStr">
        <is>
          <t>NzQxMzM4ODg5NzkxNDY2NzAwOTphN2M5ODNiOC03NWRjLTQ1NjYtOTA2Mi1lNGY3YjM4YTM5MzE6OGYzZDYxNjdkZDQ2YTcyZTBlNmFlMjliMzQyM2I3ZTc6MQ==</t>
        </is>
      </c>
      <c r="O431" t="inlineStr">
        <is>
          <t>1</t>
        </is>
      </c>
      <c r="P431" t="inlineStr">
        <is>
          <t>或签任务</t>
        </is>
      </c>
      <c r="Q431" t="inlineStr">
        <is>
          <t>0</t>
        </is>
      </c>
      <c r="R431" t="inlineStr">
        <is>
          <t>龚政涛,郭斯已</t>
        </is>
      </c>
      <c r="S431" s="4">
        <v>45895.333333333336</v>
      </c>
      <c r="T431" s="3" t="str">
        <f>=HYPERLINK("https://applink.feishu.cn/client/todo/task_list?guid=4d92b9af-66d1-4cd7-95d1-4b753a64ca6b", "跃入迷城")</f>
        <v>跃入迷城</v>
      </c>
      <c r="U431" t="inlineStr">
        <is>
          <t>4d92b9af-66d1-4cd7-95d1-4b753a64ca6b</t>
        </is>
      </c>
      <c r="V431" t="inlineStr">
        <is>
          <t>a7c983b8-75dc-4566-9062-e4f7b38a3931</t>
        </is>
      </c>
      <c r="W431"/>
      <c r="X431"/>
      <c r="Y431" t="inlineStr">
        <is>
          <t>6fb4d1ca-44ad-41b4-9e70-73398e3b774b</t>
        </is>
      </c>
      <c r="Z431" t="inlineStr">
        <is>
          <t>0.0.5</t>
        </is>
      </c>
      <c r="AA431" t="inlineStr">
        <is>
          <t>UIUX</t>
        </is>
      </c>
      <c r="AB431" t="inlineStr">
        <is>
          <t>已完成</t>
        </is>
      </c>
      <c r="AC431"/>
      <c r="AD431" t="inlineStr">
        <is>
          <t>🎨艺术</t>
        </is>
      </c>
      <c r="AE431">
        <v>2</v>
      </c>
    </row>
    <row r="432" ht="25.5" customHeight="1">
      <c r="A432" s="3" t="str">
        <f>=HYPERLINK("https://applink.feishu.cn/client/todo/detail?guid=6fb4d1ca-44ad-41b4-9e70-73398e3b774b&amp;suite_entity_num=t101050", "✨新增：游戏中新增了义体、技能的icon")</f>
        <v>✨新增：游戏中新增了义体、技能的icon</v>
      </c>
      <c r="B432"/>
      <c r="C432" t="inlineStr">
        <is>
          <t>默认分组</t>
        </is>
      </c>
      <c r="D432"/>
      <c r="E432">
        <v>1</v>
      </c>
      <c r="F432" t="inlineStr">
        <is>
          <t>郭斯已</t>
        </is>
      </c>
      <c r="G432" t="inlineStr">
        <is>
          <t>龚政涛</t>
        </is>
      </c>
      <c r="H432" s="4">
        <v>45890.49319444445</v>
      </c>
      <c r="I432" s="4"/>
      <c r="J432" s="4"/>
      <c r="K432" s="4">
        <v>45895.50130787037</v>
      </c>
      <c r="L432">
        <v>1</v>
      </c>
      <c r="M432">
        <v>0</v>
      </c>
      <c r="N432" t="inlineStr">
        <is>
          <t>NzQxMzM4ODg5NzkxNDY2NzAwOTo2ZmI0ZDFjYS00NGFkLTQxYjQtOWU3MC03MzM5OGUzYjc3NGI6YWQzYTdhYzBkODg0ZjAyMmU1MDYyNzBhYTk2NTNjNWE6MQ==</t>
        </is>
      </c>
      <c r="O432" t="inlineStr">
        <is>
          <t>0</t>
        </is>
      </c>
      <c r="P432" t="inlineStr">
        <is>
          <t>或签任务</t>
        </is>
      </c>
      <c r="Q432" t="inlineStr">
        <is>
          <t>0</t>
        </is>
      </c>
      <c r="R432" t="inlineStr">
        <is>
          <t>龚政涛,郭斯已</t>
        </is>
      </c>
      <c r="S432" s="4"/>
      <c r="T432" s="3" t="str">
        <f>=HYPERLINK("https://applink.feishu.cn/client/todo/task_list?guid=4d92b9af-66d1-4cd7-95d1-4b753a64ca6b", "跃入迷城")</f>
        <v>跃入迷城</v>
      </c>
      <c r="U432" t="inlineStr">
        <is>
          <t>4d92b9af-66d1-4cd7-95d1-4b753a64ca6b</t>
        </is>
      </c>
      <c r="V432" t="inlineStr">
        <is>
          <t>6fb4d1ca-44ad-41b4-9e70-73398e3b774b</t>
        </is>
      </c>
      <c r="W432"/>
      <c r="X432"/>
      <c r="Y432"/>
      <c r="Z432" t="inlineStr">
        <is>
          <t>0.0.5</t>
        </is>
      </c>
      <c r="AA432" t="inlineStr">
        <is>
          <t>UIUX</t>
        </is>
      </c>
      <c r="AB432" t="inlineStr">
        <is>
          <t>已拆分</t>
        </is>
      </c>
      <c r="AC432"/>
      <c r="AD432" t="inlineStr">
        <is>
          <t>🎨艺术</t>
        </is>
      </c>
      <c r="AE432"/>
    </row>
    <row r="433" ht="25.5" customHeight="1">
      <c r="A433" s="3" t="str">
        <f>=HYPERLINK("https://applink.feishu.cn/client/todo/detail?guid=8bd6bb89-e789-413f-9836-d00f56f7357c&amp;suite_entity_num=t101049", "更新档案员五官和头发 &lt; https://dikpa4hrtn9.feishu.cn/wiki/Xy5Fw6WuNie7nmk6zM8cLsMZntc插图")</f>
        <v>更新档案员五官和头发 &lt; https://dikpa4hrtn9.feishu.cn/wiki/Xy5Fw6WuNie7nmk6zM8cLsMZntc插图</v>
      </c>
      <c r="B433"/>
      <c r="C433" t="inlineStr">
        <is>
          <t>默认分组</t>
        </is>
      </c>
      <c r="D433"/>
      <c r="E433"/>
      <c r="F433" t="inlineStr">
        <is>
          <t>瞿敬雄</t>
        </is>
      </c>
      <c r="G433" t="inlineStr">
        <is>
          <t>龚政涛</t>
        </is>
      </c>
      <c r="H433" s="4">
        <v>45890.48486111111</v>
      </c>
      <c r="I433" s="4">
        <v>45891.716840277775</v>
      </c>
      <c r="J433" s="4">
        <v>45890.333333333336</v>
      </c>
      <c r="K433" s="4">
        <v>45891.716828703706</v>
      </c>
      <c r="L433">
        <v>0</v>
      </c>
      <c r="M433">
        <v>0</v>
      </c>
      <c r="N433" t="inlineStr">
        <is>
          <t>NzQxMzM4ODg5NzkxNDY2NzAwOTo4YmQ2YmI4OS1lNzg5LTQxM2YtOTgzNi1kMDBmNTZmNzM1N2M6NzM4YjllYzljYWE0NTg0NTMzNTFjMDFlZGZlZTAxYWI6MQ==</t>
        </is>
      </c>
      <c r="O433" t="inlineStr">
        <is>
          <t>1</t>
        </is>
      </c>
      <c r="P433" t="inlineStr">
        <is>
          <t>或签任务</t>
        </is>
      </c>
      <c r="Q433" t="inlineStr">
        <is>
          <t>0</t>
        </is>
      </c>
      <c r="R433" t="inlineStr">
        <is>
          <t>龚政涛,瞿敬雄</t>
        </is>
      </c>
      <c r="S433" s="4">
        <v>45890.333333333336</v>
      </c>
      <c r="T433" s="3" t="str">
        <f>=HYPERLINK("https://applink.feishu.cn/client/todo/task_list?guid=4d92b9af-66d1-4cd7-95d1-4b753a64ca6b", "跃入迷城")</f>
        <v>跃入迷城</v>
      </c>
      <c r="U433" t="inlineStr">
        <is>
          <t>4d92b9af-66d1-4cd7-95d1-4b753a64ca6b</t>
        </is>
      </c>
      <c r="V433" t="inlineStr">
        <is>
          <t>8bd6bb89-e789-413f-9836-d00f56f7357c</t>
        </is>
      </c>
      <c r="W433"/>
      <c r="X433"/>
      <c r="Y433" t="inlineStr">
        <is>
          <t>edfd2864-50b6-40fb-96ff-5c51c3ca1b09</t>
        </is>
      </c>
      <c r="Z433" t="inlineStr">
        <is>
          <t>0.0.5</t>
        </is>
      </c>
      <c r="AA433" t="inlineStr">
        <is>
          <t>平面美术</t>
        </is>
      </c>
      <c r="AB433" t="inlineStr">
        <is>
          <t>工作中</t>
        </is>
      </c>
      <c r="AC433"/>
      <c r="AD433" t="inlineStr">
        <is>
          <t>🎨艺术</t>
        </is>
      </c>
      <c r="AE433">
        <v>2</v>
      </c>
    </row>
    <row r="434" ht="25.5" customHeight="1">
      <c r="A434" s="3" t="str">
        <f>=HYPERLINK("https://applink.feishu.cn/client/todo/detail?guid=e7ee6b1b-8672-41c4-a4cf-b3a7b9d55572&amp;suite_entity_num=t101047", "更新带有骨骼绑定权重的模型 &lt; 瑞文角色模型")</f>
        <v>更新带有骨骼绑定权重的模型 &lt; 瑞文角色模型</v>
      </c>
      <c r="B434"/>
      <c r="C434" t="inlineStr">
        <is>
          <t>默认分组</t>
        </is>
      </c>
      <c r="D434"/>
      <c r="E434"/>
      <c r="F434" t="inlineStr">
        <is>
          <t>陈吉瑞</t>
        </is>
      </c>
      <c r="G434" t="inlineStr">
        <is>
          <t>龚政涛</t>
        </is>
      </c>
      <c r="H434" s="4">
        <v>45890.479849537034</v>
      </c>
      <c r="I434" s="4">
        <v>45895.482152777775</v>
      </c>
      <c r="J434" s="4">
        <v>45890.333333333336</v>
      </c>
      <c r="K434" s="4">
        <v>45895.48216435185</v>
      </c>
      <c r="L434">
        <v>0</v>
      </c>
      <c r="M434">
        <v>1</v>
      </c>
      <c r="N434" t="inlineStr">
        <is>
          <t>NzQxMzM4ODg5NzkxNDY2NzAwOTplN2VlNmIxYi04NjcyLTQxYzQtYTRjZi1iM2E3YjlkNTU1NzI6MGFiMzI0Nzg0NWE1NDNiYTAyMmUxMDliYWI2Yzc2ZmM6MQ==</t>
        </is>
      </c>
      <c r="O434" t="inlineStr">
        <is>
          <t>1</t>
        </is>
      </c>
      <c r="P434" t="inlineStr">
        <is>
          <t>或签任务</t>
        </is>
      </c>
      <c r="Q434" t="inlineStr">
        <is>
          <t>0</t>
        </is>
      </c>
      <c r="R434" t="inlineStr">
        <is>
          <t>龚政涛,陈吉瑞</t>
        </is>
      </c>
      <c r="S434" s="4">
        <v>45890.333333333336</v>
      </c>
      <c r="T434" s="3" t="str">
        <f>=HYPERLINK("https://applink.feishu.cn/client/todo/task_list?guid=4d92b9af-66d1-4cd7-95d1-4b753a64ca6b", "跃入迷城")</f>
        <v>跃入迷城</v>
      </c>
      <c r="U434" t="inlineStr">
        <is>
          <t>4d92b9af-66d1-4cd7-95d1-4b753a64ca6b</t>
        </is>
      </c>
      <c r="V434" t="inlineStr">
        <is>
          <t>e7ee6b1b-8672-41c4-a4cf-b3a7b9d55572</t>
        </is>
      </c>
      <c r="W434"/>
      <c r="X434"/>
      <c r="Y434" t="inlineStr">
        <is>
          <t>18a34941-c8c9-4960-acee-cee063b5c389</t>
        </is>
      </c>
      <c r="Z434" t="inlineStr">
        <is>
          <t>0.0.5</t>
        </is>
      </c>
      <c r="AA434" t="inlineStr">
        <is>
          <t>模型</t>
        </is>
      </c>
      <c r="AB434" t="inlineStr">
        <is>
          <t>已完成</t>
        </is>
      </c>
      <c r="AC434"/>
      <c r="AD434" t="inlineStr">
        <is>
          <t>🎨艺术</t>
        </is>
      </c>
      <c r="AE434">
        <v>1</v>
      </c>
    </row>
    <row r="435" ht="25.5" customHeight="1">
      <c r="A435" s="3" t="str">
        <f>=HYPERLINK("https://applink.feishu.cn/client/todo/detail?guid=712e9e2a-e9d4-497c-99bc-f3bc5b2934e0&amp;suite_entity_num=t101048", "重置信使到 step 1 &lt; https://dikpa4hrtn9.feishu.cn/wiki/HqAOwpqMEiXjYjkdDjic89CZnmb插图")</f>
        <v>重置信使到 step 1 &lt; https://dikpa4hrtn9.feishu.cn/wiki/HqAOwpqMEiXjYjkdDjic89CZnmb插图</v>
      </c>
      <c r="B435"/>
      <c r="C435" t="inlineStr">
        <is>
          <t>默认分组</t>
        </is>
      </c>
      <c r="D435"/>
      <c r="E435"/>
      <c r="F435" t="inlineStr">
        <is>
          <t>瞿敬雄</t>
        </is>
      </c>
      <c r="G435" t="inlineStr">
        <is>
          <t>龚政涛</t>
        </is>
      </c>
      <c r="H435" s="4">
        <v>45890.48421296296</v>
      </c>
      <c r="I435" s="4">
        <v>45894.88113425926</v>
      </c>
      <c r="J435" s="4">
        <v>45890.333333333336</v>
      </c>
      <c r="K435" s="4">
        <v>45894.88111111111</v>
      </c>
      <c r="L435">
        <v>0</v>
      </c>
      <c r="M435">
        <v>0</v>
      </c>
      <c r="N435" t="inlineStr">
        <is>
          <t>NzQxMzM4ODg5NzkxNDY2NzAwOTo3MTJlOWUyYS1lOWQ0LTQ5N2MtOTliYy1mM2JjNWIyOTM0ZTA6NGViNjg3MTdiMmZhMjUxNjRlNGE4NTZmMTJkOGUzYWU6MQ==</t>
        </is>
      </c>
      <c r="O435" t="inlineStr">
        <is>
          <t>1</t>
        </is>
      </c>
      <c r="P435" t="inlineStr">
        <is>
          <t>或签任务</t>
        </is>
      </c>
      <c r="Q435" t="inlineStr">
        <is>
          <t>0</t>
        </is>
      </c>
      <c r="R435" t="inlineStr">
        <is>
          <t>瞿敬雄,龚政涛</t>
        </is>
      </c>
      <c r="S435" s="4">
        <v>45890.333333333336</v>
      </c>
      <c r="T435" s="3" t="str">
        <f>=HYPERLINK("https://applink.feishu.cn/client/todo/task_list?guid=4d92b9af-66d1-4cd7-95d1-4b753a64ca6b", "跃入迷城")</f>
        <v>跃入迷城</v>
      </c>
      <c r="U435" t="inlineStr">
        <is>
          <t>4d92b9af-66d1-4cd7-95d1-4b753a64ca6b</t>
        </is>
      </c>
      <c r="V435" t="inlineStr">
        <is>
          <t>712e9e2a-e9d4-497c-99bc-f3bc5b2934e0</t>
        </is>
      </c>
      <c r="W435"/>
      <c r="X435"/>
      <c r="Y435" t="inlineStr">
        <is>
          <t>e3d69f11-f540-4c21-b086-7537e7292dc4</t>
        </is>
      </c>
      <c r="Z435" t="inlineStr">
        <is>
          <t>0.0.5</t>
        </is>
      </c>
      <c r="AA435" t="inlineStr">
        <is>
          <t>平面美术</t>
        </is>
      </c>
      <c r="AB435" t="inlineStr">
        <is>
          <t>工作中</t>
        </is>
      </c>
      <c r="AC435"/>
      <c r="AD435" t="inlineStr">
        <is>
          <t>🎨艺术</t>
        </is>
      </c>
      <c r="AE435">
        <v>4</v>
      </c>
    </row>
    <row r="436" ht="25.5" customHeight="1">
      <c xml:space="preserve" r="A436" s="3" t="str">
        <f>=HYPERLINK("https://applink.feishu.cn/client/todo/detail?guid=ec9c1736-841a-4c8f-835c-3b81dc0827f2&amp;suite_entity_num=t101072", "电梯模型 &lt; ✨新增：墙壁、地面、门、窗、电梯制作了定制模型，以更好的呈现正式版本的视觉风格 ")</f>
        <v>电梯模型 &lt; ✨新增：墙壁、地面、门、窗、电梯制作了定制模型，以更好的呈现正式版本的视觉风格 </v>
      </c>
      <c r="B436"/>
      <c r="C436" t="inlineStr">
        <is>
          <t>默认分组</t>
        </is>
      </c>
      <c r="D436"/>
      <c r="E436">
        <v>1</v>
      </c>
      <c r="F436" t="inlineStr">
        <is>
          <t>陈吉瑞</t>
        </is>
      </c>
      <c r="G436" t="inlineStr">
        <is>
          <t>龚政涛</t>
        </is>
      </c>
      <c r="H436" s="4">
        <v>45895.487175925926</v>
      </c>
      <c r="I436" s="4"/>
      <c r="J436" s="4"/>
      <c r="K436" s="4">
        <v>45895.48847222222</v>
      </c>
      <c r="L436">
        <v>2</v>
      </c>
      <c r="M436">
        <v>0</v>
      </c>
      <c r="N436" t="inlineStr">
        <is>
          <t>NzQxMzM4ODg5NzkxNDY2NzAwOTplYzljMTczNi04NDFhLTRjOGYtODM1Yy0zYjgxZGMwODI3ZjI6NDVlZDBlMmFiNWQ4MWFmZDEzMWFmYzFiNmIwZmJmNWY6MQ==</t>
        </is>
      </c>
      <c r="O436" t="inlineStr">
        <is>
          <t>0</t>
        </is>
      </c>
      <c r="P436" t="inlineStr">
        <is>
          <t>或签任务</t>
        </is>
      </c>
      <c r="Q436" t="inlineStr">
        <is>
          <t>0</t>
        </is>
      </c>
      <c r="R436" t="inlineStr">
        <is>
          <t>龚政涛,陈吉瑞</t>
        </is>
      </c>
      <c r="S436" s="4"/>
      <c r="T436" s="3" t="str">
        <f>=HYPERLINK("https://applink.feishu.cn/client/todo/task_list?guid=4d92b9af-66d1-4cd7-95d1-4b753a64ca6b", "跃入迷城")</f>
        <v>跃入迷城</v>
      </c>
      <c r="U436" t="inlineStr">
        <is>
          <t>4d92b9af-66d1-4cd7-95d1-4b753a64ca6b</t>
        </is>
      </c>
      <c r="V436" t="inlineStr">
        <is>
          <t>ec9c1736-841a-4c8f-835c-3b81dc0827f2</t>
        </is>
      </c>
      <c r="W436"/>
      <c r="X436"/>
      <c r="Y436" t="inlineStr">
        <is>
          <t>b5b3cf09-e2af-4f6b-885e-c3afc23421c1</t>
        </is>
      </c>
      <c r="Z436" t="inlineStr">
        <is>
          <t>0.0.5</t>
        </is>
      </c>
      <c r="AA436" t="inlineStr">
        <is>
          <t>模型</t>
        </is>
      </c>
      <c r="AB436" t="inlineStr">
        <is>
          <t>已拆分</t>
        </is>
      </c>
      <c r="AC436"/>
      <c r="AD436" t="inlineStr">
        <is>
          <t>🎨艺术</t>
        </is>
      </c>
      <c r="AE436"/>
    </row>
    <row r="437" ht="25.5" customHeight="1">
      <c r="A437" s="3" t="str">
        <f>=HYPERLINK("https://applink.feishu.cn/client/todo/detail?guid=ba4c6245-4bdf-48ac-9d8a-9ee1e4abfee0&amp;suite_entity_num=t101070", "模型 &lt; 地面模型")</f>
        <v>模型 &lt; 地面模型</v>
      </c>
      <c r="B437"/>
      <c r="C437" t="inlineStr">
        <is>
          <t>默认分组</t>
        </is>
      </c>
      <c r="D437"/>
      <c r="E437"/>
      <c r="F437" t="inlineStr">
        <is>
          <t>陈吉瑞</t>
        </is>
      </c>
      <c r="G437" t="inlineStr">
        <is>
          <t>龚政涛</t>
        </is>
      </c>
      <c r="H437" s="4">
        <v>45895.483831018515</v>
      </c>
      <c r="I437" s="4">
        <v>45904.909050925926</v>
      </c>
      <c r="J437" s="4">
        <v>45897.333333333336</v>
      </c>
      <c r="K437" s="4">
        <v>45904.9090625</v>
      </c>
      <c r="L437">
        <v>0</v>
      </c>
      <c r="M437">
        <v>0</v>
      </c>
      <c r="N437" t="inlineStr">
        <is>
          <t>NzQxMzM4ODg5NzkxNDY2NzAwOTpiYTRjNjI0NS00YmRmLTQ4YWMtOWQ4YS05ZWUxZTRhYmZlZTA6Mzg1MWM2YWZjYjM3NDk3MmQyMTFkNTFjZDI1MzU3NDM6MQ==</t>
        </is>
      </c>
      <c r="O437" t="inlineStr">
        <is>
          <t>1</t>
        </is>
      </c>
      <c r="P437" t="inlineStr">
        <is>
          <t>或签任务</t>
        </is>
      </c>
      <c r="Q437" t="inlineStr">
        <is>
          <t>0</t>
        </is>
      </c>
      <c r="R437" t="inlineStr">
        <is>
          <t>龚政涛,陈吉瑞</t>
        </is>
      </c>
      <c r="S437" s="4">
        <v>45895.333333333336</v>
      </c>
      <c r="T437" s="3" t="str">
        <f>=HYPERLINK("https://applink.feishu.cn/client/todo/task_list?guid=4d92b9af-66d1-4cd7-95d1-4b753a64ca6b", "跃入迷城")</f>
        <v>跃入迷城</v>
      </c>
      <c r="U437" t="inlineStr">
        <is>
          <t>4d92b9af-66d1-4cd7-95d1-4b753a64ca6b</t>
        </is>
      </c>
      <c r="V437" t="inlineStr">
        <is>
          <t>ba4c6245-4bdf-48ac-9d8a-9ee1e4abfee0</t>
        </is>
      </c>
      <c r="W437"/>
      <c r="X437"/>
      <c r="Y437" t="inlineStr">
        <is>
          <t>70ba16f2-4136-4dbe-b044-6918afe6bf89</t>
        </is>
      </c>
      <c r="Z437" t="inlineStr">
        <is>
          <t>0.0.5</t>
        </is>
      </c>
      <c r="AA437" t="inlineStr">
        <is>
          <t>模型</t>
        </is>
      </c>
      <c r="AB437" t="inlineStr">
        <is>
          <t>工作中</t>
        </is>
      </c>
      <c r="AC437" t="inlineStr">
        <is>
          <t>P1 - Bigger the Better</t>
        </is>
      </c>
      <c r="AD437" t="inlineStr">
        <is>
          <t>🎨艺术</t>
        </is>
      </c>
      <c r="AE437">
        <v>1</v>
      </c>
    </row>
    <row r="438" ht="25.5" customHeight="1">
      <c r="A438" s="3" t="str">
        <f>=HYPERLINK("https://applink.feishu.cn/client/todo/detail?guid=73b16c90-7a23-44b2-819b-c40d1162ff1b&amp;suite_entity_num=t101064", "“陌生人”插图 &lt; 角色插图制作")</f>
        <v>“陌生人”插图 &lt; 角色插图制作</v>
      </c>
      <c r="B438"/>
      <c r="C438" t="inlineStr">
        <is>
          <t>默认分组</t>
        </is>
      </c>
      <c r="D438"/>
      <c r="E438">
        <v>1</v>
      </c>
      <c r="F438" t="inlineStr">
        <is>
          <t>瞿敬雄</t>
        </is>
      </c>
      <c r="G438" t="inlineStr">
        <is>
          <t>龚政涛</t>
        </is>
      </c>
      <c r="H438" s="4">
        <v>45895.47972222222</v>
      </c>
      <c r="I438" s="4">
        <v>45911.84359953704</v>
      </c>
      <c r="J438" s="4"/>
      <c r="K438" s="4">
        <v>45911.84357638889</v>
      </c>
      <c r="L438">
        <v>1</v>
      </c>
      <c r="M438">
        <v>0</v>
      </c>
      <c r="N438" t="inlineStr">
        <is>
          <t>NzQxMzM4ODg5NzkxNDY2NzAwOTo3M2IxNmM5MC03YTIzLTQ0YjItODE5Yi1jNDBkMTE2MmZmMWI6MWY5Mzg3MjA2ZDk3ZDUyYmQ1ZWE2NDBhYjhlMzFhNTU6MQ==</t>
        </is>
      </c>
      <c r="O438" t="inlineStr">
        <is>
          <t>1</t>
        </is>
      </c>
      <c r="P438" t="inlineStr">
        <is>
          <t>或签任务</t>
        </is>
      </c>
      <c r="Q438" t="inlineStr">
        <is>
          <t>0</t>
        </is>
      </c>
      <c r="R438" t="inlineStr">
        <is>
          <t>龚政涛,瞿敬雄</t>
        </is>
      </c>
      <c r="S438" s="4"/>
      <c r="T438" s="3" t="str">
        <f>=HYPERLINK("https://applink.feishu.cn/client/todo/task_list?guid=4d92b9af-66d1-4cd7-95d1-4b753a64ca6b", "跃入迷城")</f>
        <v>跃入迷城</v>
      </c>
      <c r="U438" t="inlineStr">
        <is>
          <t>4d92b9af-66d1-4cd7-95d1-4b753a64ca6b</t>
        </is>
      </c>
      <c r="V438" t="inlineStr">
        <is>
          <t>73b16c90-7a23-44b2-819b-c40d1162ff1b</t>
        </is>
      </c>
      <c r="W438"/>
      <c r="X438"/>
      <c r="Y438" t="inlineStr">
        <is>
          <t>cffa4f2c-fb50-49e2-aad9-4a85adbe2690</t>
        </is>
      </c>
      <c r="Z438" t="inlineStr">
        <is>
          <t>0.0.5</t>
        </is>
      </c>
      <c r="AA438" t="inlineStr">
        <is>
          <t>平面美术</t>
        </is>
      </c>
      <c r="AB438" t="inlineStr">
        <is>
          <t>已拆分</t>
        </is>
      </c>
      <c r="AC438"/>
      <c r="AD438" t="inlineStr">
        <is>
          <t>🎨艺术</t>
        </is>
      </c>
      <c r="AE438"/>
    </row>
    <row r="439" ht="25.5" customHeight="1">
      <c r="A439" s="3" t="str">
        <f>=HYPERLINK("https://applink.feishu.cn/client/todo/detail?guid=f1819784-3bce-408e-97e5-f52a01b778d2&amp;suite_entity_num=t101071", "贴图A &lt; 地面模型")</f>
        <v>贴图A &lt; 地面模型</v>
      </c>
      <c r="B439"/>
      <c r="C439" t="inlineStr">
        <is>
          <t>默认分组</t>
        </is>
      </c>
      <c r="D439"/>
      <c r="E439"/>
      <c r="F439" t="inlineStr">
        <is>
          <t>陈吉瑞</t>
        </is>
      </c>
      <c r="G439" t="inlineStr">
        <is>
          <t>龚政涛</t>
        </is>
      </c>
      <c r="H439" s="4">
        <v>45895.48386574074</v>
      </c>
      <c r="I439" s="4">
        <v>45904.90894675926</v>
      </c>
      <c r="J439" s="4">
        <v>45897.333333333336</v>
      </c>
      <c r="K439" s="4">
        <v>45904.90894675926</v>
      </c>
      <c r="L439">
        <v>0</v>
      </c>
      <c r="M439">
        <v>0</v>
      </c>
      <c r="N439" t="inlineStr">
        <is>
          <t>NzQxMzM4ODg5NzkxNDY2NzAwOTpmMTgxOTc4NC0zYmNlLTQwOGUtOTdlNS1mNTJhMDFiNzc4ZDI6ODQ1MjUxNzc3MzVmMmRhMDViZmM5ZTliMzNhOWUzNDM6MQ==</t>
        </is>
      </c>
      <c r="O439" t="inlineStr">
        <is>
          <t>1</t>
        </is>
      </c>
      <c r="P439" t="inlineStr">
        <is>
          <t>或签任务</t>
        </is>
      </c>
      <c r="Q439" t="inlineStr">
        <is>
          <t>0</t>
        </is>
      </c>
      <c r="R439" t="inlineStr">
        <is>
          <t>陈吉瑞,龚政涛</t>
        </is>
      </c>
      <c r="S439" s="4">
        <v>45895.333333333336</v>
      </c>
      <c r="T439" s="3" t="str">
        <f>=HYPERLINK("https://applink.feishu.cn/client/todo/task_list?guid=4d92b9af-66d1-4cd7-95d1-4b753a64ca6b", "跃入迷城")</f>
        <v>跃入迷城</v>
      </c>
      <c r="U439" t="inlineStr">
        <is>
          <t>4d92b9af-66d1-4cd7-95d1-4b753a64ca6b</t>
        </is>
      </c>
      <c r="V439" t="inlineStr">
        <is>
          <t>f1819784-3bce-408e-97e5-f52a01b778d2</t>
        </is>
      </c>
      <c r="W439"/>
      <c r="X439"/>
      <c r="Y439" t="inlineStr">
        <is>
          <t>70ba16f2-4136-4dbe-b044-6918afe6bf89</t>
        </is>
      </c>
      <c r="Z439" t="inlineStr">
        <is>
          <t>0.0.5</t>
        </is>
      </c>
      <c r="AA439" t="inlineStr">
        <is>
          <t>模型</t>
        </is>
      </c>
      <c r="AB439" t="inlineStr">
        <is>
          <t>工作中</t>
        </is>
      </c>
      <c r="AC439" t="inlineStr">
        <is>
          <t>P1 - Bigger the Better</t>
        </is>
      </c>
      <c r="AD439" t="inlineStr">
        <is>
          <t>🎨艺术</t>
        </is>
      </c>
      <c r="AE439">
        <v>2</v>
      </c>
    </row>
    <row r="440" ht="25.5" customHeight="1">
      <c r="A440" s="3" t="str">
        <f>=HYPERLINK("https://applink.feishu.cn/client/todo/detail?guid=54fd40ec-19a9-4c94-bd9c-21128f0e469a&amp;suite_entity_num=t101069", "贴图B &lt; 墙面模型")</f>
        <v>贴图B &lt; 墙面模型</v>
      </c>
      <c r="B440"/>
      <c r="C440" t="inlineStr">
        <is>
          <t>默认分组</t>
        </is>
      </c>
      <c r="D440"/>
      <c r="E440"/>
      <c r="F440" t="inlineStr">
        <is>
          <t>陈吉瑞</t>
        </is>
      </c>
      <c r="G440" t="inlineStr">
        <is>
          <t>龚政涛</t>
        </is>
      </c>
      <c r="H440" s="4">
        <v>45895.48349537037</v>
      </c>
      <c r="I440" s="4">
        <v>45896.51289351852</v>
      </c>
      <c r="J440" s="4">
        <v>45895.333333333336</v>
      </c>
      <c r="K440" s="4">
        <v>45896.51290509259</v>
      </c>
      <c r="L440">
        <v>0</v>
      </c>
      <c r="M440">
        <v>0</v>
      </c>
      <c r="N440" t="inlineStr">
        <is>
          <t>NzQxMzM4ODg5NzkxNDY2NzAwOTo1NGZkNDBlYy0xOWE5LTRjOTQtYmQ5Yy0yMTEyOGYwZTQ2OWE6ZmU1OGVkZTlmNGVmOWUxNzVkMzk3ZjJiZjhhMmQwZWY6MQ==</t>
        </is>
      </c>
      <c r="O440" t="inlineStr">
        <is>
          <t>1</t>
        </is>
      </c>
      <c r="P440" t="inlineStr">
        <is>
          <t>或签任务</t>
        </is>
      </c>
      <c r="Q440" t="inlineStr">
        <is>
          <t>0</t>
        </is>
      </c>
      <c r="R440" t="inlineStr">
        <is>
          <t>陈吉瑞,龚政涛</t>
        </is>
      </c>
      <c r="S440" s="4">
        <v>45895.333333333336</v>
      </c>
      <c r="T440" s="3" t="str">
        <f>=HYPERLINK("https://applink.feishu.cn/client/todo/task_list?guid=4d92b9af-66d1-4cd7-95d1-4b753a64ca6b", "跃入迷城")</f>
        <v>跃入迷城</v>
      </c>
      <c r="U440" t="inlineStr">
        <is>
          <t>4d92b9af-66d1-4cd7-95d1-4b753a64ca6b</t>
        </is>
      </c>
      <c r="V440" t="inlineStr">
        <is>
          <t>54fd40ec-19a9-4c94-bd9c-21128f0e469a</t>
        </is>
      </c>
      <c r="W440"/>
      <c r="X440"/>
      <c r="Y440" t="inlineStr">
        <is>
          <t>601c8e2a-259f-48ef-9a90-be92531e9aa1</t>
        </is>
      </c>
      <c r="Z440" t="inlineStr">
        <is>
          <t>0.0.5</t>
        </is>
      </c>
      <c r="AA440" t="inlineStr">
        <is>
          <t>模型</t>
        </is>
      </c>
      <c r="AB440" t="inlineStr">
        <is>
          <t>已完成</t>
        </is>
      </c>
      <c r="AC440"/>
      <c r="AD440" t="inlineStr">
        <is>
          <t>🎨艺术</t>
        </is>
      </c>
      <c r="AE440">
        <v>2</v>
      </c>
    </row>
    <row r="441" ht="25.5" customHeight="1">
      <c r="A441" s="3" t="str">
        <f>=HYPERLINK("https://applink.feishu.cn/client/todo/detail?guid=e82170db-82f6-4498-ad90-d07bfb60e614&amp;suite_entity_num=t101066", "艾莉亚 - 静态 - 1 &lt; 艾莉娅角色模型")</f>
        <v>艾莉亚 - 静态 - 1 &lt; 艾莉娅角色模型</v>
      </c>
      <c r="B441"/>
      <c r="C441" t="inlineStr">
        <is>
          <t>默认分组</t>
        </is>
      </c>
      <c r="D441"/>
      <c r="E441"/>
      <c r="F441"/>
      <c r="G441" t="inlineStr">
        <is>
          <t>龚政涛</t>
        </is>
      </c>
      <c r="H441" s="4">
        <v>45895.481354166666</v>
      </c>
      <c r="I441" s="4">
        <v>45895.48168981481</v>
      </c>
      <c r="J441" s="4">
        <v>45890.333333333336</v>
      </c>
      <c r="K441" s="4">
        <v>45895.48186342593</v>
      </c>
      <c r="L441">
        <v>0</v>
      </c>
      <c r="M441">
        <v>0</v>
      </c>
      <c r="N441" t="inlineStr">
        <is>
          <t>NzQxMzM4ODg5NzkxNDY2NzAwOTplODIxNzBkYi04MmY2LTQ0OTgtYWQ5MC1kMDdiZmI2MGU2MTQ6M2M5OGI0ZWJlMmE3MWIzYzZhNDk3MTZiY2UyNzNmNWQ6MQ==</t>
        </is>
      </c>
      <c r="O441" t="inlineStr">
        <is>
          <t>1</t>
        </is>
      </c>
      <c r="P441" t="inlineStr">
        <is>
          <t>或签任务</t>
        </is>
      </c>
      <c r="Q441" t="inlineStr">
        <is>
          <t>0</t>
        </is>
      </c>
      <c r="R441" t="inlineStr">
        <is>
          <t>龚政涛</t>
        </is>
      </c>
      <c r="S441" s="4">
        <v>45890.333333333336</v>
      </c>
      <c r="T441" s="3" t="str">
        <f>=HYPERLINK("https://applink.feishu.cn/client/todo/task_list?guid=4d92b9af-66d1-4cd7-95d1-4b753a64ca6b", "跃入迷城")</f>
        <v>跃入迷城</v>
      </c>
      <c r="U441" t="inlineStr">
        <is>
          <t>4d92b9af-66d1-4cd7-95d1-4b753a64ca6b</t>
        </is>
      </c>
      <c r="V441" t="inlineStr">
        <is>
          <t>e82170db-82f6-4498-ad90-d07bfb60e614</t>
        </is>
      </c>
      <c r="W441"/>
      <c r="X441"/>
      <c r="Y441" t="inlineStr">
        <is>
          <t>b95ed6b3-b4ac-4c3e-9e75-a94ee2d2ab42</t>
        </is>
      </c>
      <c r="Z441" t="inlineStr">
        <is>
          <t>0.0.5</t>
        </is>
      </c>
      <c r="AA441" t="inlineStr">
        <is>
          <t>模型</t>
        </is>
      </c>
      <c r="AB441" t="inlineStr">
        <is>
          <t>已完成</t>
        </is>
      </c>
      <c r="AC441"/>
      <c r="AD441" t="inlineStr">
        <is>
          <t>🎨艺术</t>
        </is>
      </c>
      <c r="AE441">
        <v>4</v>
      </c>
    </row>
    <row r="442" ht="25.5" customHeight="1">
      <c r="A442" s="3" t="str">
        <f>=HYPERLINK("https://applink.feishu.cn/client/todo/detail?guid=1bcc8e33-3c85-493b-a444-26e53923e8da&amp;suite_entity_num=t101074", "贴图A &lt; 电梯模型")</f>
        <v>贴图A &lt; 电梯模型</v>
      </c>
      <c r="B442"/>
      <c r="C442" t="inlineStr">
        <is>
          <t>默认分组</t>
        </is>
      </c>
      <c r="D442"/>
      <c r="E442"/>
      <c r="F442" t="inlineStr">
        <is>
          <t>陈吉瑞</t>
        </is>
      </c>
      <c r="G442" t="inlineStr">
        <is>
          <t>龚政涛</t>
        </is>
      </c>
      <c r="H442" s="4">
        <v>45895.487442129626</v>
      </c>
      <c r="I442" s="4">
        <v>45896.51269675926</v>
      </c>
      <c r="J442" s="4">
        <v>45895.333333333336</v>
      </c>
      <c r="K442" s="4">
        <v>45896.512708333335</v>
      </c>
      <c r="L442">
        <v>0</v>
      </c>
      <c r="M442">
        <v>0</v>
      </c>
      <c r="N442" t="inlineStr">
        <is>
          <t>NzQxMzM4ODg5NzkxNDY2NzAwOToxYmNjOGUzMy0zYzg1LTQ5M2ItYTQ0NC0yNmU1MzkyM2U4ZGE6MDM0MzliNDdlOTdhMWM5YzVkOWEyYmNkNmU4YTk5ZGM6MQ==</t>
        </is>
      </c>
      <c r="O442" t="inlineStr">
        <is>
          <t>1</t>
        </is>
      </c>
      <c r="P442" t="inlineStr">
        <is>
          <t>或签任务</t>
        </is>
      </c>
      <c r="Q442" t="inlineStr">
        <is>
          <t>0</t>
        </is>
      </c>
      <c r="R442" t="inlineStr">
        <is>
          <t>龚政涛,陈吉瑞</t>
        </is>
      </c>
      <c r="S442" s="4">
        <v>45895.333333333336</v>
      </c>
      <c r="T442" s="3" t="str">
        <f>=HYPERLINK("https://applink.feishu.cn/client/todo/task_list?guid=4d92b9af-66d1-4cd7-95d1-4b753a64ca6b", "跃入迷城")</f>
        <v>跃入迷城</v>
      </c>
      <c r="U442" t="inlineStr">
        <is>
          <t>4d92b9af-66d1-4cd7-95d1-4b753a64ca6b</t>
        </is>
      </c>
      <c r="V442" t="inlineStr">
        <is>
          <t>1bcc8e33-3c85-493b-a444-26e53923e8da</t>
        </is>
      </c>
      <c r="W442"/>
      <c r="X442"/>
      <c r="Y442" t="inlineStr">
        <is>
          <t>ec9c1736-841a-4c8f-835c-3b81dc0827f2</t>
        </is>
      </c>
      <c r="Z442" t="inlineStr">
        <is>
          <t>0.0.5</t>
        </is>
      </c>
      <c r="AA442" t="inlineStr">
        <is>
          <t>模型</t>
        </is>
      </c>
      <c r="AB442" t="inlineStr">
        <is>
          <t>已完成</t>
        </is>
      </c>
      <c r="AC442"/>
      <c r="AD442" t="inlineStr">
        <is>
          <t>🎨艺术</t>
        </is>
      </c>
      <c r="AE442">
        <v>1</v>
      </c>
    </row>
    <row r="443" ht="25.5" customHeight="1">
      <c r="A443" s="3" t="str">
        <f>=HYPERLINK("https://applink.feishu.cn/client/todo/detail?guid=271ad8c8-f726-4d20-adbe-3b226a8734f9&amp;suite_entity_num=t101067", "艾莉亚 - 静态 - 2 &lt; 艾莉娅角色模型")</f>
        <v>艾莉亚 - 静态 - 2 &lt; 艾莉娅角色模型</v>
      </c>
      <c r="B443"/>
      <c r="C443" t="inlineStr">
        <is>
          <t>默认分组</t>
        </is>
      </c>
      <c r="D443"/>
      <c r="E443"/>
      <c r="F443"/>
      <c r="G443" t="inlineStr">
        <is>
          <t>龚政涛</t>
        </is>
      </c>
      <c r="H443" s="4">
        <v>45895.48138888889</v>
      </c>
      <c r="I443" s="4">
        <v>45897.974386574075</v>
      </c>
      <c r="J443" s="4">
        <v>45896.333333333336</v>
      </c>
      <c r="K443" s="4">
        <v>45897.97439814815</v>
      </c>
      <c r="L443">
        <v>0</v>
      </c>
      <c r="M443">
        <v>0</v>
      </c>
      <c r="N443" t="inlineStr">
        <is>
          <t>NzQxMzM4ODg5NzkxNDY2NzAwOToyNzFhZDhjOC1mNzI2LTRkMjAtYWRiZS0zYjIyNmE4NzM0Zjk6ODFmNTg2N2RmMjVkZDA5MjA4YWQzMDFmMGE1NDk1ODE6MQ==</t>
        </is>
      </c>
      <c r="O443" t="inlineStr">
        <is>
          <t>1</t>
        </is>
      </c>
      <c r="P443" t="inlineStr">
        <is>
          <t>或签任务</t>
        </is>
      </c>
      <c r="Q443" t="inlineStr">
        <is>
          <t>0</t>
        </is>
      </c>
      <c r="R443" t="inlineStr">
        <is>
          <t>龚政涛</t>
        </is>
      </c>
      <c r="S443" s="4">
        <v>45896.333333333336</v>
      </c>
      <c r="T443" s="3" t="str">
        <f>=HYPERLINK("https://applink.feishu.cn/client/todo/task_list?guid=4d92b9af-66d1-4cd7-95d1-4b753a64ca6b", "跃入迷城")</f>
        <v>跃入迷城</v>
      </c>
      <c r="U443" t="inlineStr">
        <is>
          <t>4d92b9af-66d1-4cd7-95d1-4b753a64ca6b</t>
        </is>
      </c>
      <c r="V443" t="inlineStr">
        <is>
          <t>271ad8c8-f726-4d20-adbe-3b226a8734f9</t>
        </is>
      </c>
      <c r="W443"/>
      <c r="X443"/>
      <c r="Y443" t="inlineStr">
        <is>
          <t>b95ed6b3-b4ac-4c3e-9e75-a94ee2d2ab42</t>
        </is>
      </c>
      <c r="Z443" t="inlineStr">
        <is>
          <t>0.0.5</t>
        </is>
      </c>
      <c r="AA443" t="inlineStr">
        <is>
          <t>模型</t>
        </is>
      </c>
      <c r="AB443" t="inlineStr">
        <is>
          <t>已废弃</t>
        </is>
      </c>
      <c r="AC443"/>
      <c r="AD443" t="inlineStr">
        <is>
          <t>🎨艺术</t>
        </is>
      </c>
      <c r="AE443">
        <v>2</v>
      </c>
    </row>
    <row r="444" ht="25.5" customHeight="1">
      <c r="A444" s="3" t="str">
        <f>=HYPERLINK("https://applink.feishu.cn/client/todo/detail?guid=666240b8-c59e-4c89-97fb-c0f1448225c4&amp;suite_entity_num=t101061", "绘制P2 - 1 &lt; https://dikpa4hrtn9.feishu.cn/wiki/HqAOwpqMEiXjYjkdDjic89CZnmb插图")</f>
        <v>绘制P2 - 1 &lt; https://dikpa4hrtn9.feishu.cn/wiki/HqAOwpqMEiXjYjkdDjic89CZnmb插图</v>
      </c>
      <c r="B444"/>
      <c r="C444" t="inlineStr">
        <is>
          <t>默认分组</t>
        </is>
      </c>
      <c r="D444"/>
      <c r="E444"/>
      <c r="F444" t="inlineStr">
        <is>
          <t>瞿敬雄</t>
        </is>
      </c>
      <c r="G444" t="inlineStr">
        <is>
          <t>龚政涛</t>
        </is>
      </c>
      <c r="H444" s="4">
        <v>45895.47287037037</v>
      </c>
      <c r="I444" s="4">
        <v>45896.50034722222</v>
      </c>
      <c r="J444" s="4">
        <v>45895.333333333336</v>
      </c>
      <c r="K444" s="4">
        <v>45896.50035879629</v>
      </c>
      <c r="L444">
        <v>0</v>
      </c>
      <c r="M444">
        <v>1</v>
      </c>
      <c r="N444" t="inlineStr">
        <is>
          <t>NzQxMzM4ODg5NzkxNDY2NzAwOTo2NjYyNDBiOC1jNTllLTRjODktOTdmYi1jMGYxNDQ4MjI1YzQ6NTlkNGUwMGFlMDc1MDQ0OWQ5M2NlOTVhOWRjMjQ2Mzg6MQ==</t>
        </is>
      </c>
      <c r="O444" t="inlineStr">
        <is>
          <t>1</t>
        </is>
      </c>
      <c r="P444" t="inlineStr">
        <is>
          <t>或签任务</t>
        </is>
      </c>
      <c r="Q444" t="inlineStr">
        <is>
          <t>0</t>
        </is>
      </c>
      <c r="R444" t="inlineStr">
        <is>
          <t>龚政涛,瞿敬雄</t>
        </is>
      </c>
      <c r="S444" s="4">
        <v>45895.333333333336</v>
      </c>
      <c r="T444" s="3" t="str">
        <f>=HYPERLINK("https://applink.feishu.cn/client/todo/task_list?guid=4d92b9af-66d1-4cd7-95d1-4b753a64ca6b", "跃入迷城")</f>
        <v>跃入迷城</v>
      </c>
      <c r="U444" t="inlineStr">
        <is>
          <t>4d92b9af-66d1-4cd7-95d1-4b753a64ca6b</t>
        </is>
      </c>
      <c r="V444" t="inlineStr">
        <is>
          <t>666240b8-c59e-4c89-97fb-c0f1448225c4</t>
        </is>
      </c>
      <c r="W444"/>
      <c r="X444"/>
      <c r="Y444" t="inlineStr">
        <is>
          <t>e3d69f11-f540-4c21-b086-7537e7292dc4</t>
        </is>
      </c>
      <c r="Z444" t="inlineStr">
        <is>
          <t>0.0.5</t>
        </is>
      </c>
      <c r="AA444" t="inlineStr">
        <is>
          <t>平面美术</t>
        </is>
      </c>
      <c r="AB444" t="inlineStr">
        <is>
          <t>已完成</t>
        </is>
      </c>
      <c r="AC444" t="inlineStr">
        <is>
          <t>P0 - Must (not) Have</t>
        </is>
      </c>
      <c r="AD444" t="inlineStr">
        <is>
          <t>🎨艺术</t>
        </is>
      </c>
      <c r="AE444">
        <v>4</v>
      </c>
    </row>
    <row r="445" ht="25.5" customHeight="1">
      <c r="A445" s="3" t="str">
        <f>=HYPERLINK("https://applink.feishu.cn/client/todo/detail?guid=f93775ef-98c3-42ad-a519-a0d64ec6170f&amp;suite_entity_num=t101062", "绘制电磁弩线稿 &lt; https://dikpa4hrtn9.feishu.cn/wiki/HqAOwpqMEiXjYjkdDjic89CZnmb插图")</f>
        <v>绘制电磁弩线稿 &lt; https://dikpa4hrtn9.feishu.cn/wiki/HqAOwpqMEiXjYjkdDjic89CZnmb插图</v>
      </c>
      <c r="B445"/>
      <c r="C445" t="inlineStr">
        <is>
          <t>默认分组</t>
        </is>
      </c>
      <c r="D445"/>
      <c r="E445"/>
      <c r="F445" t="inlineStr">
        <is>
          <t>瞿敬雄</t>
        </is>
      </c>
      <c r="G445" t="inlineStr">
        <is>
          <t>龚政涛</t>
        </is>
      </c>
      <c r="H445" s="4">
        <v>45895.47850694445</v>
      </c>
      <c r="I445" s="4">
        <v>45897.97483796296</v>
      </c>
      <c r="J445" s="4">
        <v>45896.333333333336</v>
      </c>
      <c r="K445" s="4">
        <v>45897.97483796296</v>
      </c>
      <c r="L445">
        <v>0</v>
      </c>
      <c r="M445">
        <v>0</v>
      </c>
      <c r="N445" t="inlineStr">
        <is>
          <t>NzQxMzM4ODg5NzkxNDY2NzAwOTpmOTM3NzVlZi05OGMzLTQyYWQtYTUxOS1hMGQ2NGVjNjE3MGY6MGE0OWFmZTI5NzY4YWQzODFmNmZmNTFiMTI5NjczYWI6MQ==</t>
        </is>
      </c>
      <c r="O445" t="inlineStr">
        <is>
          <t>1</t>
        </is>
      </c>
      <c r="P445" t="inlineStr">
        <is>
          <t>或签任务</t>
        </is>
      </c>
      <c r="Q445" t="inlineStr">
        <is>
          <t>0</t>
        </is>
      </c>
      <c r="R445" t="inlineStr">
        <is>
          <t>瞿敬雄,龚政涛</t>
        </is>
      </c>
      <c r="S445" s="4">
        <v>45895.333333333336</v>
      </c>
      <c r="T445" s="3" t="str">
        <f>=HYPERLINK("https://applink.feishu.cn/client/todo/task_list?guid=4d92b9af-66d1-4cd7-95d1-4b753a64ca6b", "跃入迷城")</f>
        <v>跃入迷城</v>
      </c>
      <c r="U445" t="inlineStr">
        <is>
          <t>4d92b9af-66d1-4cd7-95d1-4b753a64ca6b</t>
        </is>
      </c>
      <c r="V445" t="inlineStr">
        <is>
          <t>f93775ef-98c3-42ad-a519-a0d64ec6170f</t>
        </is>
      </c>
      <c r="W445"/>
      <c r="X445"/>
      <c r="Y445" t="inlineStr">
        <is>
          <t>e3d69f11-f540-4c21-b086-7537e7292dc4</t>
        </is>
      </c>
      <c r="Z445" t="inlineStr">
        <is>
          <t>0.0.5</t>
        </is>
      </c>
      <c r="AA445" t="inlineStr">
        <is>
          <t>平面美术</t>
        </is>
      </c>
      <c r="AB445" t="inlineStr">
        <is>
          <t>已完成</t>
        </is>
      </c>
      <c r="AC445"/>
      <c r="AD445" t="inlineStr">
        <is>
          <t>🎨艺术</t>
        </is>
      </c>
      <c r="AE445">
        <v>4</v>
      </c>
    </row>
    <row r="446" ht="25.5" customHeight="1">
      <c r="A446" s="3" t="str">
        <f>=HYPERLINK("https://applink.feishu.cn/client/todo/detail?guid=431a4afd-fc5f-46d4-896b-22b992d1dc02&amp;suite_entity_num=t101063", "绘制P3 &lt; https://dikpa4hrtn9.feishu.cn/wiki/HqAOwpqMEiXjYjkdDjic89CZnmb插图")</f>
        <v>绘制P3 &lt; https://dikpa4hrtn9.feishu.cn/wiki/HqAOwpqMEiXjYjkdDjic89CZnmb插图</v>
      </c>
      <c r="B446"/>
      <c r="C446" t="inlineStr">
        <is>
          <t>默认分组</t>
        </is>
      </c>
      <c r="D446"/>
      <c r="E446"/>
      <c r="F446" t="inlineStr">
        <is>
          <t>瞿敬雄</t>
        </is>
      </c>
      <c r="G446" t="inlineStr">
        <is>
          <t>龚政涛</t>
        </is>
      </c>
      <c r="H446" s="4">
        <v>45895.47887731482</v>
      </c>
      <c r="I446" s="4">
        <v>45904.90920138889</v>
      </c>
      <c r="J446" s="4">
        <v>45897.333333333336</v>
      </c>
      <c r="K446" s="4">
        <v>45904.90920138889</v>
      </c>
      <c r="L446">
        <v>0</v>
      </c>
      <c r="M446">
        <v>2</v>
      </c>
      <c r="N446" t="inlineStr">
        <is>
          <t>NzQxMzM4ODg5NzkxNDY2NzAwOTo0MzFhNGFmZC1mYzVmLTQ2ZDQtODk2Yi0yMmI5OTJkMWRjMDI6N2UyN2VhMmZmOWFlZThkYjZjNTZjZTJhYzRiNDJlMjU6MQ==</t>
        </is>
      </c>
      <c r="O446" t="inlineStr">
        <is>
          <t>1</t>
        </is>
      </c>
      <c r="P446" t="inlineStr">
        <is>
          <t>或签任务</t>
        </is>
      </c>
      <c r="Q446" t="inlineStr">
        <is>
          <t>0</t>
        </is>
      </c>
      <c r="R446" t="inlineStr">
        <is>
          <t>龚政涛,瞿敬雄</t>
        </is>
      </c>
      <c r="S446" s="4">
        <v>45895.333333333336</v>
      </c>
      <c r="T446" s="3" t="str">
        <f>=HYPERLINK("https://applink.feishu.cn/client/todo/task_list?guid=4d92b9af-66d1-4cd7-95d1-4b753a64ca6b", "跃入迷城")</f>
        <v>跃入迷城</v>
      </c>
      <c r="U446" t="inlineStr">
        <is>
          <t>4d92b9af-66d1-4cd7-95d1-4b753a64ca6b</t>
        </is>
      </c>
      <c r="V446" t="inlineStr">
        <is>
          <t>431a4afd-fc5f-46d4-896b-22b992d1dc02</t>
        </is>
      </c>
      <c r="W446"/>
      <c r="X446"/>
      <c r="Y446" t="inlineStr">
        <is>
          <t>e3d69f11-f540-4c21-b086-7537e7292dc4</t>
        </is>
      </c>
      <c r="Z446" t="inlineStr">
        <is>
          <t>0.0.5</t>
        </is>
      </c>
      <c r="AA446" t="inlineStr">
        <is>
          <t>平面美术</t>
        </is>
      </c>
      <c r="AB446" t="inlineStr">
        <is>
          <t>已废弃</t>
        </is>
      </c>
      <c r="AC446"/>
      <c r="AD446" t="inlineStr">
        <is>
          <t>🎨艺术</t>
        </is>
      </c>
      <c r="AE446">
        <v>4</v>
      </c>
    </row>
    <row r="447" ht="25.5" customHeight="1">
      <c r="A447" s="3" t="str">
        <f>=HYPERLINK("https://applink.feishu.cn/client/todo/detail?guid=5177bc0c-61b5-463e-bef4-414bbe9e91d3&amp;suite_entity_num=t101073", "模型 &lt; 电梯模型")</f>
        <v>模型 &lt; 电梯模型</v>
      </c>
      <c r="B447"/>
      <c r="C447" t="inlineStr">
        <is>
          <t>默认分组</t>
        </is>
      </c>
      <c r="D447"/>
      <c r="E447"/>
      <c r="F447" t="inlineStr">
        <is>
          <t>陈吉瑞</t>
        </is>
      </c>
      <c r="G447" t="inlineStr">
        <is>
          <t>龚政涛</t>
        </is>
      </c>
      <c r="H447" s="4">
        <v>45895.48740740741</v>
      </c>
      <c r="I447" s="4">
        <v>45896.51274305556</v>
      </c>
      <c r="J447" s="4">
        <v>45895.333333333336</v>
      </c>
      <c r="K447" s="4">
        <v>45896.51275462963</v>
      </c>
      <c r="L447">
        <v>0</v>
      </c>
      <c r="M447">
        <v>0</v>
      </c>
      <c r="N447" t="inlineStr">
        <is>
          <t>NzQxMzM4ODg5NzkxNDY2NzAwOTo1MTc3YmMwYy02MWI1LTQ2M2UtYmVmNC00MTRiYmU5ZTkxZDM6Yzg4ZjA1NWQ0ZWY4ZGMzYjJiNzdiYWMwYzYxMmY0YWU6MQ==</t>
        </is>
      </c>
      <c r="O447" t="inlineStr">
        <is>
          <t>1</t>
        </is>
      </c>
      <c r="P447" t="inlineStr">
        <is>
          <t>或签任务</t>
        </is>
      </c>
      <c r="Q447" t="inlineStr">
        <is>
          <t>0</t>
        </is>
      </c>
      <c r="R447" t="inlineStr">
        <is>
          <t>龚政涛,陈吉瑞</t>
        </is>
      </c>
      <c r="S447" s="4">
        <v>45895.333333333336</v>
      </c>
      <c r="T447" s="3" t="str">
        <f>=HYPERLINK("https://applink.feishu.cn/client/todo/task_list?guid=4d92b9af-66d1-4cd7-95d1-4b753a64ca6b", "跃入迷城")</f>
        <v>跃入迷城</v>
      </c>
      <c r="U447" t="inlineStr">
        <is>
          <t>4d92b9af-66d1-4cd7-95d1-4b753a64ca6b</t>
        </is>
      </c>
      <c r="V447" t="inlineStr">
        <is>
          <t>5177bc0c-61b5-463e-bef4-414bbe9e91d3</t>
        </is>
      </c>
      <c r="W447"/>
      <c r="X447"/>
      <c r="Y447" t="inlineStr">
        <is>
          <t>ec9c1736-841a-4c8f-835c-3b81dc0827f2</t>
        </is>
      </c>
      <c r="Z447" t="inlineStr">
        <is>
          <t>0.0.5</t>
        </is>
      </c>
      <c r="AA447" t="inlineStr">
        <is>
          <t>模型</t>
        </is>
      </c>
      <c r="AB447" t="inlineStr">
        <is>
          <t>已完成</t>
        </is>
      </c>
      <c r="AC447"/>
      <c r="AD447" t="inlineStr">
        <is>
          <t>🎨艺术</t>
        </is>
      </c>
      <c r="AE447">
        <v>2</v>
      </c>
    </row>
    <row r="448" ht="25.5" customHeight="1">
      <c r="A448" s="3" t="str">
        <f>=HYPERLINK("https://applink.feishu.cn/client/todo/detail?guid=f9be6742-49d8-44e3-bf7d-a2521e920e91&amp;suite_entity_num=t101065", "寻找参考 &lt; “陌生人”插图")</f>
        <v>寻找参考 &lt; “陌生人”插图</v>
      </c>
      <c r="B448"/>
      <c r="C448" t="inlineStr">
        <is>
          <t>默认分组</t>
        </is>
      </c>
      <c r="D448"/>
      <c r="E448"/>
      <c r="F448" t="inlineStr">
        <is>
          <t>瞿敬雄</t>
        </is>
      </c>
      <c r="G448" t="inlineStr">
        <is>
          <t>龚政涛</t>
        </is>
      </c>
      <c r="H448" s="4">
        <v>45895.48011574074</v>
      </c>
      <c r="I448" s="4">
        <v>45897.974490740744</v>
      </c>
      <c r="J448" s="4">
        <v>45896.333333333336</v>
      </c>
      <c r="K448" s="4">
        <v>45897.974490740744</v>
      </c>
      <c r="L448">
        <v>0</v>
      </c>
      <c r="M448">
        <v>1</v>
      </c>
      <c r="N448" t="inlineStr">
        <is>
          <t>NzQxMzM4ODg5NzkxNDY2NzAwOTpmOWJlNjc0Mi00OWQ4LTQ0ZTMtYmY3ZC1hMjUyMWU5MjBlOTE6YjA2MzgxOWQ0YjYxNDUxYmQ2NjhlZWIyMjhkZDg4MTY6MQ==</t>
        </is>
      </c>
      <c r="O448" t="inlineStr">
        <is>
          <t>1</t>
        </is>
      </c>
      <c r="P448" t="inlineStr">
        <is>
          <t>或签任务</t>
        </is>
      </c>
      <c r="Q448" t="inlineStr">
        <is>
          <t>0</t>
        </is>
      </c>
      <c r="R448" t="inlineStr">
        <is>
          <t>龚政涛,瞿敬雄</t>
        </is>
      </c>
      <c r="S448" s="4">
        <v>45895.333333333336</v>
      </c>
      <c r="T448" s="3" t="str">
        <f>=HYPERLINK("https://applink.feishu.cn/client/todo/task_list?guid=4d92b9af-66d1-4cd7-95d1-4b753a64ca6b", "跃入迷城")</f>
        <v>跃入迷城</v>
      </c>
      <c r="U448" t="inlineStr">
        <is>
          <t>4d92b9af-66d1-4cd7-95d1-4b753a64ca6b</t>
        </is>
      </c>
      <c r="V448" t="inlineStr">
        <is>
          <t>f9be6742-49d8-44e3-bf7d-a2521e920e91</t>
        </is>
      </c>
      <c r="W448"/>
      <c r="X448"/>
      <c r="Y448" t="inlineStr">
        <is>
          <t>73b16c90-7a23-44b2-819b-c40d1162ff1b</t>
        </is>
      </c>
      <c r="Z448" t="inlineStr">
        <is>
          <t>0.0.5</t>
        </is>
      </c>
      <c r="AA448" t="inlineStr">
        <is>
          <t>平面美术</t>
        </is>
      </c>
      <c r="AB448" t="inlineStr">
        <is>
          <t>已完成</t>
        </is>
      </c>
      <c r="AC448"/>
      <c r="AD448" t="inlineStr">
        <is>
          <t>🎨艺术</t>
        </is>
      </c>
      <c r="AE448">
        <v>1</v>
      </c>
    </row>
    <row r="449" ht="25.5" customHeight="1">
      <c r="A449" s="3" t="str">
        <f>=HYPERLINK("https://applink.feishu.cn/client/todo/detail?guid=50add134-95af-46ae-a847-c41e79dec0b8&amp;suite_entity_num=t101068", "贴图A &lt; 墙面模型")</f>
        <v>贴图A &lt; 墙面模型</v>
      </c>
      <c r="B449"/>
      <c r="C449" t="inlineStr">
        <is>
          <t>默认分组</t>
        </is>
      </c>
      <c r="D449"/>
      <c r="E449"/>
      <c r="F449" t="inlineStr">
        <is>
          <t>陈吉瑞</t>
        </is>
      </c>
      <c r="G449" t="inlineStr">
        <is>
          <t>龚政涛</t>
        </is>
      </c>
      <c r="H449" s="4">
        <v>45895.483449074076</v>
      </c>
      <c r="I449" s="4">
        <v>45895.48369212963</v>
      </c>
      <c r="J449" s="4">
        <v>45894.333333333336</v>
      </c>
      <c r="K449" s="4">
        <v>45895.48849537037</v>
      </c>
      <c r="L449">
        <v>0</v>
      </c>
      <c r="M449">
        <v>0</v>
      </c>
      <c r="N449" t="inlineStr">
        <is>
          <t>NzQxMzM4ODg5NzkxNDY2NzAwOTo1MGFkZDEzNC05NWFmLTQ2YWUtYTg0Ny1jNDFlNzlkZWMwYjg6ZTJjMjAwZjVlYzE2ODgwYWVlMTg0Y2I3MjBjYmZkYzY6MQ==</t>
        </is>
      </c>
      <c r="O449" t="inlineStr">
        <is>
          <t>1</t>
        </is>
      </c>
      <c r="P449" t="inlineStr">
        <is>
          <t>或签任务</t>
        </is>
      </c>
      <c r="Q449" t="inlineStr">
        <is>
          <t>0</t>
        </is>
      </c>
      <c r="R449" t="inlineStr">
        <is>
          <t>龚政涛,陈吉瑞</t>
        </is>
      </c>
      <c r="S449" s="4">
        <v>45894.333333333336</v>
      </c>
      <c r="T449" s="3" t="str">
        <f>=HYPERLINK("https://applink.feishu.cn/client/todo/task_list?guid=4d92b9af-66d1-4cd7-95d1-4b753a64ca6b", "跃入迷城")</f>
        <v>跃入迷城</v>
      </c>
      <c r="U449" t="inlineStr">
        <is>
          <t>4d92b9af-66d1-4cd7-95d1-4b753a64ca6b</t>
        </is>
      </c>
      <c r="V449" t="inlineStr">
        <is>
          <t>50add134-95af-46ae-a847-c41e79dec0b8</t>
        </is>
      </c>
      <c r="W449"/>
      <c r="X449"/>
      <c r="Y449" t="inlineStr">
        <is>
          <t>601c8e2a-259f-48ef-9a90-be92531e9aa1</t>
        </is>
      </c>
      <c r="Z449" t="inlineStr">
        <is>
          <t>0.0.5</t>
        </is>
      </c>
      <c r="AA449" t="inlineStr">
        <is>
          <t>模型</t>
        </is>
      </c>
      <c r="AB449" t="inlineStr">
        <is>
          <t>已完成</t>
        </is>
      </c>
      <c r="AC449"/>
      <c r="AD449" t="inlineStr">
        <is>
          <t>🎨艺术</t>
        </is>
      </c>
      <c r="AE449">
        <v>2</v>
      </c>
    </row>
    <row r="450" ht="25.5" customHeight="1">
      <c r="A450" s="3" t="str">
        <f>=HYPERLINK("https://applink.feishu.cn/client/todo/detail?guid=d7ccf90c-8d50-4196-b003-afd288007c78&amp;suite_entity_num=t101084", "调整选中特效 &lt; 仓库 - 安全屋")</f>
        <v>调整选中特效 &lt; 仓库 - 安全屋</v>
      </c>
      <c r="B450"/>
      <c r="C450" t="inlineStr">
        <is>
          <t>默认分组</t>
        </is>
      </c>
      <c r="D450"/>
      <c r="E450"/>
      <c r="F450" t="inlineStr">
        <is>
          <t>郭斯已</t>
        </is>
      </c>
      <c r="G450" t="inlineStr">
        <is>
          <t>龚政涛</t>
        </is>
      </c>
      <c r="H450" s="4">
        <v>45895.49894675926</v>
      </c>
      <c r="I450" s="4">
        <v>45896.507199074076</v>
      </c>
      <c r="J450" s="4">
        <v>45895.333333333336</v>
      </c>
      <c r="K450" s="4">
        <v>45896.507210648146</v>
      </c>
      <c r="L450">
        <v>0</v>
      </c>
      <c r="M450">
        <v>0</v>
      </c>
      <c r="N450" t="inlineStr">
        <is>
          <t>NzQxMzM4ODg5NzkxNDY2NzAwOTpkN2NjZjkwYy04ZDUwLTQxOTYtYjAwMy1hZmQyODgwMDdjNzg6NWVkN2EyZjMzYzk5NWE1NTIwZDZhYzEzY2I0ZmQwNGY6MQ==</t>
        </is>
      </c>
      <c r="O450" t="inlineStr">
        <is>
          <t>1</t>
        </is>
      </c>
      <c r="P450" t="inlineStr">
        <is>
          <t>或签任务</t>
        </is>
      </c>
      <c r="Q450" t="inlineStr">
        <is>
          <t>0</t>
        </is>
      </c>
      <c r="R450" t="inlineStr">
        <is>
          <t>龚政涛,郭斯已</t>
        </is>
      </c>
      <c r="S450" s="4">
        <v>45895.333333333336</v>
      </c>
      <c r="T450" s="3" t="str">
        <f>=HYPERLINK("https://applink.feishu.cn/client/todo/task_list?guid=4d92b9af-66d1-4cd7-95d1-4b753a64ca6b", "跃入迷城")</f>
        <v>跃入迷城</v>
      </c>
      <c r="U450" t="inlineStr">
        <is>
          <t>4d92b9af-66d1-4cd7-95d1-4b753a64ca6b</t>
        </is>
      </c>
      <c r="V450" t="inlineStr">
        <is>
          <t>d7ccf90c-8d50-4196-b003-afd288007c78</t>
        </is>
      </c>
      <c r="W450"/>
      <c r="X450"/>
      <c r="Y450" t="inlineStr">
        <is>
          <t>a050c946-a0d1-45ed-a03b-aa9e62bbfddc</t>
        </is>
      </c>
      <c r="Z450" t="inlineStr">
        <is>
          <t>0.0.5</t>
        </is>
      </c>
      <c r="AA450" t="inlineStr">
        <is>
          <t>UIUX</t>
        </is>
      </c>
      <c r="AB450" t="inlineStr">
        <is>
          <t>已完成</t>
        </is>
      </c>
      <c r="AC450"/>
      <c r="AD450" t="inlineStr">
        <is>
          <t>🎨艺术</t>
        </is>
      </c>
      <c r="AE450">
        <v>1</v>
      </c>
    </row>
    <row r="451" ht="25.5" customHeight="1">
      <c r="A451" s="3" t="str">
        <f>=HYPERLINK("https://applink.feishu.cn/client/todo/detail?guid=9404f3b3-bb03-405c-bf30-6d0d88378d21&amp;suite_entity_num=t101079", "初版 &lt; 无人机回寄")</f>
        <v>初版 &lt; 无人机回寄</v>
      </c>
      <c r="B451"/>
      <c r="C451" t="inlineStr">
        <is>
          <t>默认分组</t>
        </is>
      </c>
      <c r="D451"/>
      <c r="E451"/>
      <c r="F451" t="inlineStr">
        <is>
          <t>郭斯已</t>
        </is>
      </c>
      <c r="G451" t="inlineStr">
        <is>
          <t>龚政涛</t>
        </is>
      </c>
      <c r="H451" s="4">
        <v>45895.49831018518</v>
      </c>
      <c r="I451" s="4">
        <v>45895.501076388886</v>
      </c>
      <c r="J451" s="4">
        <v>45890.333333333336</v>
      </c>
      <c r="K451" s="4">
        <v>45895.50108796296</v>
      </c>
      <c r="L451">
        <v>0</v>
      </c>
      <c r="M451">
        <v>0</v>
      </c>
      <c r="N451" t="inlineStr">
        <is>
          <t>NzQxMzM4ODg5NzkxNDY2NzAwOTo5NDA0ZjNiMy1iYjAzLTQwNWMtYmYzMC02ZDBkODgzNzhkMjE6YWE5NTlhYWRkNTNiNWNmMDE4ZGU5ODk5NTQyYWExMWU6MQ==</t>
        </is>
      </c>
      <c r="O451" t="inlineStr">
        <is>
          <t>1</t>
        </is>
      </c>
      <c r="P451" t="inlineStr">
        <is>
          <t>或签任务</t>
        </is>
      </c>
      <c r="Q451" t="inlineStr">
        <is>
          <t>0</t>
        </is>
      </c>
      <c r="R451" t="inlineStr">
        <is>
          <t>龚政涛,郭斯已</t>
        </is>
      </c>
      <c r="S451" s="4">
        <v>45890.333333333336</v>
      </c>
      <c r="T451" s="3" t="str">
        <f>=HYPERLINK("https://applink.feishu.cn/client/todo/task_list?guid=4d92b9af-66d1-4cd7-95d1-4b753a64ca6b", "跃入迷城")</f>
        <v>跃入迷城</v>
      </c>
      <c r="U451" t="inlineStr">
        <is>
          <t>4d92b9af-66d1-4cd7-95d1-4b753a64ca6b</t>
        </is>
      </c>
      <c r="V451" t="inlineStr">
        <is>
          <t>9404f3b3-bb03-405c-bf30-6d0d88378d21</t>
        </is>
      </c>
      <c r="W451"/>
      <c r="X451"/>
      <c r="Y451" t="inlineStr">
        <is>
          <t>3461e793-c350-4474-8700-e2b34acb841d</t>
        </is>
      </c>
      <c r="Z451" t="inlineStr">
        <is>
          <t>0.0.5</t>
        </is>
      </c>
      <c r="AA451" t="inlineStr">
        <is>
          <t>UIUX</t>
        </is>
      </c>
      <c r="AB451" t="inlineStr">
        <is>
          <t>已完成</t>
        </is>
      </c>
      <c r="AC451"/>
      <c r="AD451" t="inlineStr">
        <is>
          <t>🎨艺术</t>
        </is>
      </c>
      <c r="AE451">
        <v>1</v>
      </c>
    </row>
    <row r="452" ht="25.5" customHeight="1">
      <c r="A452" s="3" t="str">
        <f>=HYPERLINK("https://applink.feishu.cn/client/todo/detail?guid=7481ae3d-88e3-4d51-8e19-4cd445ec8941&amp;suite_entity_num=t101085", "增加总武器等级/义体数量/走私金额信息 &lt; 仓库 - 安全屋")</f>
        <v>增加总武器等级/义体数量/走私金额信息 &lt; 仓库 - 安全屋</v>
      </c>
      <c r="B452"/>
      <c r="C452" t="inlineStr">
        <is>
          <t>默认分组</t>
        </is>
      </c>
      <c r="D452"/>
      <c r="E452"/>
      <c r="F452" t="inlineStr">
        <is>
          <t>郭斯已</t>
        </is>
      </c>
      <c r="G452" t="inlineStr">
        <is>
          <t>龚政涛</t>
        </is>
      </c>
      <c r="H452" s="4">
        <v>45895.49899305555</v>
      </c>
      <c r="I452" s="4">
        <v>45896.507152777776</v>
      </c>
      <c r="J452" s="4">
        <v>45895.333333333336</v>
      </c>
      <c r="K452" s="4">
        <v>45896.50716435185</v>
      </c>
      <c r="L452">
        <v>0</v>
      </c>
      <c r="M452">
        <v>0</v>
      </c>
      <c r="N452" t="inlineStr">
        <is>
          <t>NzQxMzM4ODg5NzkxNDY2NzAwOTo3NDgxYWUzZC04OGUzLTRkNTEtOGUxOS00Y2Q0NDVlYzg5NDE6MTc1ZmRlNmJmODczNTIyMGJkZWE5MDllNTU0OTI2M2Q6MQ==</t>
        </is>
      </c>
      <c r="O452" t="inlineStr">
        <is>
          <t>1</t>
        </is>
      </c>
      <c r="P452" t="inlineStr">
        <is>
          <t>或签任务</t>
        </is>
      </c>
      <c r="Q452" t="inlineStr">
        <is>
          <t>0</t>
        </is>
      </c>
      <c r="R452" t="inlineStr">
        <is>
          <t>龚政涛,郭斯已</t>
        </is>
      </c>
      <c r="S452" s="4">
        <v>45895.333333333336</v>
      </c>
      <c r="T452" s="3" t="str">
        <f>=HYPERLINK("https://applink.feishu.cn/client/todo/task_list?guid=4d92b9af-66d1-4cd7-95d1-4b753a64ca6b", "跃入迷城")</f>
        <v>跃入迷城</v>
      </c>
      <c r="U452" t="inlineStr">
        <is>
          <t>4d92b9af-66d1-4cd7-95d1-4b753a64ca6b</t>
        </is>
      </c>
      <c r="V452" t="inlineStr">
        <is>
          <t>7481ae3d-88e3-4d51-8e19-4cd445ec8941</t>
        </is>
      </c>
      <c r="W452"/>
      <c r="X452"/>
      <c r="Y452" t="inlineStr">
        <is>
          <t>a050c946-a0d1-45ed-a03b-aa9e62bbfddc</t>
        </is>
      </c>
      <c r="Z452" t="inlineStr">
        <is>
          <t>0.0.5</t>
        </is>
      </c>
      <c r="AA452" t="inlineStr">
        <is>
          <t>UIUX</t>
        </is>
      </c>
      <c r="AB452" t="inlineStr">
        <is>
          <t>已完成</t>
        </is>
      </c>
      <c r="AC452"/>
      <c r="AD452" t="inlineStr">
        <is>
          <t>🎨艺术</t>
        </is>
      </c>
      <c r="AE452">
        <v>1</v>
      </c>
    </row>
    <row r="453" ht="25.5" customHeight="1">
      <c r="A453" s="3" t="str">
        <f>=HYPERLINK("https://applink.feishu.cn/client/todo/detail?guid=a5913a7e-1ee8-4ffe-bf36-f543fea3895f&amp;suite_entity_num=t101083", "武器Hover卡片：需要整理左侧布局；增加对比布局 &lt; 仓库 - 安全屋")</f>
        <v>武器Hover卡片：需要整理左侧布局；增加对比布局 &lt; 仓库 - 安全屋</v>
      </c>
      <c r="B453"/>
      <c r="C453" t="inlineStr">
        <is>
          <t>默认分组</t>
        </is>
      </c>
      <c r="D453"/>
      <c r="E453"/>
      <c r="F453" t="inlineStr">
        <is>
          <t>郭斯已</t>
        </is>
      </c>
      <c r="G453" t="inlineStr">
        <is>
          <t>龚政涛</t>
        </is>
      </c>
      <c r="H453" s="4">
        <v>45895.49888888889</v>
      </c>
      <c r="I453" s="4">
        <v>45896.507743055554</v>
      </c>
      <c r="J453" s="4">
        <v>45895.333333333336</v>
      </c>
      <c r="K453" s="4">
        <v>45896.50775462963</v>
      </c>
      <c r="L453">
        <v>0</v>
      </c>
      <c r="M453">
        <v>0</v>
      </c>
      <c r="N453" t="inlineStr">
        <is>
          <t>NzQxMzM4ODg5NzkxNDY2NzAwOTphNTkxM2E3ZS0xZWU4LTRmZmUtYmYzNi1mNTQzZmVhMzg5NWY6MjA1NmNhNWMzNGIyNThiZjJjYmE1ZjlhY2JhODY2N2U6MQ==</t>
        </is>
      </c>
      <c r="O453" t="inlineStr">
        <is>
          <t>1</t>
        </is>
      </c>
      <c r="P453" t="inlineStr">
        <is>
          <t>或签任务</t>
        </is>
      </c>
      <c r="Q453" t="inlineStr">
        <is>
          <t>0</t>
        </is>
      </c>
      <c r="R453" t="inlineStr">
        <is>
          <t>龚政涛,郭斯已</t>
        </is>
      </c>
      <c r="S453" s="4">
        <v>45895.333333333336</v>
      </c>
      <c r="T453" s="3" t="str">
        <f>=HYPERLINK("https://applink.feishu.cn/client/todo/task_list?guid=4d92b9af-66d1-4cd7-95d1-4b753a64ca6b", "跃入迷城")</f>
        <v>跃入迷城</v>
      </c>
      <c r="U453" t="inlineStr">
        <is>
          <t>4d92b9af-66d1-4cd7-95d1-4b753a64ca6b</t>
        </is>
      </c>
      <c r="V453" t="inlineStr">
        <is>
          <t>a5913a7e-1ee8-4ffe-bf36-f543fea3895f</t>
        </is>
      </c>
      <c r="W453"/>
      <c r="X453"/>
      <c r="Y453" t="inlineStr">
        <is>
          <t>a050c946-a0d1-45ed-a03b-aa9e62bbfddc</t>
        </is>
      </c>
      <c r="Z453" t="inlineStr">
        <is>
          <t>0.0.5</t>
        </is>
      </c>
      <c r="AA453" t="inlineStr">
        <is>
          <t>UIUX</t>
        </is>
      </c>
      <c r="AB453" t="inlineStr">
        <is>
          <t>已完成</t>
        </is>
      </c>
      <c r="AC453"/>
      <c r="AD453" t="inlineStr">
        <is>
          <t>🎨艺术</t>
        </is>
      </c>
      <c r="AE453">
        <v>1</v>
      </c>
    </row>
    <row r="454" ht="25.5" customHeight="1">
      <c r="A454" s="3" t="str">
        <f>=HYPERLINK("https://applink.feishu.cn/client/todo/detail?guid=514cf73b-bde5-4000-80df-a25a2a7a2a66&amp;suite_entity_num=t101078", "初版 &lt; TAB选单")</f>
        <v>初版 &lt; TAB选单</v>
      </c>
      <c r="B454"/>
      <c r="C454"/>
      <c r="D454"/>
      <c r="E454"/>
      <c r="F454"/>
      <c r="G454" t="inlineStr">
        <is>
          <t>龚政涛</t>
        </is>
      </c>
      <c r="H454" s="4">
        <v>45895.49721064815</v>
      </c>
      <c r="I454" s="4">
        <v>45895.497766203705</v>
      </c>
      <c r="J454" s="4">
        <v>45890.333333333336</v>
      </c>
      <c r="K454" s="4">
        <v>45895.497777777775</v>
      </c>
      <c r="L454">
        <v>0</v>
      </c>
      <c r="M454">
        <v>0</v>
      </c>
      <c r="N454" t="inlineStr">
        <is>
          <t>NzQxMzM4ODg5NzkxNDY2NzAwOTo1MTRjZjczYi1iZGU1LTQwMDAtODBkZi1hMjVhMmE3YTJhNjY6ZGIzNmE5ODFiNDhjMmM2Mzc2YmY3ZjM5Y2JjODFkZjE6MQ==</t>
        </is>
      </c>
      <c r="O454" t="inlineStr">
        <is>
          <t>1</t>
        </is>
      </c>
      <c r="P454" t="inlineStr">
        <is>
          <t>或签任务</t>
        </is>
      </c>
      <c r="Q454" t="inlineStr">
        <is>
          <t>0</t>
        </is>
      </c>
      <c r="R454" t="inlineStr">
        <is>
          <t>龚政涛</t>
        </is>
      </c>
      <c r="S454" s="4">
        <v>45889.333333333336</v>
      </c>
      <c r="T454" s="3" t="str">
        <f>=HYPERLINK("https://applink.feishu.cn/client/todo/task_list?guid=4d92b9af-66d1-4cd7-95d1-4b753a64ca6b", "跃入迷城")</f>
        <v>跃入迷城</v>
      </c>
      <c r="U454" t="inlineStr">
        <is>
          <t>4d92b9af-66d1-4cd7-95d1-4b753a64ca6b</t>
        </is>
      </c>
      <c r="V454" t="inlineStr">
        <is>
          <t>514cf73b-bde5-4000-80df-a25a2a7a2a66</t>
        </is>
      </c>
      <c r="W454"/>
      <c r="X454"/>
      <c r="Y454" t="inlineStr">
        <is>
          <t>0d3b856b-3e13-4a6a-9f86-79f74024f696</t>
        </is>
      </c>
      <c r="Z454" t="inlineStr">
        <is>
          <t>0.0.5</t>
        </is>
      </c>
      <c r="AA454" t="inlineStr">
        <is>
          <t>UIUX</t>
        </is>
      </c>
      <c r="AB454" t="inlineStr">
        <is>
          <t>已完成</t>
        </is>
      </c>
      <c r="AC454"/>
      <c r="AD454"/>
      <c r="AE454">
        <v>4</v>
      </c>
    </row>
    <row r="455" ht="25.5" customHeight="1">
      <c r="A455" s="3" t="str">
        <f>=HYPERLINK("https://applink.feishu.cn/client/todo/detail?guid=96580d8d-47aa-44d5-b1c9-785b06f8bb18&amp;suite_entity_num=t101081", "初版 &lt; 仓库 - 安全屋")</f>
        <v>初版 &lt; 仓库 - 安全屋</v>
      </c>
      <c r="B455"/>
      <c r="C455" t="inlineStr">
        <is>
          <t>默认分组</t>
        </is>
      </c>
      <c r="D455"/>
      <c r="E455"/>
      <c r="F455" t="inlineStr">
        <is>
          <t>郭斯已</t>
        </is>
      </c>
      <c r="G455" t="inlineStr">
        <is>
          <t>龚政涛</t>
        </is>
      </c>
      <c r="H455" s="4">
        <v>45895.49873842593</v>
      </c>
      <c r="I455" s="4">
        <v>45895.49922453704</v>
      </c>
      <c r="J455" s="4"/>
      <c r="K455" s="4">
        <v>45895.500451388885</v>
      </c>
      <c r="L455">
        <v>0</v>
      </c>
      <c r="M455">
        <v>0</v>
      </c>
      <c r="N455" t="inlineStr">
        <is>
          <t>NzQxMzM4ODg5NzkxNDY2NzAwOTo5NjU4MGQ4ZC00N2FhLTQ0ZDUtYjFjOS03ODViMDZmOGJiMTg6Y2VjOGQ4Zjg3MTRhNGE4NGEzZDc4NmM2NjQxZmY4YmM6MQ==</t>
        </is>
      </c>
      <c r="O455" t="inlineStr">
        <is>
          <t>1</t>
        </is>
      </c>
      <c r="P455" t="inlineStr">
        <is>
          <t>或签任务</t>
        </is>
      </c>
      <c r="Q455" t="inlineStr">
        <is>
          <t>0</t>
        </is>
      </c>
      <c r="R455" t="inlineStr">
        <is>
          <t>龚政涛,郭斯已</t>
        </is>
      </c>
      <c r="S455" s="4"/>
      <c r="T455" s="3" t="str">
        <f>=HYPERLINK("https://applink.feishu.cn/client/todo/task_list?guid=4d92b9af-66d1-4cd7-95d1-4b753a64ca6b", "跃入迷城")</f>
        <v>跃入迷城</v>
      </c>
      <c r="U455" t="inlineStr">
        <is>
          <t>4d92b9af-66d1-4cd7-95d1-4b753a64ca6b</t>
        </is>
      </c>
      <c r="V455" t="inlineStr">
        <is>
          <t>96580d8d-47aa-44d5-b1c9-785b06f8bb18</t>
        </is>
      </c>
      <c r="W455"/>
      <c r="X455"/>
      <c r="Y455" t="inlineStr">
        <is>
          <t>a050c946-a0d1-45ed-a03b-aa9e62bbfddc</t>
        </is>
      </c>
      <c r="Z455" t="inlineStr">
        <is>
          <t>0.0.5</t>
        </is>
      </c>
      <c r="AA455" t="inlineStr">
        <is>
          <t>UIUX</t>
        </is>
      </c>
      <c r="AB455" t="inlineStr">
        <is>
          <t>已完成</t>
        </is>
      </c>
      <c r="AC455"/>
      <c r="AD455" t="inlineStr">
        <is>
          <t>🎨艺术</t>
        </is>
      </c>
      <c r="AE455">
        <v>2</v>
      </c>
    </row>
    <row r="456" ht="25.5" customHeight="1">
      <c r="A456" s="3" t="str">
        <f>=HYPERLINK("https://applink.feishu.cn/client/todo/detail?guid=4394f782-c2a4-412a-934a-818673ea1144&amp;suite_entity_num=t101082", "Hover卡片：需要添加技能详情 &lt; 仓库 - 安全屋")</f>
        <v>Hover卡片：需要添加技能详情 &lt; 仓库 - 安全屋</v>
      </c>
      <c r="B456"/>
      <c r="C456" t="inlineStr">
        <is>
          <t>默认分组</t>
        </is>
      </c>
      <c r="D456"/>
      <c r="E456"/>
      <c r="F456" t="inlineStr">
        <is>
          <t>郭斯已</t>
        </is>
      </c>
      <c r="G456" t="inlineStr">
        <is>
          <t>龚政涛</t>
        </is>
      </c>
      <c r="H456" s="4">
        <v>45895.498761574076</v>
      </c>
      <c r="I456" s="4">
        <v>45896.51259259259</v>
      </c>
      <c r="J456" s="4">
        <v>45895.333333333336</v>
      </c>
      <c r="K456" s="4">
        <v>45896.512604166666</v>
      </c>
      <c r="L456">
        <v>0</v>
      </c>
      <c r="M456">
        <v>0</v>
      </c>
      <c r="N456" t="inlineStr">
        <is>
          <t>NzQxMzM4ODg5NzkxNDY2NzAwOTo0Mzk0Zjc4Mi1jMmE0LTQxMmEtOTM0YS04MTg2NzNlYTExNDQ6MDgwMjIxZTQxNjY4MjBiOTQ5NTcwNjUwNzJiYWM5MzU6MQ==</t>
        </is>
      </c>
      <c r="O456" t="inlineStr">
        <is>
          <t>1</t>
        </is>
      </c>
      <c r="P456" t="inlineStr">
        <is>
          <t>或签任务</t>
        </is>
      </c>
      <c r="Q456" t="inlineStr">
        <is>
          <t>0</t>
        </is>
      </c>
      <c r="R456" t="inlineStr">
        <is>
          <t>郭斯已,龚政涛</t>
        </is>
      </c>
      <c r="S456" s="4">
        <v>45895.333333333336</v>
      </c>
      <c r="T456" s="3" t="str">
        <f>=HYPERLINK("https://applink.feishu.cn/client/todo/task_list?guid=4d92b9af-66d1-4cd7-95d1-4b753a64ca6b", "跃入迷城")</f>
        <v>跃入迷城</v>
      </c>
      <c r="U456" t="inlineStr">
        <is>
          <t>4d92b9af-66d1-4cd7-95d1-4b753a64ca6b</t>
        </is>
      </c>
      <c r="V456" t="inlineStr">
        <is>
          <t>4394f782-c2a4-412a-934a-818673ea1144</t>
        </is>
      </c>
      <c r="W456"/>
      <c r="X456"/>
      <c r="Y456" t="inlineStr">
        <is>
          <t>a050c946-a0d1-45ed-a03b-aa9e62bbfddc</t>
        </is>
      </c>
      <c r="Z456" t="inlineStr">
        <is>
          <t>0.0.5</t>
        </is>
      </c>
      <c r="AA456" t="inlineStr">
        <is>
          <t>UIUX</t>
        </is>
      </c>
      <c r="AB456" t="inlineStr">
        <is>
          <t>已完成</t>
        </is>
      </c>
      <c r="AC456"/>
      <c r="AD456" t="inlineStr">
        <is>
          <t>🎨艺术</t>
        </is>
      </c>
      <c r="AE456">
        <v>1</v>
      </c>
    </row>
    <row r="457" ht="25.5" customHeight="1">
      <c r="A457" s="3" t="str">
        <f>=HYPERLINK("https://applink.feishu.cn/client/todo/detail?guid=ce3a8695-51dc-4954-a6fd-9c8561ff8b47&amp;suite_entity_num=t101086", "义体：移除圆点标线，改为横线，左侧尝试做上、下对齐,大、小指示改为2版本 &lt; 仓库 - 安全屋")</f>
        <v>义体：移除圆点标线，改为横线，左侧尝试做上、下对齐,大、小指示改为2版本 &lt; 仓库 - 安全屋</v>
      </c>
      <c r="B457"/>
      <c r="C457" t="inlineStr">
        <is>
          <t>默认分组</t>
        </is>
      </c>
      <c r="D457"/>
      <c r="E457"/>
      <c r="F457" t="inlineStr">
        <is>
          <t>郭斯已</t>
        </is>
      </c>
      <c r="G457" t="inlineStr">
        <is>
          <t>龚政涛</t>
        </is>
      </c>
      <c r="H457" s="4">
        <v>45895.499548611115</v>
      </c>
      <c r="I457" s="4">
        <v>45896.500925925924</v>
      </c>
      <c r="J457" s="4">
        <v>45895.333333333336</v>
      </c>
      <c r="K457" s="4">
        <v>45896.5009375</v>
      </c>
      <c r="L457">
        <v>0</v>
      </c>
      <c r="M457">
        <v>0</v>
      </c>
      <c r="N457" t="inlineStr">
        <is>
          <t>NzQxMzM4ODg5NzkxNDY2NzAwOTpjZTNhODY5NS01MWRjLTQ5NTQtYTZmZC05Yzg1NjFmZjhiNDc6Y2VlMTY4ZjYxNjhhZDg1NGMxOTQwNGUwODIwNGFkYjU6MQ==</t>
        </is>
      </c>
      <c r="O457" t="inlineStr">
        <is>
          <t>1</t>
        </is>
      </c>
      <c r="P457" t="inlineStr">
        <is>
          <t>或签任务</t>
        </is>
      </c>
      <c r="Q457" t="inlineStr">
        <is>
          <t>0</t>
        </is>
      </c>
      <c r="R457" t="inlineStr">
        <is>
          <t>郭斯已,龚政涛</t>
        </is>
      </c>
      <c r="S457" s="4">
        <v>45895.333333333336</v>
      </c>
      <c r="T457" s="3" t="str">
        <f>=HYPERLINK("https://applink.feishu.cn/client/todo/task_list?guid=4d92b9af-66d1-4cd7-95d1-4b753a64ca6b", "跃入迷城")</f>
        <v>跃入迷城</v>
      </c>
      <c r="U457" t="inlineStr">
        <is>
          <t>4d92b9af-66d1-4cd7-95d1-4b753a64ca6b</t>
        </is>
      </c>
      <c r="V457" t="inlineStr">
        <is>
          <t>ce3a8695-51dc-4954-a6fd-9c8561ff8b47</t>
        </is>
      </c>
      <c r="W457"/>
      <c r="X457"/>
      <c r="Y457" t="inlineStr">
        <is>
          <t>a050c946-a0d1-45ed-a03b-aa9e62bbfddc</t>
        </is>
      </c>
      <c r="Z457" t="inlineStr">
        <is>
          <t>0.0.5</t>
        </is>
      </c>
      <c r="AA457" t="inlineStr">
        <is>
          <t>UIUX</t>
        </is>
      </c>
      <c r="AB457" t="inlineStr">
        <is>
          <t>已完成</t>
        </is>
      </c>
      <c r="AC457"/>
      <c r="AD457" t="inlineStr">
        <is>
          <t>🎨艺术</t>
        </is>
      </c>
      <c r="AE457">
        <v>1</v>
      </c>
    </row>
    <row r="458" ht="25.5" customHeight="1">
      <c r="A458" s="3" t="str">
        <f>=HYPERLINK("https://applink.feishu.cn/client/todo/detail?guid=c7335483-8a44-4fa8-995e-ebf875d7a435&amp;suite_entity_num=t101080", "需要添加无人机已占用状态 &lt; 无人机回寄")</f>
        <v>需要添加无人机已占用状态 &lt; 无人机回寄</v>
      </c>
      <c r="B458"/>
      <c r="C458" t="inlineStr">
        <is>
          <t>默认分组</t>
        </is>
      </c>
      <c r="D458"/>
      <c r="E458"/>
      <c r="F458" t="inlineStr">
        <is>
          <t>郭斯已</t>
        </is>
      </c>
      <c r="G458" t="inlineStr">
        <is>
          <t>龚政涛</t>
        </is>
      </c>
      <c r="H458" s="4">
        <v>45895.498449074075</v>
      </c>
      <c r="I458" s="4">
        <v>45896.51262731481</v>
      </c>
      <c r="J458" s="4">
        <v>45895.333333333336</v>
      </c>
      <c r="K458" s="4">
        <v>45896.51263888889</v>
      </c>
      <c r="L458">
        <v>0</v>
      </c>
      <c r="M458">
        <v>0</v>
      </c>
      <c r="N458" t="inlineStr">
        <is>
          <t>NzQxMzM4ODg5NzkxNDY2NzAwOTpjNzMzNTQ4My04YTQ0LTRmYTgtOTk1ZS1lYmY4NzVkN2E0MzU6YzE3Nzg5NjNkNmQ2MWRjNDgwM2E4OTQ1NzlhY2U4MzY6MQ==</t>
        </is>
      </c>
      <c r="O458" t="inlineStr">
        <is>
          <t>1</t>
        </is>
      </c>
      <c r="P458" t="inlineStr">
        <is>
          <t>或签任务</t>
        </is>
      </c>
      <c r="Q458" t="inlineStr">
        <is>
          <t>0</t>
        </is>
      </c>
      <c r="R458" t="inlineStr">
        <is>
          <t>龚政涛,郭斯已</t>
        </is>
      </c>
      <c r="S458" s="4">
        <v>45895.333333333336</v>
      </c>
      <c r="T458" s="3" t="str">
        <f>=HYPERLINK("https://applink.feishu.cn/client/todo/task_list?guid=4d92b9af-66d1-4cd7-95d1-4b753a64ca6b", "跃入迷城")</f>
        <v>跃入迷城</v>
      </c>
      <c r="U458" t="inlineStr">
        <is>
          <t>4d92b9af-66d1-4cd7-95d1-4b753a64ca6b</t>
        </is>
      </c>
      <c r="V458" t="inlineStr">
        <is>
          <t>c7335483-8a44-4fa8-995e-ebf875d7a435</t>
        </is>
      </c>
      <c r="W458"/>
      <c r="X458"/>
      <c r="Y458" t="inlineStr">
        <is>
          <t>3461e793-c350-4474-8700-e2b34acb841d</t>
        </is>
      </c>
      <c r="Z458" t="inlineStr">
        <is>
          <t>0.0.5</t>
        </is>
      </c>
      <c r="AA458" t="inlineStr">
        <is>
          <t>UIUX</t>
        </is>
      </c>
      <c r="AB458" t="inlineStr">
        <is>
          <t>已完成</t>
        </is>
      </c>
      <c r="AC458"/>
      <c r="AD458" t="inlineStr">
        <is>
          <t>🎨艺术</t>
        </is>
      </c>
      <c r="AE458">
        <v>1</v>
      </c>
    </row>
    <row r="459" ht="25.5" customHeight="1">
      <c r="A459" s="3" t="str">
        <f>=HYPERLINK("https://applink.feishu.cn/client/todo/detail?guid=33ca38d5-3e70-4758-a2bf-ec5042ad3cda&amp;suite_entity_num=t101087", "模型 &lt; 六边柱模型")</f>
        <v>模型 &lt; 六边柱模型</v>
      </c>
      <c r="B459"/>
      <c r="C459" t="inlineStr">
        <is>
          <t>默认分组</t>
        </is>
      </c>
      <c r="D459"/>
      <c r="E459"/>
      <c r="F459" t="inlineStr">
        <is>
          <t>陈吉瑞</t>
        </is>
      </c>
      <c r="G459" t="inlineStr">
        <is>
          <t>龚政涛</t>
        </is>
      </c>
      <c r="H459" s="4">
        <v>45897.97515046296</v>
      </c>
      <c r="I459" s="4">
        <v>45950.41511574074</v>
      </c>
      <c r="J459" s="4"/>
      <c r="K459" s="4">
        <v>45950.41511574074</v>
      </c>
      <c r="L459">
        <v>0</v>
      </c>
      <c r="M459">
        <v>0</v>
      </c>
      <c r="N459" t="inlineStr">
        <is>
          <t>NzQxMzM4ODg5NzkxNDY2NzAwOTozM2NhMzhkNS0zZTcwLTQ3NTgtYTJiZi1lYzUwNDJhZDNjZGE6OWFlYWY0YTk3NTgyOWZjY2FlN2RlZTRkNWNjNmI5M2M6MQ==</t>
        </is>
      </c>
      <c r="O459" t="inlineStr">
        <is>
          <t>1</t>
        </is>
      </c>
      <c r="P459" t="inlineStr">
        <is>
          <t>或签任务</t>
        </is>
      </c>
      <c r="Q459" t="inlineStr">
        <is>
          <t>0</t>
        </is>
      </c>
      <c r="R459" t="inlineStr">
        <is>
          <t>龚政涛,陈吉瑞</t>
        </is>
      </c>
      <c r="S459" s="4"/>
      <c r="T459" s="3" t="str">
        <f>=HYPERLINK("https://applink.feishu.cn/client/todo/task_list?guid=4d92b9af-66d1-4cd7-95d1-4b753a64ca6b", "跃入迷城")</f>
        <v>跃入迷城</v>
      </c>
      <c r="U459" t="inlineStr">
        <is>
          <t>4d92b9af-66d1-4cd7-95d1-4b753a64ca6b</t>
        </is>
      </c>
      <c r="V459" t="inlineStr">
        <is>
          <t>33ca38d5-3e70-4758-a2bf-ec5042ad3cda</t>
        </is>
      </c>
      <c r="W459"/>
      <c r="X459"/>
      <c r="Y459" t="inlineStr">
        <is>
          <t>9298b963-95f4-4c7c-ac2e-f4e4d6775a3f</t>
        </is>
      </c>
      <c r="Z459"/>
      <c r="AA459"/>
      <c r="AB459" t="inlineStr">
        <is>
          <t>已完成</t>
        </is>
      </c>
      <c r="AC459"/>
      <c r="AD459"/>
      <c r="AE459"/>
    </row>
    <row r="460" ht="25.5" customHeight="1">
      <c r="A460" s="3" t="str">
        <f>=HYPERLINK("https://applink.feishu.cn/client/todo/detail?guid=8511facc-1a85-4c0a-bdc0-db9c10b0fc63&amp;suite_entity_num=t101088", "贴图 &lt; 六边柱模型")</f>
        <v>贴图 &lt; 六边柱模型</v>
      </c>
      <c r="B460"/>
      <c r="C460"/>
      <c r="D460"/>
      <c r="E460"/>
      <c r="F460" t="inlineStr">
        <is>
          <t>陈吉瑞</t>
        </is>
      </c>
      <c r="G460" t="inlineStr">
        <is>
          <t>龚政涛</t>
        </is>
      </c>
      <c r="H460" s="4">
        <v>45897.97521990741</v>
      </c>
      <c r="I460" s="4">
        <v>45950.41509259259</v>
      </c>
      <c r="J460" s="4"/>
      <c r="K460" s="4">
        <v>45950.41510416667</v>
      </c>
      <c r="L460">
        <v>0</v>
      </c>
      <c r="M460">
        <v>0</v>
      </c>
      <c r="N460" t="inlineStr">
        <is>
          <t>NzQxMzM4ODg5NzkxNDY2NzAwOTo4NTExZmFjYy0xYTg1LTRjMGEtYmRjMC1kYjljMTBiMGZjNjM6ZWQ4MTkzNWYyNjAxNDc1Y2EzMWZiZGVjODFmNDM2Mzg6MQ==</t>
        </is>
      </c>
      <c r="O460" t="inlineStr">
        <is>
          <t>1</t>
        </is>
      </c>
      <c r="P460" t="inlineStr">
        <is>
          <t>或签任务</t>
        </is>
      </c>
      <c r="Q460" t="inlineStr">
        <is>
          <t>0</t>
        </is>
      </c>
      <c r="R460" t="inlineStr">
        <is>
          <t>龚政涛,陈吉瑞</t>
        </is>
      </c>
      <c r="S460" s="4"/>
      <c r="T460" s="3" t="str">
        <f>=HYPERLINK("https://applink.feishu.cn/client/todo/task_list?guid=4d92b9af-66d1-4cd7-95d1-4b753a64ca6b", "跃入迷城")</f>
        <v>跃入迷城</v>
      </c>
      <c r="U460" t="inlineStr">
        <is>
          <t>4d92b9af-66d1-4cd7-95d1-4b753a64ca6b</t>
        </is>
      </c>
      <c r="V460" t="inlineStr">
        <is>
          <t>8511facc-1a85-4c0a-bdc0-db9c10b0fc63</t>
        </is>
      </c>
      <c r="W460"/>
      <c r="X460"/>
      <c r="Y460" t="inlineStr">
        <is>
          <t>9298b963-95f4-4c7c-ac2e-f4e4d6775a3f</t>
        </is>
      </c>
      <c r="Z460"/>
      <c r="AA460"/>
      <c r="AB460" t="inlineStr">
        <is>
          <t>已完成</t>
        </is>
      </c>
      <c r="AC460"/>
      <c r="AD460"/>
      <c r="AE460"/>
    </row>
    <row r="461" ht="25.5" customHeight="1">
      <c r="A461" s="3" t="str">
        <f>=HYPERLINK("https://applink.feishu.cn/client/todo/detail?guid=7a8e856b-6fb0-490a-a8e2-1209ba195a4c&amp;suite_entity_num=t101098", "P1：动作线稿 &lt; 插图：https://dikpa4hrtn9.feishu.cn/wiki/TVHDwqiUziiOeYkaluvcE9rdnJf")</f>
        <v>P1：动作线稿 &lt; 插图：https://dikpa4hrtn9.feishu.cn/wiki/TVHDwqiUziiOeYkaluvcE9rdnJf</v>
      </c>
      <c r="B461"/>
      <c r="C461" t="inlineStr">
        <is>
          <t>默认分组</t>
        </is>
      </c>
      <c r="D461"/>
      <c r="E461"/>
      <c r="F461" t="inlineStr">
        <is>
          <t>李贺</t>
        </is>
      </c>
      <c r="G461" t="inlineStr">
        <is>
          <t>龚政涛</t>
        </is>
      </c>
      <c r="H461" s="4">
        <v>45901.51464120371</v>
      </c>
      <c r="I461" s="4"/>
      <c r="J461" s="4"/>
      <c r="K461" s="4">
        <v>45950.57581018518</v>
      </c>
      <c r="L461">
        <v>0</v>
      </c>
      <c r="M461">
        <v>0</v>
      </c>
      <c r="N461" t="inlineStr">
        <is>
          <t>NzQxMzM4ODg5NzkxNDY2NzAwOTo3YThlODU2Yi02ZmIwLTQ5MGEtYThlMi0xMjA5YmExOTVhNGM6NmJkYzIyZmE1MzU3OWExODZmOGE2ZTBlYzE4M2MzY2E6MQ==</t>
        </is>
      </c>
      <c r="O461" t="inlineStr">
        <is>
          <t>0</t>
        </is>
      </c>
      <c r="P461" t="inlineStr">
        <is>
          <t>或签任务</t>
        </is>
      </c>
      <c r="Q461" t="inlineStr">
        <is>
          <t>0</t>
        </is>
      </c>
      <c r="R461" t="inlineStr">
        <is>
          <t>龚政涛,Ke Huang,李贺</t>
        </is>
      </c>
      <c r="S461" s="4"/>
      <c r="T461" s="3" t="str">
        <f>=HYPERLINK("https://applink.feishu.cn/client/todo/task_list?guid=4d92b9af-66d1-4cd7-95d1-4b753a64ca6b", "跃入迷城")</f>
        <v>跃入迷城</v>
      </c>
      <c r="U461" t="inlineStr">
        <is>
          <t>4d92b9af-66d1-4cd7-95d1-4b753a64ca6b</t>
        </is>
      </c>
      <c r="V461" t="inlineStr">
        <is>
          <t>7a8e856b-6fb0-490a-a8e2-1209ba195a4c</t>
        </is>
      </c>
      <c r="W461"/>
      <c r="X461"/>
      <c r="Y461" t="inlineStr">
        <is>
          <t>937c8266-1696-4061-9943-ed0c5e2912bf</t>
        </is>
      </c>
      <c r="Z461" t="inlineStr">
        <is>
          <t>0.0.5</t>
        </is>
      </c>
      <c r="AA461" t="inlineStr">
        <is>
          <t>平面美术</t>
        </is>
      </c>
      <c r="AB461"/>
      <c r="AC461" t="inlineStr">
        <is>
          <t>P1 - Bigger the Better</t>
        </is>
      </c>
      <c r="AD461" t="inlineStr">
        <is>
          <t>🎨艺术</t>
        </is>
      </c>
      <c r="AE461">
        <v>8</v>
      </c>
    </row>
    <row r="462" ht="25.5" customHeight="1">
      <c r="A462" s="3" t="str">
        <f>=HYPERLINK("https://applink.feishu.cn/client/todo/detail?guid=c125cfa9-30f1-421a-a621-864a325da88c&amp;suite_entity_num=t101099", "P2：形象线稿 &lt; 插图：https://dikpa4hrtn9.feishu.cn/wiki/TVHDwqiUziiOeYkaluvcE9rdnJf")</f>
        <v>P2：形象线稿 &lt; 插图：https://dikpa4hrtn9.feishu.cn/wiki/TVHDwqiUziiOeYkaluvcE9rdnJf</v>
      </c>
      <c r="B462"/>
      <c r="C462"/>
      <c r="D462"/>
      <c r="E462"/>
      <c r="F462" t="inlineStr">
        <is>
          <t>Ke Huang</t>
        </is>
      </c>
      <c r="G462" t="inlineStr">
        <is>
          <t>龚政涛</t>
        </is>
      </c>
      <c r="H462" s="4">
        <v>45901.51541666667</v>
      </c>
      <c r="I462" s="4"/>
      <c r="J462" s="4">
        <v>45902.333333333336</v>
      </c>
      <c r="K462" s="4">
        <v>45901.52328703704</v>
      </c>
      <c r="L462">
        <v>0</v>
      </c>
      <c r="M462">
        <v>0</v>
      </c>
      <c r="N462" t="inlineStr">
        <is>
          <t>NzQxMzM4ODg5NzkxNDY2NzAwOTpjMTI1Y2ZhOS0zMGYxLTQyMWEtYTYyMS04NjRhMzI1ZGE4OGM6YWQ3NDg0NzczMmFjYTZkZWRjYjRiYzY4MTkxNjI3Mjg6MQ==</t>
        </is>
      </c>
      <c r="O462" t="inlineStr">
        <is>
          <t>0</t>
        </is>
      </c>
      <c r="P462" t="inlineStr">
        <is>
          <t>或签任务</t>
        </is>
      </c>
      <c r="Q462" t="inlineStr">
        <is>
          <t>0</t>
        </is>
      </c>
      <c r="R462" t="inlineStr">
        <is>
          <t>龚政涛,Ke Huang</t>
        </is>
      </c>
      <c r="S462" s="4"/>
      <c r="T462" s="3" t="str">
        <f>=HYPERLINK("https://applink.feishu.cn/client/todo/task_list?guid=4d92b9af-66d1-4cd7-95d1-4b753a64ca6b", "跃入迷城")</f>
        <v>跃入迷城</v>
      </c>
      <c r="U462" t="inlineStr">
        <is>
          <t>4d92b9af-66d1-4cd7-95d1-4b753a64ca6b</t>
        </is>
      </c>
      <c r="V462" t="inlineStr">
        <is>
          <t>c125cfa9-30f1-421a-a621-864a325da88c</t>
        </is>
      </c>
      <c r="W462"/>
      <c r="X462"/>
      <c r="Y462" t="inlineStr">
        <is>
          <t>937c8266-1696-4061-9943-ed0c5e2912bf</t>
        </is>
      </c>
      <c r="Z462"/>
      <c r="AA462"/>
      <c r="AB462"/>
      <c r="AC462"/>
      <c r="AD462"/>
      <c r="AE462"/>
    </row>
    <row r="463" ht="25.5" customHeight="1">
      <c r="A463" s="3" t="str">
        <f>=HYPERLINK("https://applink.feishu.cn/client/todo/detail?guid=44efa35b-b775-45d1-8653-c0ee7f0ab516&amp;suite_entity_num=t101100", "P3 &lt; 插图：https://dikpa4hrtn9.feishu.cn/wiki/TVHDwqiUziiOeYkaluvcE9rdnJf")</f>
        <v>P3 &lt; 插图：https://dikpa4hrtn9.feishu.cn/wiki/TVHDwqiUziiOeYkaluvcE9rdnJf</v>
      </c>
      <c r="B463"/>
      <c r="C463"/>
      <c r="D463"/>
      <c r="E463"/>
      <c r="F463" t="inlineStr">
        <is>
          <t>Ke Huang</t>
        </is>
      </c>
      <c r="G463" t="inlineStr">
        <is>
          <t>龚政涛</t>
        </is>
      </c>
      <c r="H463" s="4">
        <v>45901.515439814815</v>
      </c>
      <c r="I463" s="4"/>
      <c r="J463" s="4">
        <v>45903.333333333336</v>
      </c>
      <c r="K463" s="4">
        <v>45901.518171296295</v>
      </c>
      <c r="L463">
        <v>0</v>
      </c>
      <c r="M463">
        <v>0</v>
      </c>
      <c r="N463" t="inlineStr">
        <is>
          <t>NzQxMzM4ODg5NzkxNDY2NzAwOTo0NGVmYTM1Yi1iNzc1LTQ1ZDEtODY1My1jMGVlN2YwYWI1MTY6YzJlZTc3ZWZiNjJhNjJiZjYyN2M4OTk0YjZiZTcwOTY6MQ==</t>
        </is>
      </c>
      <c r="O463" t="inlineStr">
        <is>
          <t>0</t>
        </is>
      </c>
      <c r="P463" t="inlineStr">
        <is>
          <t>或签任务</t>
        </is>
      </c>
      <c r="Q463" t="inlineStr">
        <is>
          <t>0</t>
        </is>
      </c>
      <c r="R463" t="inlineStr">
        <is>
          <t>龚政涛,Ke Huang</t>
        </is>
      </c>
      <c r="S463" s="4"/>
      <c r="T463" s="3" t="str">
        <f>=HYPERLINK("https://applink.feishu.cn/client/todo/task_list?guid=4d92b9af-66d1-4cd7-95d1-4b753a64ca6b", "跃入迷城")</f>
        <v>跃入迷城</v>
      </c>
      <c r="U463" t="inlineStr">
        <is>
          <t>4d92b9af-66d1-4cd7-95d1-4b753a64ca6b</t>
        </is>
      </c>
      <c r="V463" t="inlineStr">
        <is>
          <t>44efa35b-b775-45d1-8653-c0ee7f0ab516</t>
        </is>
      </c>
      <c r="W463"/>
      <c r="X463"/>
      <c r="Y463" t="inlineStr">
        <is>
          <t>937c8266-1696-4061-9943-ed0c5e2912bf</t>
        </is>
      </c>
      <c r="Z463"/>
      <c r="AA463"/>
      <c r="AB463"/>
      <c r="AC463"/>
      <c r="AD463"/>
      <c r="AE463"/>
    </row>
    <row r="464" ht="25.5" customHeight="1">
      <c r="A464" s="3" t="str">
        <f>=HYPERLINK("https://applink.feishu.cn/client/todo/detail?guid=e6c6ac48-9a29-4e74-adc1-84cd8694e7be&amp;suite_entity_num=t101101", "P4 &lt; 插图：https://dikpa4hrtn9.feishu.cn/wiki/TVHDwqiUziiOeYkaluvcE9rdnJf")</f>
        <v>P4 &lt; 插图：https://dikpa4hrtn9.feishu.cn/wiki/TVHDwqiUziiOeYkaluvcE9rdnJf</v>
      </c>
      <c r="B464"/>
      <c r="C464"/>
      <c r="D464"/>
      <c r="E464"/>
      <c r="F464" t="inlineStr">
        <is>
          <t>Ke Huang</t>
        </is>
      </c>
      <c r="G464" t="inlineStr">
        <is>
          <t>龚政涛</t>
        </is>
      </c>
      <c r="H464" s="4">
        <v>45901.515439814815</v>
      </c>
      <c r="I464" s="4"/>
      <c r="J464" s="4">
        <v>45904.333333333336</v>
      </c>
      <c r="K464" s="4">
        <v>45901.51819444444</v>
      </c>
      <c r="L464">
        <v>0</v>
      </c>
      <c r="M464">
        <v>0</v>
      </c>
      <c r="N464" t="inlineStr">
        <is>
          <t>NzQxMzM4ODg5NzkxNDY2NzAwOTplNmM2YWM0OC05YTI5LTRlNzQtYWRjMS04NGNkODY5NGU3YmU6ZTdjMDkwNTAzZTEwYjc0MGQ5Y2UwYzJjNGQzNzAzYjA6MQ==</t>
        </is>
      </c>
      <c r="O464" t="inlineStr">
        <is>
          <t>0</t>
        </is>
      </c>
      <c r="P464" t="inlineStr">
        <is>
          <t>或签任务</t>
        </is>
      </c>
      <c r="Q464" t="inlineStr">
        <is>
          <t>0</t>
        </is>
      </c>
      <c r="R464" t="inlineStr">
        <is>
          <t>龚政涛,Ke Huang</t>
        </is>
      </c>
      <c r="S464" s="4"/>
      <c r="T464" s="3" t="str">
        <f>=HYPERLINK("https://applink.feishu.cn/client/todo/task_list?guid=4d92b9af-66d1-4cd7-95d1-4b753a64ca6b", "跃入迷城")</f>
        <v>跃入迷城</v>
      </c>
      <c r="U464" t="inlineStr">
        <is>
          <t>4d92b9af-66d1-4cd7-95d1-4b753a64ca6b</t>
        </is>
      </c>
      <c r="V464" t="inlineStr">
        <is>
          <t>e6c6ac48-9a29-4e74-adc1-84cd8694e7be</t>
        </is>
      </c>
      <c r="W464"/>
      <c r="X464"/>
      <c r="Y464" t="inlineStr">
        <is>
          <t>937c8266-1696-4061-9943-ed0c5e2912bf</t>
        </is>
      </c>
      <c r="Z464"/>
      <c r="AA464"/>
      <c r="AB464"/>
      <c r="AC464"/>
      <c r="AD464"/>
      <c r="AE464"/>
    </row>
    <row r="465" ht="25.5" customHeight="1">
      <c r="A465" s="3" t="str">
        <f>=HYPERLINK("https://applink.feishu.cn/client/todo/detail?guid=0a5a43b8-4210-49a6-bc0c-ed11a95ca474&amp;suite_entity_num=t101102", "P5 &lt; 插图：https://dikpa4hrtn9.feishu.cn/wiki/TVHDwqiUziiOeYkaluvcE9rdnJf")</f>
        <v>P5 &lt; 插图：https://dikpa4hrtn9.feishu.cn/wiki/TVHDwqiUziiOeYkaluvcE9rdnJf</v>
      </c>
      <c r="B465"/>
      <c r="C465"/>
      <c r="D465"/>
      <c r="E465"/>
      <c r="F465" t="inlineStr">
        <is>
          <t>Ke Huang</t>
        </is>
      </c>
      <c r="G465" t="inlineStr">
        <is>
          <t>龚政涛</t>
        </is>
      </c>
      <c r="H465" s="4">
        <v>45901.51545138889</v>
      </c>
      <c r="I465" s="4"/>
      <c r="J465" s="4">
        <v>45904.333333333336</v>
      </c>
      <c r="K465" s="4">
        <v>45901.51820601852</v>
      </c>
      <c r="L465">
        <v>0</v>
      </c>
      <c r="M465">
        <v>0</v>
      </c>
      <c r="N465" t="inlineStr">
        <is>
          <t>NzQxMzM4ODg5NzkxNDY2NzAwOTowYTVhNDNiOC00MjEwLTQ5YTYtYmMwYy1lZDExYTk1Y2E0NzQ6ZTAzMjlhNTU4YWEyNjUwZjEwMDlhYjZlYzU1YjAxYWI6MQ==</t>
        </is>
      </c>
      <c r="O465" t="inlineStr">
        <is>
          <t>0</t>
        </is>
      </c>
      <c r="P465" t="inlineStr">
        <is>
          <t>或签任务</t>
        </is>
      </c>
      <c r="Q465" t="inlineStr">
        <is>
          <t>0</t>
        </is>
      </c>
      <c r="R465" t="inlineStr">
        <is>
          <t>龚政涛,Ke Huang</t>
        </is>
      </c>
      <c r="S465" s="4"/>
      <c r="T465" s="3" t="str">
        <f>=HYPERLINK("https://applink.feishu.cn/client/todo/task_list?guid=4d92b9af-66d1-4cd7-95d1-4b753a64ca6b", "跃入迷城")</f>
        <v>跃入迷城</v>
      </c>
      <c r="U465" t="inlineStr">
        <is>
          <t>4d92b9af-66d1-4cd7-95d1-4b753a64ca6b</t>
        </is>
      </c>
      <c r="V465" t="inlineStr">
        <is>
          <t>0a5a43b8-4210-49a6-bc0c-ed11a95ca474</t>
        </is>
      </c>
      <c r="W465"/>
      <c r="X465"/>
      <c r="Y465" t="inlineStr">
        <is>
          <t>937c8266-1696-4061-9943-ed0c5e2912bf</t>
        </is>
      </c>
      <c r="Z465"/>
      <c r="AA465"/>
      <c r="AB465"/>
      <c r="AC465"/>
      <c r="AD465"/>
      <c r="AE465"/>
    </row>
    <row r="466" ht="25.5" customHeight="1">
      <c r="A466" s="3" t="str">
        <f>=HYPERLINK("https://applink.feishu.cn/client/todo/detail?guid=2c50087a-e777-410b-96f0-35e5f24de58d&amp;suite_entity_num=t101103", "P6 &lt; 插图：https://dikpa4hrtn9.feishu.cn/wiki/TVHDwqiUziiOeYkaluvcE9rdnJf")</f>
        <v>P6 &lt; 插图：https://dikpa4hrtn9.feishu.cn/wiki/TVHDwqiUziiOeYkaluvcE9rdnJf</v>
      </c>
      <c r="B466"/>
      <c r="C466"/>
      <c r="D466"/>
      <c r="E466"/>
      <c r="F466" t="inlineStr">
        <is>
          <t>Ke Huang</t>
        </is>
      </c>
      <c r="G466" t="inlineStr">
        <is>
          <t>龚政涛</t>
        </is>
      </c>
      <c r="H466" s="4">
        <v>45901.51546296296</v>
      </c>
      <c r="I466" s="4"/>
      <c r="J466" s="4">
        <v>45906.333333333336</v>
      </c>
      <c r="K466" s="4">
        <v>45901.51824074074</v>
      </c>
      <c r="L466">
        <v>0</v>
      </c>
      <c r="M466">
        <v>0</v>
      </c>
      <c r="N466" t="inlineStr">
        <is>
          <t>NzQxMzM4ODg5NzkxNDY2NzAwOToyYzUwMDg3YS1lNzc3LTQxMGItOTZmMC0zNWU1ZjI0ZGU1OGQ6NjY3OTRhMTNhYjVhZmMwM2U5NGY1NDdmMjY3ZmFmZTY6MQ==</t>
        </is>
      </c>
      <c r="O466" t="inlineStr">
        <is>
          <t>0</t>
        </is>
      </c>
      <c r="P466" t="inlineStr">
        <is>
          <t>或签任务</t>
        </is>
      </c>
      <c r="Q466" t="inlineStr">
        <is>
          <t>0</t>
        </is>
      </c>
      <c r="R466" t="inlineStr">
        <is>
          <t>龚政涛,Ke Huang</t>
        </is>
      </c>
      <c r="S466" s="4"/>
      <c r="T466" s="3" t="str">
        <f>=HYPERLINK("https://applink.feishu.cn/client/todo/task_list?guid=4d92b9af-66d1-4cd7-95d1-4b753a64ca6b", "跃入迷城")</f>
        <v>跃入迷城</v>
      </c>
      <c r="U466" t="inlineStr">
        <is>
          <t>4d92b9af-66d1-4cd7-95d1-4b753a64ca6b</t>
        </is>
      </c>
      <c r="V466" t="inlineStr">
        <is>
          <t>2c50087a-e777-410b-96f0-35e5f24de58d</t>
        </is>
      </c>
      <c r="W466"/>
      <c r="X466"/>
      <c r="Y466" t="inlineStr">
        <is>
          <t>937c8266-1696-4061-9943-ed0c5e2912bf</t>
        </is>
      </c>
      <c r="Z466"/>
      <c r="AA466"/>
      <c r="AB466"/>
      <c r="AC466"/>
      <c r="AD466"/>
      <c r="AE466"/>
    </row>
    <row r="467" ht="25.5" customHeight="1">
      <c r="A467" s="3" t="str">
        <f>=HYPERLINK("https://applink.feishu.cn/client/todo/detail?guid=b7f468eb-ef19-4084-95f4-0178261d4fb3&amp;suite_entity_num=t101104", "P7 &lt; 插图：https://dikpa4hrtn9.feishu.cn/wiki/TVHDwqiUziiOeYkaluvcE9rdnJf")</f>
        <v>P7 &lt; 插图：https://dikpa4hrtn9.feishu.cn/wiki/TVHDwqiUziiOeYkaluvcE9rdnJf</v>
      </c>
      <c r="B467"/>
      <c r="C467"/>
      <c r="D467"/>
      <c r="E467"/>
      <c r="F467" t="inlineStr">
        <is>
          <t>Ke Huang</t>
        </is>
      </c>
      <c r="G467" t="inlineStr">
        <is>
          <t>龚政涛</t>
        </is>
      </c>
      <c r="H467" s="4">
        <v>45901.51547453704</v>
      </c>
      <c r="I467" s="4"/>
      <c r="J467" s="4">
        <v>45906.333333333336</v>
      </c>
      <c r="K467" s="4">
        <v>45901.51828703703</v>
      </c>
      <c r="L467">
        <v>0</v>
      </c>
      <c r="M467">
        <v>0</v>
      </c>
      <c r="N467" t="inlineStr">
        <is>
          <t>NzQxMzM4ODg5NzkxNDY2NzAwOTpiN2Y0NjhlYi1lZjE5LTQwODQtOTVmNC0wMTc4MjYxZDRmYjM6YjVjY2JlOWMzMjY3MWIyMzBmOWZkM2ZjN2RhZGIyODQ6MQ==</t>
        </is>
      </c>
      <c r="O467" t="inlineStr">
        <is>
          <t>0</t>
        </is>
      </c>
      <c r="P467" t="inlineStr">
        <is>
          <t>或签任务</t>
        </is>
      </c>
      <c r="Q467" t="inlineStr">
        <is>
          <t>0</t>
        </is>
      </c>
      <c r="R467" t="inlineStr">
        <is>
          <t>龚政涛,Ke Huang</t>
        </is>
      </c>
      <c r="S467" s="4"/>
      <c r="T467" s="3" t="str">
        <f>=HYPERLINK("https://applink.feishu.cn/client/todo/task_list?guid=4d92b9af-66d1-4cd7-95d1-4b753a64ca6b", "跃入迷城")</f>
        <v>跃入迷城</v>
      </c>
      <c r="U467" t="inlineStr">
        <is>
          <t>4d92b9af-66d1-4cd7-95d1-4b753a64ca6b</t>
        </is>
      </c>
      <c r="V467" t="inlineStr">
        <is>
          <t>b7f468eb-ef19-4084-95f4-0178261d4fb3</t>
        </is>
      </c>
      <c r="W467"/>
      <c r="X467"/>
      <c r="Y467" t="inlineStr">
        <is>
          <t>937c8266-1696-4061-9943-ed0c5e2912bf</t>
        </is>
      </c>
      <c r="Z467"/>
      <c r="AA467"/>
      <c r="AB467"/>
      <c r="AC467"/>
      <c r="AD467"/>
      <c r="AE467"/>
    </row>
    <row r="468" ht="25.5" customHeight="1">
      <c r="A468" s="3" t="str">
        <f>=HYPERLINK("https://applink.feishu.cn/client/todo/detail?guid=6a66690e-50d5-4e27-bdfd-f7d0af4e8173&amp;suite_entity_num=t101105", "P8 &lt; 插图：https://dikpa4hrtn9.feishu.cn/wiki/TVHDwqiUziiOeYkaluvcE9rdnJf")</f>
        <v>P8 &lt; 插图：https://dikpa4hrtn9.feishu.cn/wiki/TVHDwqiUziiOeYkaluvcE9rdnJf</v>
      </c>
      <c r="B468"/>
      <c r="C468"/>
      <c r="D468"/>
      <c r="E468"/>
      <c r="F468" t="inlineStr">
        <is>
          <t>Ke Huang</t>
        </is>
      </c>
      <c r="G468" t="inlineStr">
        <is>
          <t>龚政涛</t>
        </is>
      </c>
      <c r="H468" s="4">
        <v>45901.51548611111</v>
      </c>
      <c r="I468" s="4"/>
      <c r="J468" s="4">
        <v>45907.333333333336</v>
      </c>
      <c r="K468" s="4">
        <v>45901.51831018519</v>
      </c>
      <c r="L468">
        <v>0</v>
      </c>
      <c r="M468">
        <v>0</v>
      </c>
      <c r="N468" t="inlineStr">
        <is>
          <t>NzQxMzM4ODg5NzkxNDY2NzAwOTo2YTY2NjkwZS01MGQ1LTRlMjctYmRmZC1mN2QwYWY0ZTgxNzM6NmM2ZTMyNGJiMDNlNDc4YzM3OTkwMDZhMmVlNTE5YjY6MQ==</t>
        </is>
      </c>
      <c r="O468" t="inlineStr">
        <is>
          <t>0</t>
        </is>
      </c>
      <c r="P468" t="inlineStr">
        <is>
          <t>或签任务</t>
        </is>
      </c>
      <c r="Q468" t="inlineStr">
        <is>
          <t>0</t>
        </is>
      </c>
      <c r="R468" t="inlineStr">
        <is>
          <t>龚政涛,Ke Huang</t>
        </is>
      </c>
      <c r="S468" s="4"/>
      <c r="T468" s="3" t="str">
        <f>=HYPERLINK("https://applink.feishu.cn/client/todo/task_list?guid=4d92b9af-66d1-4cd7-95d1-4b753a64ca6b", "跃入迷城")</f>
        <v>跃入迷城</v>
      </c>
      <c r="U468" t="inlineStr">
        <is>
          <t>4d92b9af-66d1-4cd7-95d1-4b753a64ca6b</t>
        </is>
      </c>
      <c r="V468" t="inlineStr">
        <is>
          <t>6a66690e-50d5-4e27-bdfd-f7d0af4e8173</t>
        </is>
      </c>
      <c r="W468"/>
      <c r="X468"/>
      <c r="Y468" t="inlineStr">
        <is>
          <t>937c8266-1696-4061-9943-ed0c5e2912bf</t>
        </is>
      </c>
      <c r="Z468"/>
      <c r="AA468"/>
      <c r="AB468"/>
      <c r="AC468"/>
      <c r="AD468"/>
      <c r="AE468"/>
    </row>
    <row r="469" ht="25.5" customHeight="1">
      <c r="A469" s="3" t="str">
        <f>=HYPERLINK("https://applink.feishu.cn/client/todo/detail?guid=cabcd0b1-a232-480b-a5b1-9d3b6a309fda&amp;suite_entity_num=t101106", "P9 &lt; 插图：https://dikpa4hrtn9.feishu.cn/wiki/TVHDwqiUziiOeYkaluvcE9rdnJf")</f>
        <v>P9 &lt; 插图：https://dikpa4hrtn9.feishu.cn/wiki/TVHDwqiUziiOeYkaluvcE9rdnJf</v>
      </c>
      <c r="B469"/>
      <c r="C469"/>
      <c r="D469"/>
      <c r="E469"/>
      <c r="F469" t="inlineStr">
        <is>
          <t>Ke Huang</t>
        </is>
      </c>
      <c r="G469" t="inlineStr">
        <is>
          <t>龚政涛</t>
        </is>
      </c>
      <c r="H469" s="4">
        <v>45901.51550925926</v>
      </c>
      <c r="I469" s="4"/>
      <c r="J469" s="4">
        <v>45907.333333333336</v>
      </c>
      <c r="K469" s="4">
        <v>45901.51833333333</v>
      </c>
      <c r="L469">
        <v>0</v>
      </c>
      <c r="M469">
        <v>0</v>
      </c>
      <c r="N469" t="inlineStr">
        <is>
          <t>NzQxMzM4ODg5NzkxNDY2NzAwOTpjYWJjZDBiMS1hMjMyLTQ4MGItYTViMS05ZDNiNmEzMDlmZGE6YTE0YzA2YThiNDBlNjdiOTUzY2RmOWQxOTAxNDMxNzQ6MQ==</t>
        </is>
      </c>
      <c r="O469" t="inlineStr">
        <is>
          <t>0</t>
        </is>
      </c>
      <c r="P469" t="inlineStr">
        <is>
          <t>或签任务</t>
        </is>
      </c>
      <c r="Q469" t="inlineStr">
        <is>
          <t>0</t>
        </is>
      </c>
      <c r="R469" t="inlineStr">
        <is>
          <t>龚政涛,Ke Huang</t>
        </is>
      </c>
      <c r="S469" s="4"/>
      <c r="T469" s="3" t="str">
        <f>=HYPERLINK("https://applink.feishu.cn/client/todo/task_list?guid=4d92b9af-66d1-4cd7-95d1-4b753a64ca6b", "跃入迷城")</f>
        <v>跃入迷城</v>
      </c>
      <c r="U469" t="inlineStr">
        <is>
          <t>4d92b9af-66d1-4cd7-95d1-4b753a64ca6b</t>
        </is>
      </c>
      <c r="V469" t="inlineStr">
        <is>
          <t>cabcd0b1-a232-480b-a5b1-9d3b6a309fda</t>
        </is>
      </c>
      <c r="W469"/>
      <c r="X469"/>
      <c r="Y469" t="inlineStr">
        <is>
          <t>937c8266-1696-4061-9943-ed0c5e2912bf</t>
        </is>
      </c>
      <c r="Z469"/>
      <c r="AA469"/>
      <c r="AB469"/>
      <c r="AC469"/>
      <c r="AD469"/>
      <c r="AE469"/>
    </row>
    <row r="470" ht="25.5" customHeight="1">
      <c r="A470" s="3" t="str">
        <f>=HYPERLINK("https://applink.feishu.cn/client/todo/detail?guid=5c1b6f43-1f9d-46e6-ba85-dd53ca76e25c&amp;suite_entity_num=t101107", "P10：概念稿 &lt; 插图：https://dikpa4hrtn9.feishu.cn/wiki/TVHDwqiUziiOeYkaluvcE9rdnJf")</f>
        <v>P10：概念稿 &lt; 插图：https://dikpa4hrtn9.feishu.cn/wiki/TVHDwqiUziiOeYkaluvcE9rdnJf</v>
      </c>
      <c r="B470"/>
      <c r="C470"/>
      <c r="D470"/>
      <c r="E470"/>
      <c r="F470"/>
      <c r="G470" t="inlineStr">
        <is>
          <t>龚政涛</t>
        </is>
      </c>
      <c r="H470" s="4">
        <v>45901.51850694444</v>
      </c>
      <c r="I470" s="4"/>
      <c r="J470" s="4"/>
      <c r="K470" s="4">
        <v>45901.51850694444</v>
      </c>
      <c r="L470">
        <v>0</v>
      </c>
      <c r="M470">
        <v>0</v>
      </c>
      <c r="N470" t="inlineStr">
        <is>
          <t>NzQxMzM4ODg5NzkxNDY2NzAwOTo1YzFiNmY0My0xZjlkLTQ2ZTYtYmE4NS1kZDUzY2E3NmUyNWM6MWU4ODIyMGEyOGRhZWIwODgyZDUyZTRhMGI2MDg0MTA6MQ==</t>
        </is>
      </c>
      <c r="O470" t="inlineStr">
        <is>
          <t>0</t>
        </is>
      </c>
      <c r="P470" t="inlineStr">
        <is>
          <t>或签任务</t>
        </is>
      </c>
      <c r="Q470" t="inlineStr">
        <is>
          <t>0</t>
        </is>
      </c>
      <c r="R470" t="inlineStr">
        <is>
          <t>龚政涛</t>
        </is>
      </c>
      <c r="S470" s="4"/>
      <c r="T470" s="3" t="str">
        <f>=HYPERLINK("https://applink.feishu.cn/client/todo/task_list?guid=4d92b9af-66d1-4cd7-95d1-4b753a64ca6b", "跃入迷城")</f>
        <v>跃入迷城</v>
      </c>
      <c r="U470" t="inlineStr">
        <is>
          <t>4d92b9af-66d1-4cd7-95d1-4b753a64ca6b</t>
        </is>
      </c>
      <c r="V470" t="inlineStr">
        <is>
          <t>5c1b6f43-1f9d-46e6-ba85-dd53ca76e25c</t>
        </is>
      </c>
      <c r="W470"/>
      <c r="X470"/>
      <c r="Y470" t="inlineStr">
        <is>
          <t>937c8266-1696-4061-9943-ed0c5e2912bf</t>
        </is>
      </c>
      <c r="Z470"/>
      <c r="AA470"/>
      <c r="AB470"/>
      <c r="AC470"/>
      <c r="AD470"/>
      <c r="AE470"/>
    </row>
    <row r="471" ht="25.5" customHeight="1">
      <c r="A471" s="3" t="str">
        <f>=HYPERLINK("https://applink.feishu.cn/client/todo/detail?guid=5756b6db-619a-4e34-a543-4e51d9ee7497&amp;suite_entity_num=t101115", "墙壁设计稿")</f>
        <v>墙壁设计稿</v>
      </c>
      <c r="B471"/>
      <c r="C471" t="inlineStr">
        <is>
          <t>默认分组</t>
        </is>
      </c>
      <c r="D471"/>
      <c r="E471"/>
      <c r="F471" t="inlineStr">
        <is>
          <t>瞿敬雄</t>
        </is>
      </c>
      <c r="G471" t="inlineStr">
        <is>
          <t>龚政涛</t>
        </is>
      </c>
      <c r="H471" s="4">
        <v>45904.99238425926</v>
      </c>
      <c r="I471" s="4">
        <v>45915.46040509259</v>
      </c>
      <c r="J471" s="4">
        <v>45911.333333333336</v>
      </c>
      <c r="K471" s="4">
        <v>45915.46041666667</v>
      </c>
      <c r="L471">
        <v>0</v>
      </c>
      <c r="M471">
        <v>0</v>
      </c>
      <c r="N471" t="inlineStr">
        <is>
          <t>NzQxMzM4ODg5NzkxNDY2NzAwOTo1NzU2YjZkYi02MTlhLTRlMzQtYTU0My00ZTUxZDllZTc0OTc6MTBlMTdlOGFjZWI3MTVkYzZmMDVhYzUzZGYxMjg3ZTQ6MQ==</t>
        </is>
      </c>
      <c r="O471" t="inlineStr">
        <is>
          <t>1</t>
        </is>
      </c>
      <c r="P471" t="inlineStr">
        <is>
          <t>或签任务</t>
        </is>
      </c>
      <c r="Q471" t="inlineStr">
        <is>
          <t>0</t>
        </is>
      </c>
      <c r="R471" t="inlineStr">
        <is>
          <t>龚政涛,瞿敬雄</t>
        </is>
      </c>
      <c r="S471" s="4"/>
      <c r="T471" s="3" t="str">
        <f>=HYPERLINK("https://applink.feishu.cn/client/todo/task_list?guid=4d92b9af-66d1-4cd7-95d1-4b753a64ca6b", "跃入迷城")</f>
        <v>跃入迷城</v>
      </c>
      <c r="U471" t="inlineStr">
        <is>
          <t>4d92b9af-66d1-4cd7-95d1-4b753a64ca6b</t>
        </is>
      </c>
      <c r="V471" t="inlineStr">
        <is>
          <t>5756b6db-619a-4e34-a543-4e51d9ee7497</t>
        </is>
      </c>
      <c r="W471"/>
      <c r="X471"/>
      <c r="Y471"/>
      <c r="Z471" t="inlineStr">
        <is>
          <t>0.0.5</t>
        </is>
      </c>
      <c r="AA471" t="inlineStr">
        <is>
          <t>模型</t>
        </is>
      </c>
      <c r="AB471" t="inlineStr">
        <is>
          <t>已完成</t>
        </is>
      </c>
      <c r="AC471" t="inlineStr">
        <is>
          <t>P2 - Nice to Have</t>
        </is>
      </c>
      <c r="AD471" t="inlineStr">
        <is>
          <t>🎨艺术</t>
        </is>
      </c>
      <c r="AE471">
        <v>2</v>
      </c>
    </row>
    <row r="472" ht="25.5" customHeight="1">
      <c r="A472" s="3" t="str">
        <f>=HYPERLINK("https://applink.feishu.cn/client/todo/detail?guid=a3bf6678-89b4-4426-b115-67b31100ea9e&amp;suite_entity_num=t101113", "地板模型 &lt; 劳旅_矩形地板")</f>
        <v>地板模型 &lt; 劳旅_矩形地板</v>
      </c>
      <c r="B472"/>
      <c r="C472" t="inlineStr">
        <is>
          <t>默认分组</t>
        </is>
      </c>
      <c r="D472"/>
      <c r="E472"/>
      <c r="F472" t="inlineStr">
        <is>
          <t>陈吉瑞</t>
        </is>
      </c>
      <c r="G472" t="inlineStr">
        <is>
          <t>龚政涛</t>
        </is>
      </c>
      <c r="H472" s="4">
        <v>45904.99228009259</v>
      </c>
      <c r="I472" s="4">
        <v>45905.60021990741</v>
      </c>
      <c r="J472" s="4">
        <v>45905.333333333336</v>
      </c>
      <c r="K472" s="4">
        <v>45905.60023148148</v>
      </c>
      <c r="L472">
        <v>0</v>
      </c>
      <c r="M472">
        <v>0</v>
      </c>
      <c r="N472" t="inlineStr">
        <is>
          <t>NzQxMzM4ODg5NzkxNDY2NzAwOTphM2JmNjY3OC04OWI0LTQ0MjYtYjExNS02N2IzMTEwMGVhOWU6MzQyNjcyNmE1ZjZmMjI4MmZhOWI5ZDdlMDkwY2M3ZGM6MQ==</t>
        </is>
      </c>
      <c r="O472" t="inlineStr">
        <is>
          <t>1</t>
        </is>
      </c>
      <c r="P472" t="inlineStr">
        <is>
          <t>或签任务</t>
        </is>
      </c>
      <c r="Q472" t="inlineStr">
        <is>
          <t>0</t>
        </is>
      </c>
      <c r="R472" t="inlineStr">
        <is>
          <t>陈吉瑞,龚政涛</t>
        </is>
      </c>
      <c r="S472" s="4"/>
      <c r="T472" s="3" t="str">
        <f>=HYPERLINK("https://applink.feishu.cn/client/todo/task_list?guid=4d92b9af-66d1-4cd7-95d1-4b753a64ca6b", "跃入迷城")</f>
        <v>跃入迷城</v>
      </c>
      <c r="U472" t="inlineStr">
        <is>
          <t>4d92b9af-66d1-4cd7-95d1-4b753a64ca6b</t>
        </is>
      </c>
      <c r="V472" t="inlineStr">
        <is>
          <t>a3bf6678-89b4-4426-b115-67b31100ea9e</t>
        </is>
      </c>
      <c r="W472"/>
      <c r="X472"/>
      <c r="Y472" t="inlineStr">
        <is>
          <t>f0050e9b-0699-4751-8535-d930e5722cad</t>
        </is>
      </c>
      <c r="Z472" t="inlineStr">
        <is>
          <t>0.0.5</t>
        </is>
      </c>
      <c r="AA472" t="inlineStr">
        <is>
          <t>模型</t>
        </is>
      </c>
      <c r="AB472" t="inlineStr">
        <is>
          <t>已完成</t>
        </is>
      </c>
      <c r="AC472" t="inlineStr">
        <is>
          <t>P0 - Must (not) Have</t>
        </is>
      </c>
      <c r="AD472" t="inlineStr">
        <is>
          <t>🎨艺术</t>
        </is>
      </c>
      <c r="AE472">
        <v>2</v>
      </c>
    </row>
    <row r="473" ht="25.5" customHeight="1">
      <c r="A473" s="3" t="str">
        <f>=HYPERLINK("https://applink.feishu.cn/client/todo/detail?guid=d5bd5bf6-3416-4d24-8a04-2b7e506aba38&amp;suite_entity_num=t101116", "门设计稿")</f>
        <v>门设计稿</v>
      </c>
      <c r="B473"/>
      <c r="C473" t="inlineStr">
        <is>
          <t>默认分组</t>
        </is>
      </c>
      <c r="D473"/>
      <c r="E473"/>
      <c r="F473" t="inlineStr">
        <is>
          <t>瞿敬雄</t>
        </is>
      </c>
      <c r="G473" t="inlineStr">
        <is>
          <t>龚政涛</t>
        </is>
      </c>
      <c r="H473" s="4">
        <v>45904.99244212963</v>
      </c>
      <c r="I473" s="4">
        <v>45908.412199074075</v>
      </c>
      <c r="J473" s="4">
        <v>45905.333333333336</v>
      </c>
      <c r="K473" s="4">
        <v>45908.412199074075</v>
      </c>
      <c r="L473">
        <v>0</v>
      </c>
      <c r="M473">
        <v>0</v>
      </c>
      <c r="N473" t="inlineStr">
        <is>
          <t>NzQxMzM4ODg5NzkxNDY2NzAwOTpkNWJkNWJmNi0zNDE2LTRkMjQtOGEwNC0yYjdlNTA2YWJhMzg6YjNiMTg4ZWE3ZDc5YWM3MDk0N2EwNTBmMTI5ZTEzMzM6MQ==</t>
        </is>
      </c>
      <c r="O473" t="inlineStr">
        <is>
          <t>1</t>
        </is>
      </c>
      <c r="P473" t="inlineStr">
        <is>
          <t>或签任务</t>
        </is>
      </c>
      <c r="Q473" t="inlineStr">
        <is>
          <t>0</t>
        </is>
      </c>
      <c r="R473" t="inlineStr">
        <is>
          <t>龚政涛,瞿敬雄</t>
        </is>
      </c>
      <c r="S473" s="4"/>
      <c r="T473" s="3" t="str">
        <f>=HYPERLINK("https://applink.feishu.cn/client/todo/task_list?guid=4d92b9af-66d1-4cd7-95d1-4b753a64ca6b", "跃入迷城")</f>
        <v>跃入迷城</v>
      </c>
      <c r="U473" t="inlineStr">
        <is>
          <t>4d92b9af-66d1-4cd7-95d1-4b753a64ca6b</t>
        </is>
      </c>
      <c r="V473" t="inlineStr">
        <is>
          <t>d5bd5bf6-3416-4d24-8a04-2b7e506aba38</t>
        </is>
      </c>
      <c r="W473"/>
      <c r="X473"/>
      <c r="Y473"/>
      <c r="Z473" t="inlineStr">
        <is>
          <t>0.0.5</t>
        </is>
      </c>
      <c r="AA473" t="inlineStr">
        <is>
          <t>模型</t>
        </is>
      </c>
      <c r="AB473" t="inlineStr">
        <is>
          <t>已完成</t>
        </is>
      </c>
      <c r="AC473" t="inlineStr">
        <is>
          <t>P1 - Bigger the Better</t>
        </is>
      </c>
      <c r="AD473" t="inlineStr">
        <is>
          <t>🎨艺术</t>
        </is>
      </c>
      <c r="AE473">
        <v>4</v>
      </c>
    </row>
    <row r="474" ht="25.5" customHeight="1">
      <c r="A474" s="3" t="str">
        <f>=HYPERLINK("https://applink.feishu.cn/client/todo/detail?guid=4b1101f5-c9f8-43b5-be26-ab4d8e250c79&amp;suite_entity_num=t101114", "窗模型 &lt; 劳旅_带窗墙壁")</f>
        <v>窗模型 &lt; 劳旅_带窗墙壁</v>
      </c>
      <c r="B474"/>
      <c r="C474" t="inlineStr">
        <is>
          <t>默认分组</t>
        </is>
      </c>
      <c r="D474"/>
      <c r="E474"/>
      <c r="F474" t="inlineStr">
        <is>
          <t>陈吉瑞</t>
        </is>
      </c>
      <c r="G474" t="inlineStr">
        <is>
          <t>龚政涛</t>
        </is>
      </c>
      <c r="H474" s="4">
        <v>45904.99232638889</v>
      </c>
      <c r="I474" s="4">
        <v>45905.59407407408</v>
      </c>
      <c r="J474" s="4">
        <v>45905.333333333336</v>
      </c>
      <c r="K474" s="4">
        <v>45905.59408564815</v>
      </c>
      <c r="L474">
        <v>0</v>
      </c>
      <c r="M474">
        <v>0</v>
      </c>
      <c r="N474" t="inlineStr">
        <is>
          <t>NzQxMzM4ODg5NzkxNDY2NzAwOTo0YjExMDFmNS1jOWY4LTQzYjUtYmUyNi1hYjRkOGUyNTBjNzk6ZDJmMjg4ZjM3OTU4MWZhMmY2YTYzYmViZDAxNzRiZmE6MQ==</t>
        </is>
      </c>
      <c r="O474" t="inlineStr">
        <is>
          <t>1</t>
        </is>
      </c>
      <c r="P474" t="inlineStr">
        <is>
          <t>或签任务</t>
        </is>
      </c>
      <c r="Q474" t="inlineStr">
        <is>
          <t>0</t>
        </is>
      </c>
      <c r="R474" t="inlineStr">
        <is>
          <t>龚政涛,陈吉瑞</t>
        </is>
      </c>
      <c r="S474" s="4"/>
      <c r="T474" s="3" t="str">
        <f>=HYPERLINK("https://applink.feishu.cn/client/todo/task_list?guid=4d92b9af-66d1-4cd7-95d1-4b753a64ca6b", "跃入迷城")</f>
        <v>跃入迷城</v>
      </c>
      <c r="U474" t="inlineStr">
        <is>
          <t>4d92b9af-66d1-4cd7-95d1-4b753a64ca6b</t>
        </is>
      </c>
      <c r="V474" t="inlineStr">
        <is>
          <t>4b1101f5-c9f8-43b5-be26-ab4d8e250c79</t>
        </is>
      </c>
      <c r="W474"/>
      <c r="X474"/>
      <c r="Y474" t="inlineStr">
        <is>
          <t>84d195c5-25f8-49ea-8eed-cfe773681f4f</t>
        </is>
      </c>
      <c r="Z474" t="inlineStr">
        <is>
          <t>0.0.5</t>
        </is>
      </c>
      <c r="AA474" t="inlineStr">
        <is>
          <t>模型</t>
        </is>
      </c>
      <c r="AB474" t="inlineStr">
        <is>
          <t>已完成</t>
        </is>
      </c>
      <c r="AC474" t="inlineStr">
        <is>
          <t>P1 - Bigger the Better</t>
        </is>
      </c>
      <c r="AD474" t="inlineStr">
        <is>
          <t>🎨艺术</t>
        </is>
      </c>
      <c r="AE474">
        <v>4</v>
      </c>
    </row>
    <row r="475" ht="25.5" customHeight="1">
      <c r="A475" s="3" t="str">
        <f>=HYPERLINK("https://applink.feishu.cn/client/todo/detail?guid=d4791e47-7d7c-46ac-bb46-edfe062aea5a&amp;suite_entity_num=t101120", "窗贴图 &lt; 劳旅_带窗墙壁")</f>
        <v>窗贴图 &lt; 劳旅_带窗墙壁</v>
      </c>
      <c r="B475"/>
      <c r="C475" t="inlineStr">
        <is>
          <t>默认分组</t>
        </is>
      </c>
      <c r="D475"/>
      <c r="E475"/>
      <c r="F475" t="inlineStr">
        <is>
          <t>陈吉瑞</t>
        </is>
      </c>
      <c r="G475" t="inlineStr">
        <is>
          <t>龚政涛</t>
        </is>
      </c>
      <c r="H475" s="4">
        <v>45905.59364583333</v>
      </c>
      <c r="I475" s="4">
        <v>45915.46042824074</v>
      </c>
      <c r="J475" s="4">
        <v>45911.333333333336</v>
      </c>
      <c r="K475" s="4">
        <v>45915.460439814815</v>
      </c>
      <c r="L475">
        <v>0</v>
      </c>
      <c r="M475">
        <v>0</v>
      </c>
      <c r="N475" t="inlineStr">
        <is>
          <t>NzQxMzM4ODg5NzkxNDY2NzAwOTpkNDc5MWU0Ny03ZDdjLTQ2YWMtYmI0Ni1lZGZlMDYyYWVhNWE6OTE1MWJkNTgzNTBmNWJmOTQ4NWFiMGQ2NDA2MDFiMzM6MQ==</t>
        </is>
      </c>
      <c r="O475" t="inlineStr">
        <is>
          <t>1</t>
        </is>
      </c>
      <c r="P475" t="inlineStr">
        <is>
          <t>或签任务</t>
        </is>
      </c>
      <c r="Q475" t="inlineStr">
        <is>
          <t>0</t>
        </is>
      </c>
      <c r="R475" t="inlineStr">
        <is>
          <t>陈吉瑞,龚政涛</t>
        </is>
      </c>
      <c r="S475" s="4">
        <v>45905.333333333336</v>
      </c>
      <c r="T475" s="3" t="str">
        <f>=HYPERLINK("https://applink.feishu.cn/client/todo/task_list?guid=4d92b9af-66d1-4cd7-95d1-4b753a64ca6b", "跃入迷城")</f>
        <v>跃入迷城</v>
      </c>
      <c r="U475" t="inlineStr">
        <is>
          <t>4d92b9af-66d1-4cd7-95d1-4b753a64ca6b</t>
        </is>
      </c>
      <c r="V475" t="inlineStr">
        <is>
          <t>d4791e47-7d7c-46ac-bb46-edfe062aea5a</t>
        </is>
      </c>
      <c r="W475"/>
      <c r="X475"/>
      <c r="Y475" t="inlineStr">
        <is>
          <t>84d195c5-25f8-49ea-8eed-cfe773681f4f</t>
        </is>
      </c>
      <c r="Z475" t="inlineStr">
        <is>
          <t>0.0.5</t>
        </is>
      </c>
      <c r="AA475" t="inlineStr">
        <is>
          <t>模型</t>
        </is>
      </c>
      <c r="AB475" t="inlineStr">
        <is>
          <t>已完成</t>
        </is>
      </c>
      <c r="AC475" t="inlineStr">
        <is>
          <t>P1 - Bigger the Better</t>
        </is>
      </c>
      <c r="AD475" t="inlineStr">
        <is>
          <t>🎨艺术</t>
        </is>
      </c>
      <c r="AE475">
        <v>4</v>
      </c>
    </row>
    <row r="476" ht="25.5" customHeight="1">
      <c r="A476" s="3" t="str">
        <f>=HYPERLINK("https://applink.feishu.cn/client/todo/detail?guid=d24713d4-f7d8-4abd-b570-08cbd93b95fa&amp;suite_entity_num=t101123", "8角柱贴图")</f>
        <v>8角柱贴图</v>
      </c>
      <c r="B476"/>
      <c r="C476" t="inlineStr">
        <is>
          <t>默认分组</t>
        </is>
      </c>
      <c r="D476"/>
      <c r="E476"/>
      <c r="F476" t="inlineStr">
        <is>
          <t>陈吉瑞</t>
        </is>
      </c>
      <c r="G476" t="inlineStr">
        <is>
          <t>龚政涛</t>
        </is>
      </c>
      <c r="H476" s="4">
        <v>45905.600381944445</v>
      </c>
      <c r="I476" s="4">
        <v>45911.41106481481</v>
      </c>
      <c r="J476" s="4">
        <v>45908.333333333336</v>
      </c>
      <c r="K476" s="4">
        <v>45911.411087962966</v>
      </c>
      <c r="L476">
        <v>0</v>
      </c>
      <c r="M476">
        <v>0</v>
      </c>
      <c r="N476" t="inlineStr">
        <is>
          <t>NzQxMzM4ODg5NzkxNDY2NzAwOTpkMjQ3MTNkNC1mN2Q4LTRhYmQtYjU3MC0wOGNiZDkzYjk1ZmE6M2IyMTQxOGNlZDk0ZGMxNTgwZDcxNGExMDBiOGVkN2U6MQ==</t>
        </is>
      </c>
      <c r="O476" t="inlineStr">
        <is>
          <t>1</t>
        </is>
      </c>
      <c r="P476" t="inlineStr">
        <is>
          <t>或签任务</t>
        </is>
      </c>
      <c r="Q476" t="inlineStr">
        <is>
          <t>0</t>
        </is>
      </c>
      <c r="R476" t="inlineStr">
        <is>
          <t>陈吉瑞,龚政涛</t>
        </is>
      </c>
      <c r="S476" s="4">
        <v>45905.333333333336</v>
      </c>
      <c r="T476" s="3" t="str">
        <f>=HYPERLINK("https://applink.feishu.cn/client/todo/task_list?guid=4d92b9af-66d1-4cd7-95d1-4b753a64ca6b", "跃入迷城")</f>
        <v>跃入迷城</v>
      </c>
      <c r="U476" t="inlineStr">
        <is>
          <t>4d92b9af-66d1-4cd7-95d1-4b753a64ca6b</t>
        </is>
      </c>
      <c r="V476" t="inlineStr">
        <is>
          <t>d24713d4-f7d8-4abd-b570-08cbd93b95fa</t>
        </is>
      </c>
      <c r="W476"/>
      <c r="X476"/>
      <c r="Y476"/>
      <c r="Z476" t="inlineStr">
        <is>
          <t>0.0.5</t>
        </is>
      </c>
      <c r="AA476" t="inlineStr">
        <is>
          <t>模型</t>
        </is>
      </c>
      <c r="AB476" t="inlineStr">
        <is>
          <t>已完成</t>
        </is>
      </c>
      <c r="AC476" t="inlineStr">
        <is>
          <t>P1 - Bigger the Better</t>
        </is>
      </c>
      <c r="AD476" t="inlineStr">
        <is>
          <t>🎨艺术</t>
        </is>
      </c>
      <c r="AE476">
        <v>1</v>
      </c>
    </row>
    <row r="477" ht="25.5" customHeight="1">
      <c r="A477" s="3" t="str">
        <f>=HYPERLINK("https://applink.feishu.cn/client/todo/detail?guid=acad6b57-18bf-4865-87c1-9fad5495acb9&amp;suite_entity_num=t101121", "三角形地板模型")</f>
        <v>三角形地板模型</v>
      </c>
      <c r="B477"/>
      <c r="C477" t="inlineStr">
        <is>
          <t>默认分组</t>
        </is>
      </c>
      <c r="D477"/>
      <c r="E477"/>
      <c r="F477" t="inlineStr">
        <is>
          <t>陈吉瑞</t>
        </is>
      </c>
      <c r="G477" t="inlineStr">
        <is>
          <t>龚政涛</t>
        </is>
      </c>
      <c r="H477" s="4">
        <v>45905.59788194444</v>
      </c>
      <c r="I477" s="4"/>
      <c r="J477" s="4">
        <v>45918.333333333336</v>
      </c>
      <c r="K477" s="4">
        <v>45918.4396412037</v>
      </c>
      <c r="L477">
        <v>0</v>
      </c>
      <c r="M477">
        <v>0</v>
      </c>
      <c r="N477" t="inlineStr">
        <is>
          <t>NzQxMzM4ODg5NzkxNDY2NzAwOTphY2FkNmI1Ny0xOGJmLTQ4NjUtODdjMS05ZmFkNTQ5NWFjYjk6OTIwZjE2MTY1MjEzNTU0ZmM2MDc4NTFjYjBjOGM2MGQ6MQ==</t>
        </is>
      </c>
      <c r="O477" t="inlineStr">
        <is>
          <t>0</t>
        </is>
      </c>
      <c r="P477" t="inlineStr">
        <is>
          <t>或签任务</t>
        </is>
      </c>
      <c r="Q477" t="inlineStr">
        <is>
          <t>0</t>
        </is>
      </c>
      <c r="R477" t="inlineStr">
        <is>
          <t>陈吉瑞,龚政涛</t>
        </is>
      </c>
      <c r="S477" s="4">
        <v>45905.333333333336</v>
      </c>
      <c r="T477" s="3" t="str">
        <f>=HYPERLINK("https://applink.feishu.cn/client/todo/task_list?guid=4d92b9af-66d1-4cd7-95d1-4b753a64ca6b", "跃入迷城")</f>
        <v>跃入迷城</v>
      </c>
      <c r="U477" t="inlineStr">
        <is>
          <t>4d92b9af-66d1-4cd7-95d1-4b753a64ca6b</t>
        </is>
      </c>
      <c r="V477" t="inlineStr">
        <is>
          <t>acad6b57-18bf-4865-87c1-9fad5495acb9</t>
        </is>
      </c>
      <c r="W477"/>
      <c r="X477"/>
      <c r="Y477"/>
      <c r="Z477" t="inlineStr">
        <is>
          <t>0.0.5</t>
        </is>
      </c>
      <c r="AA477" t="inlineStr">
        <is>
          <t>模型</t>
        </is>
      </c>
      <c r="AB477" t="inlineStr">
        <is>
          <t>工作中</t>
        </is>
      </c>
      <c r="AC477" t="inlineStr">
        <is>
          <t>P1 - Bigger the Better</t>
        </is>
      </c>
      <c r="AD477" t="inlineStr">
        <is>
          <t>🎨艺术</t>
        </is>
      </c>
      <c r="AE477">
        <v>4</v>
      </c>
    </row>
    <row r="478" ht="25.5" customHeight="1">
      <c r="A478" s="3" t="str">
        <f>=HYPERLINK("https://applink.feishu.cn/client/todo/detail?guid=ae0e44a4-43d0-4e1c-bf3e-e6c8eca93804&amp;suite_entity_num=t101122", "地板贴图 &lt; 劳旅_矩形地板")</f>
        <v>地板贴图 &lt; 劳旅_矩形地板</v>
      </c>
      <c r="B478"/>
      <c r="C478" t="inlineStr">
        <is>
          <t>默认分组</t>
        </is>
      </c>
      <c r="D478"/>
      <c r="E478"/>
      <c r="F478" t="inlineStr">
        <is>
          <t>陈吉瑞</t>
        </is>
      </c>
      <c r="G478" t="inlineStr">
        <is>
          <t>龚政涛</t>
        </is>
      </c>
      <c r="H478" s="4">
        <v>45905.59887731481</v>
      </c>
      <c r="I478" s="4"/>
      <c r="J478" s="4">
        <v>45918.333333333336</v>
      </c>
      <c r="K478" s="4">
        <v>45918.43966435185</v>
      </c>
      <c r="L478">
        <v>0</v>
      </c>
      <c r="M478">
        <v>0</v>
      </c>
      <c r="N478" t="inlineStr">
        <is>
          <t>NzQxMzM4ODg5NzkxNDY2NzAwOTphZTBlNDRhNC00M2QwLTRlMWMtYmYzZS1lNmM4ZWNhOTM4MDQ6MjY2MWZhNGVmODk2YTE4OTdkNjQ1MTI0Y2RjZjE2MDY6MQ==</t>
        </is>
      </c>
      <c r="O478" t="inlineStr">
        <is>
          <t>0</t>
        </is>
      </c>
      <c r="P478" t="inlineStr">
        <is>
          <t>或签任务</t>
        </is>
      </c>
      <c r="Q478" t="inlineStr">
        <is>
          <t>0</t>
        </is>
      </c>
      <c r="R478" t="inlineStr">
        <is>
          <t>龚政涛,陈吉瑞</t>
        </is>
      </c>
      <c r="S478" s="4">
        <v>45905.333333333336</v>
      </c>
      <c r="T478" s="3" t="str">
        <f>=HYPERLINK("https://applink.feishu.cn/client/todo/task_list?guid=4d92b9af-66d1-4cd7-95d1-4b753a64ca6b", "跃入迷城")</f>
        <v>跃入迷城</v>
      </c>
      <c r="U478" t="inlineStr">
        <is>
          <t>4d92b9af-66d1-4cd7-95d1-4b753a64ca6b</t>
        </is>
      </c>
      <c r="V478" t="inlineStr">
        <is>
          <t>ae0e44a4-43d0-4e1c-bf3e-e6c8eca93804</t>
        </is>
      </c>
      <c r="W478"/>
      <c r="X478"/>
      <c r="Y478" t="inlineStr">
        <is>
          <t>f0050e9b-0699-4751-8535-d930e5722cad</t>
        </is>
      </c>
      <c r="Z478" t="inlineStr">
        <is>
          <t>0.0.5</t>
        </is>
      </c>
      <c r="AA478" t="inlineStr">
        <is>
          <t>模型</t>
        </is>
      </c>
      <c r="AB478" t="inlineStr">
        <is>
          <t>工作中</t>
        </is>
      </c>
      <c r="AC478" t="inlineStr">
        <is>
          <t>P1 - Bigger the Better</t>
        </is>
      </c>
      <c r="AD478" t="inlineStr">
        <is>
          <t>🎨艺术</t>
        </is>
      </c>
      <c r="AE478">
        <v>4</v>
      </c>
    </row>
    <row r="479" ht="25.5" customHeight="1">
      <c r="A479" s="3" t="str">
        <f>=HYPERLINK("https://applink.feishu.cn/client/todo/detail?guid=a1c7f7eb-03e3-4bb3-a2ce-577b3370bf6f&amp;suite_entity_num=t101126", "义体LOGO模板")</f>
        <v>义体LOGO模板</v>
      </c>
      <c r="B479"/>
      <c r="C479" t="inlineStr">
        <is>
          <t>默认分组</t>
        </is>
      </c>
      <c r="D479"/>
      <c r="E479"/>
      <c r="F479" t="inlineStr">
        <is>
          <t>郭斯已</t>
        </is>
      </c>
      <c r="G479" t="inlineStr">
        <is>
          <t>龚政涛</t>
        </is>
      </c>
      <c r="H479" s="4">
        <v>45908.41204861111</v>
      </c>
      <c r="I479" s="4">
        <v>45917.45070601852</v>
      </c>
      <c r="J479" s="4">
        <v>45911.333333333336</v>
      </c>
      <c r="K479" s="4">
        <v>45917.45070601852</v>
      </c>
      <c r="L479">
        <v>0</v>
      </c>
      <c r="M479">
        <v>0</v>
      </c>
      <c r="N479" t="inlineStr">
        <is>
          <t>NzQxMzM4ODg5NzkxNDY2NzAwOTphMWM3ZjdlYi0wM2UzLTRiYjMtYTJjZS01NzdiMzM3MGJmNmY6NjI1ZjgzZWFjZmI3ZjkwZmFiOTY3ODI4NjhhNmU1YzI6MQ==</t>
        </is>
      </c>
      <c r="O479" t="inlineStr">
        <is>
          <t>1</t>
        </is>
      </c>
      <c r="P479" t="inlineStr">
        <is>
          <t>或签任务</t>
        </is>
      </c>
      <c r="Q479" t="inlineStr">
        <is>
          <t>0</t>
        </is>
      </c>
      <c r="R479" t="inlineStr">
        <is>
          <t>郭斯已,龚政涛</t>
        </is>
      </c>
      <c r="S479" s="4"/>
      <c r="T479" s="3" t="str">
        <f>=HYPERLINK("https://applink.feishu.cn/client/todo/task_list?guid=4d92b9af-66d1-4cd7-95d1-4b753a64ca6b", "跃入迷城")</f>
        <v>跃入迷城</v>
      </c>
      <c r="U479" t="inlineStr">
        <is>
          <t>4d92b9af-66d1-4cd7-95d1-4b753a64ca6b</t>
        </is>
      </c>
      <c r="V479" t="inlineStr">
        <is>
          <t>a1c7f7eb-03e3-4bb3-a2ce-577b3370bf6f</t>
        </is>
      </c>
      <c r="W479"/>
      <c r="X479"/>
      <c r="Y479"/>
      <c r="Z479" t="inlineStr">
        <is>
          <t>0.0.5</t>
        </is>
      </c>
      <c r="AA479" t="inlineStr">
        <is>
          <t>UIUX</t>
        </is>
      </c>
      <c r="AB479" t="inlineStr">
        <is>
          <t>已完成</t>
        </is>
      </c>
      <c r="AC479" t="inlineStr">
        <is>
          <t>P2 - Nice to Have</t>
        </is>
      </c>
      <c r="AD479" t="inlineStr">
        <is>
          <t>🎨艺术</t>
        </is>
      </c>
      <c r="AE479">
        <v>4</v>
      </c>
    </row>
    <row r="480" ht="25.5" customHeight="1">
      <c r="A480" s="3" t="str">
        <f>=HYPERLINK("https://applink.feishu.cn/client/todo/detail?guid=7fa9a1ef-f018-41c5-b067-a3189217150b&amp;suite_entity_num=t101125", "阵营LOGO")</f>
        <v>阵营LOGO</v>
      </c>
      <c r="B480"/>
      <c r="C480" t="inlineStr">
        <is>
          <t>默认分组</t>
        </is>
      </c>
      <c r="D480"/>
      <c r="E480"/>
      <c r="F480" t="inlineStr">
        <is>
          <t>郭斯已</t>
        </is>
      </c>
      <c r="G480" t="inlineStr">
        <is>
          <t>龚政涛</t>
        </is>
      </c>
      <c r="H480" s="4">
        <v>45908.411631944444</v>
      </c>
      <c r="I480" s="4">
        <v>45917.45060185185</v>
      </c>
      <c r="J480" s="4">
        <v>45911.333333333336</v>
      </c>
      <c r="K480" s="4">
        <v>45917.45061342593</v>
      </c>
      <c r="L480">
        <v>0</v>
      </c>
      <c r="M480">
        <v>0</v>
      </c>
      <c r="N480" t="inlineStr">
        <is>
          <t>NzQxMzM4ODg5NzkxNDY2NzAwOTo3ZmE5YTFlZi1mMDE4LTQxYzUtYjA2Ny1hMzE4OTIxNzE1MGI6OTlhZjIzMjRkMGUxZjlhMWYzYTg5ZGY2NWM4NmMzM2Y6MQ==</t>
        </is>
      </c>
      <c r="O480" t="inlineStr">
        <is>
          <t>1</t>
        </is>
      </c>
      <c r="P480" t="inlineStr">
        <is>
          <t>或签任务</t>
        </is>
      </c>
      <c r="Q480" t="inlineStr">
        <is>
          <t>0</t>
        </is>
      </c>
      <c r="R480" t="inlineStr">
        <is>
          <t>龚政涛,郭斯已</t>
        </is>
      </c>
      <c r="S480" s="4"/>
      <c r="T480" s="3" t="str">
        <f>=HYPERLINK("https://applink.feishu.cn/client/todo/task_list?guid=4d92b9af-66d1-4cd7-95d1-4b753a64ca6b", "跃入迷城")</f>
        <v>跃入迷城</v>
      </c>
      <c r="U480" t="inlineStr">
        <is>
          <t>4d92b9af-66d1-4cd7-95d1-4b753a64ca6b</t>
        </is>
      </c>
      <c r="V480" t="inlineStr">
        <is>
          <t>7fa9a1ef-f018-41c5-b067-a3189217150b</t>
        </is>
      </c>
      <c r="W480"/>
      <c r="X480"/>
      <c r="Y480"/>
      <c r="Z480" t="inlineStr">
        <is>
          <t>0.0.5</t>
        </is>
      </c>
      <c r="AA480" t="inlineStr">
        <is>
          <t>UIUX</t>
        </is>
      </c>
      <c r="AB480" t="inlineStr">
        <is>
          <t>已完成</t>
        </is>
      </c>
      <c r="AC480" t="inlineStr">
        <is>
          <t>P2 - Nice to Have</t>
        </is>
      </c>
      <c r="AD480" t="inlineStr">
        <is>
          <t>🎨艺术</t>
        </is>
      </c>
      <c r="AE480">
        <v>4</v>
      </c>
    </row>
    <row r="481" ht="25.5" customHeight="1">
      <c r="A481" s="3" t="str">
        <f>=HYPERLINK("https://applink.feishu.cn/client/todo/detail?guid=26645d1d-6c07-40c7-93b0-2a08c660d2ca&amp;suite_entity_num=t101128", "电梯设计稿")</f>
        <v>电梯设计稿</v>
      </c>
      <c r="B481"/>
      <c r="C481" t="inlineStr">
        <is>
          <t>默认分组</t>
        </is>
      </c>
      <c r="D481"/>
      <c r="E481"/>
      <c r="F481" t="inlineStr">
        <is>
          <t>瞿敬雄</t>
        </is>
      </c>
      <c r="G481" t="inlineStr">
        <is>
          <t>龚政涛</t>
        </is>
      </c>
      <c r="H481" s="4">
        <v>45908.41247685185</v>
      </c>
      <c r="I481" s="4">
        <v>45925.63162037037</v>
      </c>
      <c r="J481" s="4">
        <v>45915.333333333336</v>
      </c>
      <c r="K481" s="4">
        <v>45925.63162037037</v>
      </c>
      <c r="L481">
        <v>0</v>
      </c>
      <c r="M481">
        <v>0</v>
      </c>
      <c r="N481" t="inlineStr">
        <is>
          <t>NzQxMzM4ODg5NzkxNDY2NzAwOToyNjY0NWQxZC02YzA3LTQwYzctOTNiMC0yYTA4YzY2MGQyY2E6YjJhZTI0MWQyNmNhYjU2MDY1ZWY3ZmZhMWI0MDAyOTU6MQ==</t>
        </is>
      </c>
      <c r="O481" t="inlineStr">
        <is>
          <t>1</t>
        </is>
      </c>
      <c r="P481" t="inlineStr">
        <is>
          <t>或签任务</t>
        </is>
      </c>
      <c r="Q481" t="inlineStr">
        <is>
          <t>0</t>
        </is>
      </c>
      <c r="R481" t="inlineStr">
        <is>
          <t>瞿敬雄,龚政涛</t>
        </is>
      </c>
      <c r="S481" s="4">
        <v>45911.333333333336</v>
      </c>
      <c r="T481" s="3" t="str">
        <f>=HYPERLINK("https://applink.feishu.cn/client/todo/task_list?guid=4d92b9af-66d1-4cd7-95d1-4b753a64ca6b", "跃入迷城")</f>
        <v>跃入迷城</v>
      </c>
      <c r="U481" t="inlineStr">
        <is>
          <t>4d92b9af-66d1-4cd7-95d1-4b753a64ca6b</t>
        </is>
      </c>
      <c r="V481" t="inlineStr">
        <is>
          <t>26645d1d-6c07-40c7-93b0-2a08c660d2ca</t>
        </is>
      </c>
      <c r="W481"/>
      <c r="X481"/>
      <c r="Y481"/>
      <c r="Z481" t="inlineStr">
        <is>
          <t>0.0.5</t>
        </is>
      </c>
      <c r="AA481" t="inlineStr">
        <is>
          <t>模型</t>
        </is>
      </c>
      <c r="AB481" t="inlineStr">
        <is>
          <t>工作中</t>
        </is>
      </c>
      <c r="AC481" t="inlineStr">
        <is>
          <t>P1 - Bigger the Better</t>
        </is>
      </c>
      <c r="AD481" t="inlineStr">
        <is>
          <t>🎨艺术</t>
        </is>
      </c>
      <c r="AE481">
        <v>6</v>
      </c>
    </row>
    <row r="482" ht="25.5" customHeight="1">
      <c r="A482" s="3" t="str">
        <f>=HYPERLINK("https://applink.feishu.cn/client/todo/detail?guid=24a39844-56a1-4106-a93f-ad77219a95ab&amp;suite_entity_num=t101127", "更多门设计稿")</f>
        <v>更多门设计稿</v>
      </c>
      <c r="B482"/>
      <c r="C482" t="inlineStr">
        <is>
          <t>默认分组</t>
        </is>
      </c>
      <c r="D482"/>
      <c r="E482"/>
      <c r="F482" t="inlineStr">
        <is>
          <t>瞿敬雄</t>
        </is>
      </c>
      <c r="G482" t="inlineStr">
        <is>
          <t>龚政涛</t>
        </is>
      </c>
      <c r="H482" s="4">
        <v>45908.412407407406</v>
      </c>
      <c r="I482" s="4">
        <v>45930.576875</v>
      </c>
      <c r="J482" s="4">
        <v>45915.333333333336</v>
      </c>
      <c r="K482" s="4">
        <v>45930.576886574076</v>
      </c>
      <c r="L482">
        <v>0</v>
      </c>
      <c r="M482">
        <v>0</v>
      </c>
      <c r="N482" t="inlineStr">
        <is>
          <t>NzQxMzM4ODg5NzkxNDY2NzAwOToyNGEzOTg0NC01NmExLTQxMDYtYTkzZi1hZDc3MjE5YTk1YWI6OWRjYWM4OTQyNzg1Y2VlNmQxNzc3ZTljN2U1NDliNGE6MQ==</t>
        </is>
      </c>
      <c r="O482" t="inlineStr">
        <is>
          <t>1</t>
        </is>
      </c>
      <c r="P482" t="inlineStr">
        <is>
          <t>或签任务</t>
        </is>
      </c>
      <c r="Q482" t="inlineStr">
        <is>
          <t>0</t>
        </is>
      </c>
      <c r="R482" t="inlineStr">
        <is>
          <t>瞿敬雄,龚政涛</t>
        </is>
      </c>
      <c r="S482" s="4">
        <v>45912.333333333336</v>
      </c>
      <c r="T482" s="3" t="str">
        <f>=HYPERLINK("https://applink.feishu.cn/client/todo/task_list?guid=4d92b9af-66d1-4cd7-95d1-4b753a64ca6b", "跃入迷城")</f>
        <v>跃入迷城</v>
      </c>
      <c r="U482" t="inlineStr">
        <is>
          <t>4d92b9af-66d1-4cd7-95d1-4b753a64ca6b</t>
        </is>
      </c>
      <c r="V482" t="inlineStr">
        <is>
          <t>24a39844-56a1-4106-a93f-ad77219a95ab</t>
        </is>
      </c>
      <c r="W482"/>
      <c r="X482"/>
      <c r="Y482"/>
      <c r="Z482" t="inlineStr">
        <is>
          <t>0.0.5</t>
        </is>
      </c>
      <c r="AA482" t="inlineStr">
        <is>
          <t>模型</t>
        </is>
      </c>
      <c r="AB482" t="inlineStr">
        <is>
          <t>工作中</t>
        </is>
      </c>
      <c r="AC482" t="inlineStr">
        <is>
          <t>P2 - Nice to Have</t>
        </is>
      </c>
      <c r="AD482" t="inlineStr">
        <is>
          <t>🎨艺术</t>
        </is>
      </c>
      <c r="AE482">
        <v>2</v>
      </c>
    </row>
    <row r="483" ht="25.5" customHeight="1">
      <c r="A483" s="3" t="str">
        <f>=HYPERLINK("https://applink.feishu.cn/client/todo/detail?guid=4371b973-848c-4971-b699-2fda57003b3f&amp;suite_entity_num=t101130", "把门放到墙壁上出一个设计稿")</f>
        <v>把门放到墙壁上出一个设计稿</v>
      </c>
      <c r="B483"/>
      <c r="C483" t="inlineStr">
        <is>
          <t>默认分组</t>
        </is>
      </c>
      <c r="D483"/>
      <c r="E483"/>
      <c r="F483" t="inlineStr">
        <is>
          <t>瞿敬雄</t>
        </is>
      </c>
      <c r="G483" t="inlineStr">
        <is>
          <t>龚政涛</t>
        </is>
      </c>
      <c r="H483" s="4">
        <v>45908.46491898148</v>
      </c>
      <c r="I483" s="4">
        <v>45930.576898148145</v>
      </c>
      <c r="J483" s="4"/>
      <c r="K483" s="4">
        <v>45930.576898148145</v>
      </c>
      <c r="L483">
        <v>0</v>
      </c>
      <c r="M483">
        <v>0</v>
      </c>
      <c r="N483" t="inlineStr">
        <is>
          <t>NzQxMzM4ODg5NzkxNDY2NzAwOTo0MzcxYjk3My04NDhjLTQ5NzEtYjY5OS0yZmRhNTcwMDNiM2Y6ZTk3MzE3ZDIxZGFhOTAxMzg1NzA2OWZlMDI4MzU1MjE6MQ==</t>
        </is>
      </c>
      <c r="O483" t="inlineStr">
        <is>
          <t>1</t>
        </is>
      </c>
      <c r="P483" t="inlineStr">
        <is>
          <t>或签任务</t>
        </is>
      </c>
      <c r="Q483" t="inlineStr">
        <is>
          <t>0</t>
        </is>
      </c>
      <c r="R483" t="inlineStr">
        <is>
          <t>龚政涛,瞿敬雄</t>
        </is>
      </c>
      <c r="S483" s="4"/>
      <c r="T483" s="3" t="str">
        <f>=HYPERLINK("https://applink.feishu.cn/client/todo/task_list?guid=4d92b9af-66d1-4cd7-95d1-4b753a64ca6b", "跃入迷城")</f>
        <v>跃入迷城</v>
      </c>
      <c r="U483" t="inlineStr">
        <is>
          <t>4d92b9af-66d1-4cd7-95d1-4b753a64ca6b</t>
        </is>
      </c>
      <c r="V483" t="inlineStr">
        <is>
          <t>4371b973-848c-4971-b699-2fda57003b3f</t>
        </is>
      </c>
      <c r="W483"/>
      <c r="X483"/>
      <c r="Y483"/>
      <c r="Z483"/>
      <c r="AA483"/>
      <c r="AB483"/>
      <c r="AC483"/>
      <c r="AD483"/>
      <c r="AE483"/>
    </row>
    <row r="484" ht="25.5" customHeight="1">
      <c r="A484" s="3" t="str">
        <f>=HYPERLINK("https://applink.feishu.cn/client/todo/detail?guid=c098baad-cdcb-4f07-9726-4cf5378e74c7&amp;suite_entity_num=t101131", "把门放到墙壁上出一个设计稿")</f>
        <v>把门放到墙壁上出一个设计稿</v>
      </c>
      <c r="B484"/>
      <c r="C484" t="inlineStr">
        <is>
          <t>默认分组</t>
        </is>
      </c>
      <c r="D484"/>
      <c r="E484"/>
      <c r="F484" t="inlineStr">
        <is>
          <t>瞿敬雄</t>
        </is>
      </c>
      <c r="G484" t="inlineStr">
        <is>
          <t>龚政涛</t>
        </is>
      </c>
      <c r="H484" s="4">
        <v>45908.465104166666</v>
      </c>
      <c r="I484" s="4">
        <v>45915.457824074074</v>
      </c>
      <c r="J484" s="4">
        <v>45911.333333333336</v>
      </c>
      <c r="K484" s="4">
        <v>45915.457824074074</v>
      </c>
      <c r="L484">
        <v>0</v>
      </c>
      <c r="M484">
        <v>0</v>
      </c>
      <c r="N484" t="inlineStr">
        <is>
          <t>NzQxMzM4ODg5NzkxNDY2NzAwOTpjMDk4YmFhZC1jZGNiLTRmMDctOTcyNi00Y2Y1Mzc4ZTc0Yzc6MTkyNjhhOGQ2NDg2YTRmOWQwN2RkY2EzMmY1ZTQzNDI6MQ==</t>
        </is>
      </c>
      <c r="O484" t="inlineStr">
        <is>
          <t>1</t>
        </is>
      </c>
      <c r="P484" t="inlineStr">
        <is>
          <t>或签任务</t>
        </is>
      </c>
      <c r="Q484" t="inlineStr">
        <is>
          <t>0</t>
        </is>
      </c>
      <c r="R484" t="inlineStr">
        <is>
          <t>瞿敬雄,龚政涛</t>
        </is>
      </c>
      <c r="S484" s="4"/>
      <c r="T484" s="3" t="str">
        <f>=HYPERLINK("https://applink.feishu.cn/client/todo/task_list?guid=4d92b9af-66d1-4cd7-95d1-4b753a64ca6b", "跃入迷城")</f>
        <v>跃入迷城</v>
      </c>
      <c r="U484" t="inlineStr">
        <is>
          <t>4d92b9af-66d1-4cd7-95d1-4b753a64ca6b</t>
        </is>
      </c>
      <c r="V484" t="inlineStr">
        <is>
          <t>c098baad-cdcb-4f07-9726-4cf5378e74c7</t>
        </is>
      </c>
      <c r="W484"/>
      <c r="X484"/>
      <c r="Y484"/>
      <c r="Z484" t="inlineStr">
        <is>
          <t>0.0.5</t>
        </is>
      </c>
      <c r="AA484" t="inlineStr">
        <is>
          <t>模型</t>
        </is>
      </c>
      <c r="AB484" t="inlineStr">
        <is>
          <t>已完成</t>
        </is>
      </c>
      <c r="AC484" t="inlineStr">
        <is>
          <t>P0 - Must (not) Have</t>
        </is>
      </c>
      <c r="AD484" t="inlineStr">
        <is>
          <t>🎨艺术</t>
        </is>
      </c>
      <c r="AE484">
        <v>2</v>
      </c>
    </row>
    <row r="485" ht="25.5" customHeight="1">
      <c r="A485" s="3" t="str">
        <f>=HYPERLINK("https://applink.feishu.cn/client/todo/detail?guid=7fd4a172-09f6-4495-81cd-c254e78738a0&amp;suite_entity_num=t101129", "技能和行为芯片的基础LOGO")</f>
        <v>技能和行为芯片的基础LOGO</v>
      </c>
      <c r="B485"/>
      <c r="C485" t="inlineStr">
        <is>
          <t>默认分组</t>
        </is>
      </c>
      <c r="D485"/>
      <c r="E485"/>
      <c r="F485" t="inlineStr">
        <is>
          <t>郭斯已</t>
        </is>
      </c>
      <c r="G485" t="inlineStr">
        <is>
          <t>龚政涛</t>
        </is>
      </c>
      <c r="H485" s="4">
        <v>45908.461909722224</v>
      </c>
      <c r="I485" s="4">
        <v>45916.58028935185</v>
      </c>
      <c r="J485" s="4">
        <v>45916.333333333336</v>
      </c>
      <c r="K485" s="4">
        <v>45916.580300925925</v>
      </c>
      <c r="L485">
        <v>0</v>
      </c>
      <c r="M485">
        <v>0</v>
      </c>
      <c r="N485" t="inlineStr">
        <is>
          <t>NzQxMzM4ODg5NzkxNDY2NzAwOTo3ZmQ0YTE3Mi0wOWY2LTQ0OTUtODFjZC1jMjU0ZTc4NzM4YTA6Mjc4NzA1NjUxMDUzYmVlZDgyMjhlNzYwN2NmNDRjMDA6MQ==</t>
        </is>
      </c>
      <c r="O485" t="inlineStr">
        <is>
          <t>1</t>
        </is>
      </c>
      <c r="P485" t="inlineStr">
        <is>
          <t>或签任务</t>
        </is>
      </c>
      <c r="Q485" t="inlineStr">
        <is>
          <t>0</t>
        </is>
      </c>
      <c r="R485" t="inlineStr">
        <is>
          <t>郭斯已,龚政涛</t>
        </is>
      </c>
      <c r="S485" s="4"/>
      <c r="T485" s="3" t="str">
        <f>=HYPERLINK("https://applink.feishu.cn/client/todo/task_list?guid=4d92b9af-66d1-4cd7-95d1-4b753a64ca6b", "跃入迷城")</f>
        <v>跃入迷城</v>
      </c>
      <c r="U485" t="inlineStr">
        <is>
          <t>4d92b9af-66d1-4cd7-95d1-4b753a64ca6b</t>
        </is>
      </c>
      <c r="V485" t="inlineStr">
        <is>
          <t>7fd4a172-09f6-4495-81cd-c254e78738a0</t>
        </is>
      </c>
      <c r="W485"/>
      <c r="X485"/>
      <c r="Y485"/>
      <c r="Z485" t="inlineStr">
        <is>
          <t>0.0.5</t>
        </is>
      </c>
      <c r="AA485" t="inlineStr">
        <is>
          <t>UIUX</t>
        </is>
      </c>
      <c r="AB485" t="inlineStr">
        <is>
          <t>已完成</t>
        </is>
      </c>
      <c r="AC485" t="inlineStr">
        <is>
          <t>P1 - Bigger the Better</t>
        </is>
      </c>
      <c r="AD485" t="inlineStr">
        <is>
          <t>🎨艺术</t>
        </is>
      </c>
      <c r="AE485">
        <v>4</v>
      </c>
    </row>
    <row r="486" ht="25.5" customHeight="1">
      <c r="A486" s="3" t="str">
        <f>=HYPERLINK("https://applink.feishu.cn/client/todo/detail?guid=d6d30f4e-f6e0-4e57-a866-fbc65f7f00b1&amp;suite_entity_num=t101135", "门模型")</f>
        <v>门模型</v>
      </c>
      <c r="B486"/>
      <c r="C486" t="inlineStr">
        <is>
          <t>默认分组</t>
        </is>
      </c>
      <c r="D486"/>
      <c r="E486"/>
      <c r="F486" t="inlineStr">
        <is>
          <t>陈吉瑞</t>
        </is>
      </c>
      <c r="G486" t="inlineStr">
        <is>
          <t>龚政涛</t>
        </is>
      </c>
      <c r="H486" s="4">
        <v>45915.46115740741</v>
      </c>
      <c r="I486" s="4"/>
      <c r="J486" s="4">
        <v>45918.333333333336</v>
      </c>
      <c r="K486" s="4">
        <v>45918.439571759256</v>
      </c>
      <c r="L486">
        <v>0</v>
      </c>
      <c r="M486">
        <v>0</v>
      </c>
      <c r="N486" t="inlineStr">
        <is>
          <t>NzQxMzM4ODg5NzkxNDY2NzAwOTpkNmQzMGY0ZS1mNmUwLTRlNTctYTg2Ni1mYmM2NWY3ZjAwYjE6YWYxZjNmY2NmNjNmYmQ1NTg3ZDMyYzYxMmNmN2E2YTQ6MQ==</t>
        </is>
      </c>
      <c r="O486" t="inlineStr">
        <is>
          <t>0</t>
        </is>
      </c>
      <c r="P486" t="inlineStr">
        <is>
          <t>或签任务</t>
        </is>
      </c>
      <c r="Q486" t="inlineStr">
        <is>
          <t>0</t>
        </is>
      </c>
      <c r="R486" t="inlineStr">
        <is>
          <t>龚政涛,陈吉瑞</t>
        </is>
      </c>
      <c r="S486" s="4">
        <v>45915.333333333336</v>
      </c>
      <c r="T486" s="3" t="str">
        <f>=HYPERLINK("https://applink.feishu.cn/client/todo/task_list?guid=4d92b9af-66d1-4cd7-95d1-4b753a64ca6b", "跃入迷城")</f>
        <v>跃入迷城</v>
      </c>
      <c r="U486" t="inlineStr">
        <is>
          <t>4d92b9af-66d1-4cd7-95d1-4b753a64ca6b</t>
        </is>
      </c>
      <c r="V486" t="inlineStr">
        <is>
          <t>d6d30f4e-f6e0-4e57-a866-fbc65f7f00b1</t>
        </is>
      </c>
      <c r="W486"/>
      <c r="X486"/>
      <c r="Y486"/>
      <c r="Z486"/>
      <c r="AA486" t="inlineStr">
        <is>
          <t>模型</t>
        </is>
      </c>
      <c r="AB486" t="inlineStr">
        <is>
          <t>工作中</t>
        </is>
      </c>
      <c r="AC486"/>
      <c r="AD486" t="inlineStr">
        <is>
          <t>🎨艺术</t>
        </is>
      </c>
      <c r="AE486">
        <v>2</v>
      </c>
    </row>
    <row r="487" ht="25.5" customHeight="1">
      <c r="A487" s="3" t="str">
        <f>=HYPERLINK("https://applink.feishu.cn/client/todo/detail?guid=b50d728f-9b7d-40bf-9c54-733c8e6f7020&amp;suite_entity_num=t101138", "制作具体的LOGO")</f>
        <v>制作具体的LOGO</v>
      </c>
      <c r="B487"/>
      <c r="C487" t="inlineStr">
        <is>
          <t>默认分组</t>
        </is>
      </c>
      <c r="D487"/>
      <c r="E487"/>
      <c r="F487" t="inlineStr">
        <is>
          <t>郭斯已</t>
        </is>
      </c>
      <c r="G487" t="inlineStr">
        <is>
          <t>龚政涛</t>
        </is>
      </c>
      <c r="H487" s="4">
        <v>45916.58039351852</v>
      </c>
      <c r="I487" s="4"/>
      <c r="J487" s="4"/>
      <c r="K487" s="4">
        <v>45916.580405092594</v>
      </c>
      <c r="L487">
        <v>0</v>
      </c>
      <c r="M487">
        <v>0</v>
      </c>
      <c r="N487" t="inlineStr">
        <is>
          <t>NzQxMzM4ODg5NzkxNDY2NzAwOTpiNTBkNzI4Zi05YjdkLTQwYmYtOWM1NC03MzNjOGU2ZjcwMjA6MTQ4ZWFiYzMwOTM3YjdmOTBhMDdlYTcyN2Y5YjJmYjM6MQ==</t>
        </is>
      </c>
      <c r="O487" t="inlineStr">
        <is>
          <t>0</t>
        </is>
      </c>
      <c r="P487" t="inlineStr">
        <is>
          <t>或签任务</t>
        </is>
      </c>
      <c r="Q487" t="inlineStr">
        <is>
          <t>0</t>
        </is>
      </c>
      <c r="R487" t="inlineStr">
        <is>
          <t>郭斯已,龚政涛</t>
        </is>
      </c>
      <c r="S487" s="4"/>
      <c r="T487" s="3" t="str">
        <f>=HYPERLINK("https://applink.feishu.cn/client/todo/task_list?guid=4d92b9af-66d1-4cd7-95d1-4b753a64ca6b", "跃入迷城")</f>
        <v>跃入迷城</v>
      </c>
      <c r="U487" t="inlineStr">
        <is>
          <t>4d92b9af-66d1-4cd7-95d1-4b753a64ca6b</t>
        </is>
      </c>
      <c r="V487" t="inlineStr">
        <is>
          <t>b50d728f-9b7d-40bf-9c54-733c8e6f7020</t>
        </is>
      </c>
      <c r="W487"/>
      <c r="X487"/>
      <c r="Y487"/>
      <c r="Z487"/>
      <c r="AA487"/>
      <c r="AB487"/>
      <c r="AC487"/>
      <c r="AD487" t="inlineStr">
        <is>
          <t>🎨艺术</t>
        </is>
      </c>
      <c r="AE487"/>
    </row>
    <row r="488" ht="25.5" customHeight="1">
      <c r="A488" s="3" t="str">
        <f>=HYPERLINK("https://applink.feishu.cn/client/todo/detail?guid=df5c9430-8fd9-4dba-9ffb-93dd5a23b7b1&amp;suite_entity_num=t101141", "义体卡牌ICON样式")</f>
        <v>义体卡牌ICON样式</v>
      </c>
      <c r="B488"/>
      <c r="C488" t="inlineStr">
        <is>
          <t>默认分组</t>
        </is>
      </c>
      <c r="D488"/>
      <c r="E488"/>
      <c r="F488" t="inlineStr">
        <is>
          <t>郭斯已</t>
        </is>
      </c>
      <c r="G488" t="inlineStr">
        <is>
          <t>龚政涛</t>
        </is>
      </c>
      <c r="H488" s="4">
        <v>45917.44045138889</v>
      </c>
      <c r="I488" s="4"/>
      <c r="J488" s="4">
        <v>45917.333333333336</v>
      </c>
      <c r="K488" s="4">
        <v>45917.448159722226</v>
      </c>
      <c r="L488">
        <v>0</v>
      </c>
      <c r="M488">
        <v>0</v>
      </c>
      <c r="N488" t="inlineStr">
        <is>
          <t>NzQxMzM4ODg5NzkxNDY2NzAwOTpkZjVjOTQzMC04ZmQ5LTRkYmEtOWZmYi05M2RkNWEyM2I3YjE6OTFkZGFhZTZjZDE0YzEzZTMzMzcyOTliNWVjZmUzMTA6MQ==</t>
        </is>
      </c>
      <c r="O488" t="inlineStr">
        <is>
          <t>0</t>
        </is>
      </c>
      <c r="P488" t="inlineStr">
        <is>
          <t>或签任务</t>
        </is>
      </c>
      <c r="Q488" t="inlineStr">
        <is>
          <t>0</t>
        </is>
      </c>
      <c r="R488" t="inlineStr">
        <is>
          <t>郭斯已,龚政涛</t>
        </is>
      </c>
      <c r="S488" s="4"/>
      <c r="T488" s="3" t="str">
        <f>=HYPERLINK("https://applink.feishu.cn/client/todo/task_list?guid=4d92b9af-66d1-4cd7-95d1-4b753a64ca6b", "跃入迷城")</f>
        <v>跃入迷城</v>
      </c>
      <c r="U488" t="inlineStr">
        <is>
          <t>4d92b9af-66d1-4cd7-95d1-4b753a64ca6b</t>
        </is>
      </c>
      <c r="V488" t="inlineStr">
        <is>
          <t>df5c9430-8fd9-4dba-9ffb-93dd5a23b7b1</t>
        </is>
      </c>
      <c r="W488"/>
      <c r="X488"/>
      <c r="Y488"/>
      <c r="Z488"/>
      <c r="AA488" t="inlineStr">
        <is>
          <t>UIUX</t>
        </is>
      </c>
      <c r="AB488"/>
      <c r="AC488" t="inlineStr">
        <is>
          <t>P0 - Must (not) Have</t>
        </is>
      </c>
      <c r="AD488" t="inlineStr">
        <is>
          <t>🎨艺术</t>
        </is>
      </c>
      <c r="AE488"/>
    </row>
    <row r="489" ht="25.5" customHeight="1">
      <c r="A489" s="3" t="str">
        <f>=HYPERLINK("https://applink.feishu.cn/client/todo/detail?guid=4187fef3-9241-4051-883d-c333fe8fac55&amp;suite_entity_num=t101140", "义体卡片的icon样式")</f>
        <v>义体卡片的icon样式</v>
      </c>
      <c r="B489"/>
      <c r="C489" t="inlineStr">
        <is>
          <t>默认分组</t>
        </is>
      </c>
      <c r="D489"/>
      <c r="E489"/>
      <c r="F489" t="inlineStr">
        <is>
          <t>郭斯已</t>
        </is>
      </c>
      <c r="G489" t="inlineStr">
        <is>
          <t>龚政涛</t>
        </is>
      </c>
      <c r="H489" s="4">
        <v>45917.44020833333</v>
      </c>
      <c r="I489" s="4"/>
      <c r="J489" s="4"/>
      <c r="K489" s="4">
        <v>45917.44021990741</v>
      </c>
      <c r="L489">
        <v>0</v>
      </c>
      <c r="M489">
        <v>0</v>
      </c>
      <c r="N489" t="inlineStr">
        <is>
          <t>NzQxMzM4ODg5NzkxNDY2NzAwOTo0MTg3ZmVmMy05MjQxLTQwNTEtODgzZC1jMzMzZmU4ZmFjNTU6YzRkNTU5OTEzZGJjYzRhZDI3MzZkMTIxYjdlYWRlYjU6MQ==</t>
        </is>
      </c>
      <c r="O489" t="inlineStr">
        <is>
          <t>0</t>
        </is>
      </c>
      <c r="P489" t="inlineStr">
        <is>
          <t>或签任务</t>
        </is>
      </c>
      <c r="Q489" t="inlineStr">
        <is>
          <t>0</t>
        </is>
      </c>
      <c r="R489" t="inlineStr">
        <is>
          <t>龚政涛,郭斯已</t>
        </is>
      </c>
      <c r="S489" s="4"/>
      <c r="T489" s="3" t="str">
        <f>=HYPERLINK("https://applink.feishu.cn/client/todo/task_list?guid=4d92b9af-66d1-4cd7-95d1-4b753a64ca6b", "跃入迷城")</f>
        <v>跃入迷城</v>
      </c>
      <c r="U489" t="inlineStr">
        <is>
          <t>4d92b9af-66d1-4cd7-95d1-4b753a64ca6b</t>
        </is>
      </c>
      <c r="V489" t="inlineStr">
        <is>
          <t>4187fef3-9241-4051-883d-c333fe8fac55</t>
        </is>
      </c>
      <c r="W489"/>
      <c r="X489"/>
      <c r="Y489"/>
      <c r="Z489"/>
      <c r="AA489"/>
      <c r="AB489"/>
      <c r="AC489"/>
      <c r="AD489"/>
      <c r="AE489"/>
    </row>
    <row r="490" ht="25.5" customHeight="1">
      <c r="A490" s="3" t="str">
        <f>=HYPERLINK("https://applink.feishu.cn/client/todo/detail?guid=1a9332cb-d55c-46d1-9cfa-6c90046256db&amp;suite_entity_num=t101142", "BUFF")</f>
        <v>BUFF</v>
      </c>
      <c r="B490"/>
      <c r="C490" t="inlineStr">
        <is>
          <t>默认分组</t>
        </is>
      </c>
      <c r="D490"/>
      <c r="E490"/>
      <c r="F490" t="inlineStr">
        <is>
          <t>郭斯已</t>
        </is>
      </c>
      <c r="G490" t="inlineStr">
        <is>
          <t>龚政涛</t>
        </is>
      </c>
      <c r="H490" s="4">
        <v>45917.452314814815</v>
      </c>
      <c r="I490" s="4"/>
      <c r="J490" s="4"/>
      <c r="K490" s="4">
        <v>45917.45232638889</v>
      </c>
      <c r="L490">
        <v>0</v>
      </c>
      <c r="M490">
        <v>0</v>
      </c>
      <c r="N490" t="inlineStr">
        <is>
          <t>NzQxMzM4ODg5NzkxNDY2NzAwOToxYTkzMzJjYi1kNTVjLTQ2ZDEtOWNmYS02YzkwMDQ2MjU2ZGI6ZDQ4ZTY0ODIxNjEyYTRmNWYxNTMxYWQ3N2ZiNTNiN2I6MQ==</t>
        </is>
      </c>
      <c r="O490" t="inlineStr">
        <is>
          <t>0</t>
        </is>
      </c>
      <c r="P490" t="inlineStr">
        <is>
          <t>或签任务</t>
        </is>
      </c>
      <c r="Q490" t="inlineStr">
        <is>
          <t>0</t>
        </is>
      </c>
      <c r="R490" t="inlineStr">
        <is>
          <t>郭斯已,龚政涛</t>
        </is>
      </c>
      <c r="S490" s="4"/>
      <c r="T490" s="3" t="str">
        <f>=HYPERLINK("https://applink.feishu.cn/client/todo/task_list?guid=4d92b9af-66d1-4cd7-95d1-4b753a64ca6b", "跃入迷城")</f>
        <v>跃入迷城</v>
      </c>
      <c r="U490" t="inlineStr">
        <is>
          <t>4d92b9af-66d1-4cd7-95d1-4b753a64ca6b</t>
        </is>
      </c>
      <c r="V490" t="inlineStr">
        <is>
          <t>1a9332cb-d55c-46d1-9cfa-6c90046256db</t>
        </is>
      </c>
      <c r="W490"/>
      <c r="X490"/>
      <c r="Y490"/>
      <c r="Z490"/>
      <c r="AA490"/>
      <c r="AB490"/>
      <c r="AC490"/>
      <c r="AD490"/>
      <c r="AE490"/>
    </row>
    <row r="491" ht="25.5" customHeight="1">
      <c r="A491" s="3" t="str">
        <f>=HYPERLINK("https://applink.feishu.cn/client/todo/detail?guid=657a54c8-115d-4c0a-9c7d-b2fa081ecb62&amp;suite_entity_num=t101144", "义体ICON具体设计 - 劳旅 · 劳工")</f>
        <v>义体ICON具体设计 - 劳旅 · 劳工</v>
      </c>
      <c r="B491"/>
      <c r="C491" t="inlineStr">
        <is>
          <t>默认分组</t>
        </is>
      </c>
      <c r="D491"/>
      <c r="E491"/>
      <c r="F491" t="inlineStr">
        <is>
          <t>郭斯已</t>
        </is>
      </c>
      <c r="G491" t="inlineStr">
        <is>
          <t>龚政涛</t>
        </is>
      </c>
      <c r="H491" s="4">
        <v>45917.454050925924</v>
      </c>
      <c r="I491" s="4"/>
      <c r="J491" s="4">
        <v>45917.333333333336</v>
      </c>
      <c r="K491" s="4">
        <v>45917.4540625</v>
      </c>
      <c r="L491">
        <v>0</v>
      </c>
      <c r="M491">
        <v>0</v>
      </c>
      <c r="N491" t="inlineStr">
        <is>
          <t>NzQxMzM4ODg5NzkxNDY2NzAwOTo2NTdhNTRjOC0xMTVkLTRjMGEtOWM3ZC1iMmZhMDgxZWNiNjI6Njc1NDQ1OTYwMGQwODEyMjllMmNmYjc1MGFlMzQ3MzA6MQ==</t>
        </is>
      </c>
      <c r="O491" t="inlineStr">
        <is>
          <t>0</t>
        </is>
      </c>
      <c r="P491" t="inlineStr">
        <is>
          <t>或签任务</t>
        </is>
      </c>
      <c r="Q491" t="inlineStr">
        <is>
          <t>0</t>
        </is>
      </c>
      <c r="R491" t="inlineStr">
        <is>
          <t>郭斯已,龚政涛</t>
        </is>
      </c>
      <c r="S491" s="4"/>
      <c r="T491" s="3" t="str">
        <f>=HYPERLINK("https://applink.feishu.cn/client/todo/task_list?guid=4d92b9af-66d1-4cd7-95d1-4b753a64ca6b", "跃入迷城")</f>
        <v>跃入迷城</v>
      </c>
      <c r="U491" t="inlineStr">
        <is>
          <t>4d92b9af-66d1-4cd7-95d1-4b753a64ca6b</t>
        </is>
      </c>
      <c r="V491" t="inlineStr">
        <is>
          <t>657a54c8-115d-4c0a-9c7d-b2fa081ecb62</t>
        </is>
      </c>
      <c r="W491"/>
      <c r="X491"/>
      <c r="Y491"/>
      <c r="Z491"/>
      <c r="AA491"/>
      <c r="AB491"/>
      <c r="AC491"/>
      <c r="AD491"/>
      <c r="AE491"/>
    </row>
    <row r="492" ht="25.5" customHeight="1">
      <c r="A492" s="3" t="str">
        <f>=HYPERLINK("https://applink.feishu.cn/client/todo/detail?guid=3a542af8-57c9-4c16-956d-8f733d87064c&amp;suite_entity_num=t101145", "无人机页面样式调整")</f>
        <v>无人机页面样式调整</v>
      </c>
      <c r="B492"/>
      <c r="C492" t="inlineStr">
        <is>
          <t>默认分组</t>
        </is>
      </c>
      <c r="D492"/>
      <c r="E492"/>
      <c r="F492" t="inlineStr">
        <is>
          <t>郭斯已</t>
        </is>
      </c>
      <c r="G492" t="inlineStr">
        <is>
          <t>龚政涛</t>
        </is>
      </c>
      <c r="H492" s="4">
        <v>45917.457141203704</v>
      </c>
      <c r="I492" s="4"/>
      <c r="J492" s="4">
        <v>45917.333333333336</v>
      </c>
      <c r="K492" s="4">
        <v>45917.457141203704</v>
      </c>
      <c r="L492">
        <v>0</v>
      </c>
      <c r="M492">
        <v>0</v>
      </c>
      <c r="N492" t="inlineStr">
        <is>
          <t>NzQxMzM4ODg5NzkxNDY2NzAwOTozYTU0MmFmOC01N2M5LTRjMTYtOTU2ZC04ZjczM2Q4NzA2NGM6NGM0MmIxOWI5Mjc1YmY2YWU0NGMxOTQ3MzczZDgxMTk6MQ==</t>
        </is>
      </c>
      <c r="O492" t="inlineStr">
        <is>
          <t>0</t>
        </is>
      </c>
      <c r="P492" t="inlineStr">
        <is>
          <t>或签任务</t>
        </is>
      </c>
      <c r="Q492" t="inlineStr">
        <is>
          <t>0</t>
        </is>
      </c>
      <c r="R492" t="inlineStr">
        <is>
          <t>郭斯已,龚政涛</t>
        </is>
      </c>
      <c r="S492" s="4"/>
      <c r="T492" s="3" t="str">
        <f>=HYPERLINK("https://applink.feishu.cn/client/todo/task_list?guid=4d92b9af-66d1-4cd7-95d1-4b753a64ca6b", "跃入迷城")</f>
        <v>跃入迷城</v>
      </c>
      <c r="U492" t="inlineStr">
        <is>
          <t>4d92b9af-66d1-4cd7-95d1-4b753a64ca6b</t>
        </is>
      </c>
      <c r="V492" t="inlineStr">
        <is>
          <t>3a542af8-57c9-4c16-956d-8f733d87064c</t>
        </is>
      </c>
      <c r="W492"/>
      <c r="X492"/>
      <c r="Y492"/>
      <c r="Z492"/>
      <c r="AA492"/>
      <c r="AB492"/>
      <c r="AC492"/>
      <c r="AD492"/>
      <c r="AE492"/>
    </row>
    <row r="493" ht="25.5" customHeight="1">
      <c r="A493" s="3" t="str">
        <f>=HYPERLINK("https://applink.feishu.cn/client/todo/detail?guid=6b67d9ff-f7a6-401c-8be5-1988fdb9edf0&amp;suite_entity_num=t101143", "BUFF样式")</f>
        <v>BUFF样式</v>
      </c>
      <c r="B493"/>
      <c r="C493" t="inlineStr">
        <is>
          <t>默认分组</t>
        </is>
      </c>
      <c r="D493"/>
      <c r="E493"/>
      <c r="F493" t="inlineStr">
        <is>
          <t>郭斯已</t>
        </is>
      </c>
      <c r="G493" t="inlineStr">
        <is>
          <t>龚政涛</t>
        </is>
      </c>
      <c r="H493" s="4">
        <v>45917.453784722224</v>
      </c>
      <c r="I493" s="4"/>
      <c r="J493" s="4">
        <v>45917.333333333336</v>
      </c>
      <c r="K493" s="4">
        <v>45917.45379629629</v>
      </c>
      <c r="L493">
        <v>0</v>
      </c>
      <c r="M493">
        <v>0</v>
      </c>
      <c r="N493" t="inlineStr">
        <is>
          <t>NzQxMzM4ODg5NzkxNDY2NzAwOTo2YjY3ZDlmZi1mN2E2LTQwMWMtOGJlNS0xOTg4ZmRiOWVkZjA6YmRmYjExZTkxYmQxZTI4Y2NlMmM0NjhkOTRiOGY2OWY6MQ==</t>
        </is>
      </c>
      <c r="O493" t="inlineStr">
        <is>
          <t>0</t>
        </is>
      </c>
      <c r="P493" t="inlineStr">
        <is>
          <t>或签任务</t>
        </is>
      </c>
      <c r="Q493" t="inlineStr">
        <is>
          <t>0</t>
        </is>
      </c>
      <c r="R493" t="inlineStr">
        <is>
          <t>郭斯已,龚政涛</t>
        </is>
      </c>
      <c r="S493" s="4"/>
      <c r="T493" s="3" t="str">
        <f>=HYPERLINK("https://applink.feishu.cn/client/todo/task_list?guid=4d92b9af-66d1-4cd7-95d1-4b753a64ca6b", "跃入迷城")</f>
        <v>跃入迷城</v>
      </c>
      <c r="U493" t="inlineStr">
        <is>
          <t>4d92b9af-66d1-4cd7-95d1-4b753a64ca6b</t>
        </is>
      </c>
      <c r="V493" t="inlineStr">
        <is>
          <t>6b67d9ff-f7a6-401c-8be5-1988fdb9edf0</t>
        </is>
      </c>
      <c r="W493"/>
      <c r="X493"/>
      <c r="Y493"/>
      <c r="Z493"/>
      <c r="AA493"/>
      <c r="AB493"/>
      <c r="AC493"/>
      <c r="AD493"/>
      <c r="AE493"/>
    </row>
    <row r="494" ht="25.5" customHeight="1">
      <c r="A494" s="3" t="str">
        <f>=HYPERLINK("https://applink.feishu.cn/client/todo/detail?guid=4ec37cbc-fdd2-470a-9d69-531bd43b75a1&amp;suite_entity_num=t101147", "✨新增：增加了对话和任务系统")</f>
        <v>✨新增：增加了对话和任务系统</v>
      </c>
      <c r="B494"/>
      <c r="C494" t="inlineStr">
        <is>
          <t>默认分组</t>
        </is>
      </c>
      <c r="D494"/>
      <c r="E494"/>
      <c r="F494" t="inlineStr">
        <is>
          <t>Decay</t>
        </is>
      </c>
      <c r="G494" t="inlineStr">
        <is>
          <t>龚政涛</t>
        </is>
      </c>
      <c r="H494" s="4">
        <v>45918.56115740741</v>
      </c>
      <c r="I494" s="4"/>
      <c r="J494" s="4">
        <v>45918.333333333336</v>
      </c>
      <c r="K494" s="4">
        <v>45918.56151620371</v>
      </c>
      <c r="L494">
        <v>0</v>
      </c>
      <c r="M494">
        <v>0</v>
      </c>
      <c r="N494" t="inlineStr">
        <is>
          <t>NzQxMzM4ODg5NzkxNDY2NzAwOTo0ZWMzN2NiYy1mZGQyLTQ3MGEtOWQ2OS01MzFiZDQzYjc1YTE6ODY2MWZkMTcxMjEwMzE0MTQ4NjA3NjI2YTdjN2M2MDY6MQ==</t>
        </is>
      </c>
      <c r="O494" t="inlineStr">
        <is>
          <t>0</t>
        </is>
      </c>
      <c r="P494" t="inlineStr">
        <is>
          <t>或签任务</t>
        </is>
      </c>
      <c r="Q494" t="inlineStr">
        <is>
          <t>0</t>
        </is>
      </c>
      <c r="R494" t="inlineStr">
        <is>
          <t>Decay,龚政涛</t>
        </is>
      </c>
      <c r="S494" s="4">
        <v>45918.333333333336</v>
      </c>
      <c r="T494" s="3" t="str">
        <f>=HYPERLINK("https://applink.feishu.cn/client/todo/task_list?guid=4d92b9af-66d1-4cd7-95d1-4b753a64ca6b", "跃入迷城")</f>
        <v>跃入迷城</v>
      </c>
      <c r="U494" t="inlineStr">
        <is>
          <t>4d92b9af-66d1-4cd7-95d1-4b753a64ca6b</t>
        </is>
      </c>
      <c r="V494" t="inlineStr">
        <is>
          <t>4ec37cbc-fdd2-470a-9d69-531bd43b75a1</t>
        </is>
      </c>
      <c r="W494"/>
      <c r="X494"/>
      <c r="Y494"/>
      <c r="Z494" t="inlineStr">
        <is>
          <t>0.0.5</t>
        </is>
      </c>
      <c r="AA494" t="inlineStr">
        <is>
          <t>剧本</t>
        </is>
      </c>
      <c r="AB494"/>
      <c r="AC494" t="inlineStr">
        <is>
          <t>P2 - Nice to Have</t>
        </is>
      </c>
      <c r="AD494" t="inlineStr">
        <is>
          <t>🛠️技术</t>
        </is>
      </c>
      <c r="AE494"/>
    </row>
    <row r="495" ht="25.5" customHeight="1">
      <c xml:space="preserve" r="A495" s="3" t="str">
        <f>=HYPERLINK("https://applink.feishu.cn/client/todo/detail?guid=ff48df6a-75ff-4c88-9643-e54797326fc9&amp;suite_entity_num=t101148", "fade in、fade out隐藏读取关卡的时间 &lt; ✨新增：平级关卡切换的功能：玩家现在可以在同一个游戏强度（Level）下，访问其他地图，进行额外的挑战以获得额外奖励，该访问功能需要消耗特定的局内资源，同样的资源也可以用于刷新奖励 ")</f>
        <v>fade in、fade out隐藏读取关卡的时间 &lt; ✨新增：平级关卡切换的功能：玩家现在可以在同一个游戏强度（Level）下，访问其他地图，进行额外的挑战以获得额外奖励，该访问功能需要消耗特定的局内资源，同样的资源也可以用于刷新奖励 </v>
      </c>
      <c r="B495"/>
      <c r="C495"/>
      <c r="D495"/>
      <c r="E495"/>
      <c r="F495"/>
      <c r="G495" t="inlineStr">
        <is>
          <t>龚政涛</t>
        </is>
      </c>
      <c r="H495" s="4">
        <v>45918.56178240741</v>
      </c>
      <c r="I495" s="4"/>
      <c r="J495" s="4"/>
      <c r="K495" s="4">
        <v>45918.5805787037</v>
      </c>
      <c r="L495">
        <v>0</v>
      </c>
      <c r="M495">
        <v>0</v>
      </c>
      <c r="N495" t="inlineStr">
        <is>
          <t>NzQxMzM4ODg5NzkxNDY2NzAwOTpmZjQ4ZGY2YS03NWZmLTRjODgtOTY0My1lNTQ3OTczMjZmYzk6MWY4Nzk4MDkyOWRmNWJmOGIxYWM4ODY4MzJhYzcxNDA6MQ==</t>
        </is>
      </c>
      <c r="O495" t="inlineStr">
        <is>
          <t>0</t>
        </is>
      </c>
      <c r="P495" t="inlineStr">
        <is>
          <t>或签任务</t>
        </is>
      </c>
      <c r="Q495" t="inlineStr">
        <is>
          <t>0</t>
        </is>
      </c>
      <c r="R495" t="inlineStr">
        <is>
          <t>龚政涛</t>
        </is>
      </c>
      <c r="S495" s="4"/>
      <c r="T495" s="3" t="str">
        <f>=HYPERLINK("https://applink.feishu.cn/client/todo/task_list?guid=4d92b9af-66d1-4cd7-95d1-4b753a64ca6b", "跃入迷城")</f>
        <v>跃入迷城</v>
      </c>
      <c r="U495" t="inlineStr">
        <is>
          <t>4d92b9af-66d1-4cd7-95d1-4b753a64ca6b</t>
        </is>
      </c>
      <c r="V495" t="inlineStr">
        <is>
          <t>ff48df6a-75ff-4c88-9643-e54797326fc9</t>
        </is>
      </c>
      <c r="W495"/>
      <c r="X495"/>
      <c r="Y495" t="inlineStr">
        <is>
          <t>ac428c2f-96e9-4cd8-83aa-b78ec9473ea1</t>
        </is>
      </c>
      <c r="Z495"/>
      <c r="AA495"/>
      <c r="AB495"/>
      <c r="AC495"/>
      <c r="AD495"/>
      <c r="AE495"/>
    </row>
    <row r="496" ht="25.5" customHeight="1">
      <c r="A496" s="3" t="str">
        <f>=HYPERLINK("https://applink.feishu.cn/client/todo/detail?guid=e49784ae-096b-4259-8035-725a6661d2df&amp;suite_entity_num=t101173", "安全屋概念图")</f>
        <v>安全屋概念图</v>
      </c>
      <c r="B496"/>
      <c r="C496" t="inlineStr">
        <is>
          <t>默认分组</t>
        </is>
      </c>
      <c r="D496"/>
      <c r="E496"/>
      <c r="F496" t="inlineStr">
        <is>
          <t>瞿敬雄</t>
        </is>
      </c>
      <c r="G496" t="inlineStr">
        <is>
          <t>龚政涛</t>
        </is>
      </c>
      <c r="H496" s="4">
        <v>45950.40692129629</v>
      </c>
      <c r="I496" s="4"/>
      <c r="J496" s="4">
        <v>45954.333333333336</v>
      </c>
      <c r="K496" s="4">
        <v>45950.407685185186</v>
      </c>
      <c r="L496">
        <v>0</v>
      </c>
      <c r="M496">
        <v>0</v>
      </c>
      <c r="N496" t="inlineStr">
        <is>
          <t>NzQxMzM4ODg5NzkxNDY2NzAwOTplNDk3ODRhZS0wOTZiLTQyNTktODAzNS03MjVhNjY2MWQyZGY6MzNmYjNiZTg3ODkyYzJmYTk0YTkwYWNjZmVjZWZiNjg6MQ==</t>
        </is>
      </c>
      <c r="O496" t="inlineStr">
        <is>
          <t>0</t>
        </is>
      </c>
      <c r="P496" t="inlineStr">
        <is>
          <t>或签任务</t>
        </is>
      </c>
      <c r="Q496" t="inlineStr">
        <is>
          <t>0</t>
        </is>
      </c>
      <c r="R496" t="inlineStr">
        <is>
          <t>陈吉瑞,龚政涛,瞿敬雄</t>
        </is>
      </c>
      <c r="S496" s="4">
        <v>45950.333333333336</v>
      </c>
      <c r="T496" s="3" t="str">
        <f>=HYPERLINK("https://applink.feishu.cn/client/todo/task_list?guid=4d92b9af-66d1-4cd7-95d1-4b753a64ca6b", "跃入迷城")</f>
        <v>跃入迷城</v>
      </c>
      <c r="U496" t="inlineStr">
        <is>
          <t>4d92b9af-66d1-4cd7-95d1-4b753a64ca6b</t>
        </is>
      </c>
      <c r="V496" t="inlineStr">
        <is>
          <t>e49784ae-096b-4259-8035-725a6661d2df</t>
        </is>
      </c>
      <c r="W496"/>
      <c r="X496"/>
      <c r="Y496"/>
      <c r="Z496" t="inlineStr">
        <is>
          <t>0.0.5</t>
        </is>
      </c>
      <c r="AA496" t="inlineStr">
        <is>
          <t>平面美术</t>
        </is>
      </c>
      <c r="AB496" t="inlineStr">
        <is>
          <t>工作中</t>
        </is>
      </c>
      <c r="AC496"/>
      <c r="AD496" t="inlineStr">
        <is>
          <t>🎨艺术</t>
        </is>
      </c>
      <c r="AE496">
        <v>8</v>
      </c>
    </row>
    <row r="497" ht="25.5" customHeight="1">
      <c r="A497" s="3" t="str">
        <f>=HYPERLINK("https://applink.feishu.cn/client/todo/detail?guid=49d5ad27-ae9c-4efa-8054-08309526206b&amp;suite_entity_num=t101174", "141长度的墙壁模型")</f>
        <v>141长度的墙壁模型</v>
      </c>
      <c r="B497"/>
      <c r="C497" t="inlineStr">
        <is>
          <t>默认分组</t>
        </is>
      </c>
      <c r="D497"/>
      <c r="E497"/>
      <c r="F497" t="inlineStr">
        <is>
          <t>陈吉瑞</t>
        </is>
      </c>
      <c r="G497" t="inlineStr">
        <is>
          <t>龚政涛</t>
        </is>
      </c>
      <c r="H497" s="4">
        <v>45950.41547453704</v>
      </c>
      <c r="I497" s="4"/>
      <c r="J497" s="4">
        <v>45950.333333333336</v>
      </c>
      <c r="K497" s="4">
        <v>45950.415613425925</v>
      </c>
      <c r="L497">
        <v>0</v>
      </c>
      <c r="M497">
        <v>0</v>
      </c>
      <c r="N497" t="inlineStr">
        <is>
          <t>NzQxMzM4ODg5NzkxNDY2NzAwOTo0OWQ1YWQyNy1hZTljLTRlZmEtODA1NC0wODMwOTUyNjIwNmI6ZGIzMWQ4OGFhMGMwYTI1NmM4NWM4Yzk5ZTg1NTEzMmE6MQ==</t>
        </is>
      </c>
      <c r="O497" t="inlineStr">
        <is>
          <t>0</t>
        </is>
      </c>
      <c r="P497" t="inlineStr">
        <is>
          <t>或签任务</t>
        </is>
      </c>
      <c r="Q497" t="inlineStr">
        <is>
          <t>0</t>
        </is>
      </c>
      <c r="R497" t="inlineStr">
        <is>
          <t>陈吉瑞,龚政涛</t>
        </is>
      </c>
      <c r="S497" s="4">
        <v>45950.333333333336</v>
      </c>
      <c r="T497" s="3" t="str">
        <f>=HYPERLINK("https://applink.feishu.cn/client/todo/task_list?guid=4d92b9af-66d1-4cd7-95d1-4b753a64ca6b", "跃入迷城")</f>
        <v>跃入迷城</v>
      </c>
      <c r="U497" t="inlineStr">
        <is>
          <t>4d92b9af-66d1-4cd7-95d1-4b753a64ca6b</t>
        </is>
      </c>
      <c r="V497" t="inlineStr">
        <is>
          <t>49d5ad27-ae9c-4efa-8054-08309526206b</t>
        </is>
      </c>
      <c r="W497"/>
      <c r="X497"/>
      <c r="Y497"/>
      <c r="Z497" t="inlineStr">
        <is>
          <t>0.0.5</t>
        </is>
      </c>
      <c r="AA497" t="inlineStr">
        <is>
          <t>模型</t>
        </is>
      </c>
      <c r="AB497" t="inlineStr">
        <is>
          <t>工作中</t>
        </is>
      </c>
      <c r="AC497" t="inlineStr">
        <is>
          <t>P0 - Must (not) Have</t>
        </is>
      </c>
      <c r="AD497" t="inlineStr">
        <is>
          <t>🎨艺术</t>
        </is>
      </c>
      <c r="AE497">
        <v>1</v>
      </c>
    </row>
    <row r="498" ht="25.5" customHeight="1">
      <c r="A498" s="3" t="str">
        <f>=HYPERLINK("https://applink.feishu.cn/client/todo/detail?guid=511c427d-f15d-4f3e-888c-561cfa0f7e2f&amp;suite_entity_num=t101175", "https://dikpa4hrtn9.feishu.cn/wiki/BRHnw0C9oiOPrFkrzNkcD9s0nsc设计稿")</f>
        <v>https://dikpa4hrtn9.feishu.cn/wiki/BRHnw0C9oiOPrFkrzNkcD9s0nsc设计稿</v>
      </c>
      <c r="B498"/>
      <c r="C498" t="inlineStr">
        <is>
          <t>默认分组</t>
        </is>
      </c>
      <c r="D498"/>
      <c r="E498"/>
      <c r="F498" t="inlineStr">
        <is>
          <t>李贺</t>
        </is>
      </c>
      <c r="G498" t="inlineStr">
        <is>
          <t>龚政涛</t>
        </is>
      </c>
      <c r="H498" s="4">
        <v>45950.4359837963</v>
      </c>
      <c r="I498" s="4"/>
      <c r="J498" s="4"/>
      <c r="K498" s="4">
        <v>45950.57577546296</v>
      </c>
      <c r="L498">
        <v>0</v>
      </c>
      <c r="M498">
        <v>0</v>
      </c>
      <c r="N498" t="inlineStr">
        <is>
          <t>NzQxMzM4ODg5NzkxNDY2NzAwOTo1MTFjNDI3ZC1mMTVkLTRmM2UtODg4Yy01NjFjZmEwZjdlMmY6ZjMxYmU0MzU5MTJiNzM2MzBiMjhmMDg4NDFjNmMyNTA6MQ==</t>
        </is>
      </c>
      <c r="O498" t="inlineStr">
        <is>
          <t>0</t>
        </is>
      </c>
      <c r="P498" t="inlineStr">
        <is>
          <t>或签任务</t>
        </is>
      </c>
      <c r="Q498" t="inlineStr">
        <is>
          <t>0</t>
        </is>
      </c>
      <c r="R498" t="inlineStr">
        <is>
          <t>李贺,龚政涛</t>
        </is>
      </c>
      <c r="S498" s="4"/>
      <c r="T498" s="3" t="str">
        <f>=HYPERLINK("https://applink.feishu.cn/client/todo/task_list?guid=4d92b9af-66d1-4cd7-95d1-4b753a64ca6b", "跃入迷城")</f>
        <v>跃入迷城</v>
      </c>
      <c r="U498" t="inlineStr">
        <is>
          <t>4d92b9af-66d1-4cd7-95d1-4b753a64ca6b</t>
        </is>
      </c>
      <c r="V498" t="inlineStr">
        <is>
          <t>511c427d-f15d-4f3e-888c-561cfa0f7e2f</t>
        </is>
      </c>
      <c r="W498"/>
      <c r="X498"/>
      <c r="Y498"/>
      <c r="Z498"/>
      <c r="AA498" t="inlineStr">
        <is>
          <t>平面美术</t>
        </is>
      </c>
      <c r="AB498" t="inlineStr">
        <is>
          <t>工作中</t>
        </is>
      </c>
      <c r="AC498"/>
      <c r="AD498" t="inlineStr">
        <is>
          <t>🎨艺术</t>
        </is>
      </c>
      <c r="AE498"/>
    </row>
  </sheetData>
  <dataValidations count="7">
    <dataValidation allowBlank="false" sqref="C2:C497" type="list">
      <formula1>"默认分组,待办,核心功能,角色控制,剧情叙事,暂未分配,敌人角色,成长Build,关卡成长,道具装备,镜头"</formula1>
    </dataValidation>
    <dataValidation allowBlank="false" sqref="P2:P497" type="list">
      <formula1>"或签任务"</formula1>
    </dataValidation>
    <dataValidation allowBlank="false" sqref="Z2:Z497" type="list">
      <formula1>"v0.0.2,0.0.2,0.0.1,0.1.0,0.0.3,0.0.4,0.0.5"</formula1>
    </dataValidation>
    <dataValidation allowBlank="false" sqref="AA2:AA497" type="list">
      <formula1>"玩法,美术,项目管理,剧情,UIUX,音乐音效,程序底层,控制,AI角色,动画,镜头,道具装备,关卡,操作,硬直,模型,装备,AI,技能,场景,角色,平面美术,剧本,音乐,场景搭建,VFX,音效,台词,设定,说明文字"</formula1>
    </dataValidation>
    <dataValidation allowBlank="false" sqref="AB2:AB497" type="list">
      <formula1>"未开始,已验证,工作中,待验证,废弃,推迟,已废弃,已完成,已拆分"</formula1>
    </dataValidation>
    <dataValidation allowBlank="false" sqref="AC2:AC497" type="list">
      <formula1>"P2 - 新的主意,P0 - 必须解决,P1 - 最好解决,P1 - Bigger the Better,P0 - Must (not) Have,P2 - Nice to Have,P3 - Not Related"</formula1>
    </dataValidation>
    <dataValidation allowBlank="false" sqref="AD2:AD497" type="list">
      <formula1>"🎮玩法,🛠️技术,🎨艺术,✍️故事"</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