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跃入迷城"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HH:mm"/>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0" fontId="2" fillId="0" borderId="0" xfId="0" applyFont="true" applyAlignment="false">
      <alignment/>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0" customWidth="1"/>
    <col min="31" max="31" width="19" customWidth="1"/>
  </cols>
  <sheetData>
    <row r="1" ht="13" customHeight="1">
      <c r="A1" s="1" t="inlineStr">
        <is>
          <t>任务标题</t>
        </is>
      </c>
      <c r="B1" s="1" t="inlineStr">
        <is>
          <t>任务描述</t>
        </is>
      </c>
      <c r="C1" s="1" t="inlineStr">
        <is>
          <t>自定义分组</t>
        </is>
      </c>
      <c r="D1" s="1" t="inlineStr">
        <is>
          <t>任务完成状态</t>
        </is>
      </c>
      <c r="E1" s="1" t="inlineStr">
        <is>
          <t>任务完成方式</t>
        </is>
      </c>
      <c r="F1" s="1" t="inlineStr">
        <is>
          <t>任务已完成人员</t>
        </is>
      </c>
      <c r="G1" s="1" t="inlineStr">
        <is>
          <t>里程碑</t>
        </is>
      </c>
      <c r="H1" s="1" t="inlineStr">
        <is>
          <t>子任务进度</t>
        </is>
      </c>
      <c r="I1" s="1" t="inlineStr">
        <is>
          <t>负责人</t>
        </is>
      </c>
      <c r="J1" s="1" t="inlineStr">
        <is>
          <t>关注人</t>
        </is>
      </c>
      <c r="K1" s="1" t="inlineStr">
        <is>
          <t>创建人</t>
        </is>
      </c>
      <c r="L1" s="1" t="inlineStr">
        <is>
          <t>创建时间</t>
        </is>
      </c>
      <c r="M1" s="1" t="inlineStr">
        <is>
          <t>开始时间</t>
        </is>
      </c>
      <c r="N1" s="1" t="inlineStr">
        <is>
          <t>完成时间</t>
        </is>
      </c>
      <c r="O1" s="1" t="inlineStr">
        <is>
          <t>截止时间</t>
        </is>
      </c>
      <c r="P1" s="1" t="inlineStr">
        <is>
          <t>更新时间</t>
        </is>
      </c>
      <c r="Q1" s="1" t="inlineStr">
        <is>
          <t>任务清单</t>
        </is>
      </c>
      <c r="R1" s="1" t="inlineStr">
        <is>
          <t>任务清单 ID</t>
        </is>
      </c>
      <c r="S1" s="1" t="inlineStr">
        <is>
          <t>任务 ID</t>
        </is>
      </c>
      <c r="T1" s="1" t="inlineStr">
        <is>
          <t>子任务数</t>
        </is>
      </c>
      <c r="U1" s="1" t="inlineStr">
        <is>
          <t>评论数</t>
        </is>
      </c>
      <c r="V1" s="1" t="inlineStr">
        <is>
          <t>规划版本</t>
        </is>
      </c>
      <c r="W1" s="1" t="inlineStr">
        <is>
          <t>任务状态</t>
        </is>
      </c>
      <c r="X1" s="1" t="inlineStr">
        <is>
          <t>一级分类</t>
        </is>
      </c>
      <c r="Y1" s="1" t="inlineStr">
        <is>
          <t>二级分类</t>
        </is>
      </c>
      <c r="Z1" s="1" t="inlineStr">
        <is>
          <t>优先级</t>
        </is>
      </c>
      <c r="AA1" s="1" t="inlineStr">
        <is>
          <t>前置任务 ID</t>
        </is>
      </c>
      <c r="AB1" s="1" t="inlineStr">
        <is>
          <t>后置任务 ID</t>
        </is>
      </c>
      <c r="AC1" s="1" t="inlineStr">
        <is>
          <t>父任务 ID</t>
        </is>
      </c>
      <c r="AD1" s="1" t="inlineStr">
        <is>
          <t>SourceID</t>
        </is>
      </c>
      <c r="AE1" s="1" t="inlineStr">
        <is>
          <t>工时预计</t>
        </is>
      </c>
    </row>
    <row r="2" ht="25.5" customHeight="1">
      <c r="A2" s="2" t="str">
        <f>=HYPERLINK("https://applink.feishu.cn/client/todo/detail?guid=9186a384-0f2c-493c-abc8-a14b609ad759&amp;suite_entity_num=t100026", "敌人死亡后尸体不消失")</f>
        <v>敌人死亡后尸体不消失</v>
      </c>
      <c r="B2"/>
      <c r="C2" t="inlineStr">
        <is>
          <t>默认分组</t>
        </is>
      </c>
      <c r="D2" t="inlineStr">
        <is>
          <t>1</t>
        </is>
      </c>
      <c r="E2" t="inlineStr">
        <is>
          <t>或签任务</t>
        </is>
      </c>
      <c r="F2"/>
      <c r="G2" t="inlineStr">
        <is>
          <t>0</t>
        </is>
      </c>
      <c r="H2"/>
      <c r="I2" t="inlineStr">
        <is>
          <t>Decay,李少秋</t>
        </is>
      </c>
      <c r="J2" t="inlineStr">
        <is>
          <t>龚政涛,Decay,李少秋</t>
        </is>
      </c>
      <c r="K2" t="inlineStr">
        <is>
          <t>龚政涛</t>
        </is>
      </c>
      <c r="L2" s="3">
        <v>45536.98783564815</v>
      </c>
      <c r="M2" s="3">
        <v>45556.333333333336</v>
      </c>
      <c r="N2" s="3">
        <v>45572.58615740741</v>
      </c>
      <c r="O2" s="3">
        <v>45559.333333333336</v>
      </c>
      <c r="P2" s="3">
        <v>45727.475266203706</v>
      </c>
      <c r="Q2" s="2" t="str">
        <f>=HYPERLINK("https://applink.feishu.cn/client/todo/task_list?guid=4d92b9af-66d1-4cd7-95d1-4b753a64ca6b", "跃入迷城")</f>
        <v>跃入迷城</v>
      </c>
      <c r="R2" t="inlineStr">
        <is>
          <t>4d92b9af-66d1-4cd7-95d1-4b753a64ca6b</t>
        </is>
      </c>
      <c r="S2" t="inlineStr">
        <is>
          <t>9186a384-0f2c-493c-abc8-a14b609ad759</t>
        </is>
      </c>
      <c r="T2">
        <v>0</v>
      </c>
      <c r="U2">
        <v>1</v>
      </c>
      <c r="V2" t="inlineStr">
        <is>
          <t>0.0.2</t>
        </is>
      </c>
      <c r="W2" t="inlineStr">
        <is>
          <t>已完成</t>
        </is>
      </c>
      <c r="X2"/>
      <c r="Y2" t="inlineStr">
        <is>
          <t>操作</t>
        </is>
      </c>
      <c r="Z2" t="inlineStr">
        <is>
          <t>P1 - Bigger the Better</t>
        </is>
      </c>
      <c r="AA2"/>
      <c r="AB2"/>
      <c r="AC2"/>
      <c r="AD2" t="inlineStr">
        <is>
          <t>NzUzMjAzNDQ5ODk2NDY2ODQ0NDo5MTg2YTM4NC0wZjJjLTQ5M2MtYWJjOC1hMTRiNjA5YWQ3NTk6NWI2Y2ZjNzMyMmM5ZThiNDI4MjQyODBhMmFlZTA1MWI6MQ==</t>
        </is>
      </c>
      <c r="AE2"/>
    </row>
    <row r="3" ht="25.5" customHeight="1">
      <c r="A3" s="2" t="str">
        <f>=HYPERLINK("https://applink.feishu.cn/client/todo/detail?guid=95e87c81-6140-4a25-810c-3295787ab0e7&amp;suite_entity_num=t100002", "先把场景搭出来截个图，作为参考")</f>
        <v>先把场景搭出来截个图，作为参考</v>
      </c>
      <c r="B3"/>
      <c r="C3" t="inlineStr">
        <is>
          <t>默认分组</t>
        </is>
      </c>
      <c r="D3" t="inlineStr">
        <is>
          <t>1</t>
        </is>
      </c>
      <c r="E3" t="inlineStr">
        <is>
          <t>或签任务</t>
        </is>
      </c>
      <c r="F3"/>
      <c r="G3" t="inlineStr">
        <is>
          <t>0</t>
        </is>
      </c>
      <c r="H3"/>
      <c r="I3" t="inlineStr">
        <is>
          <t>龚政涛</t>
        </is>
      </c>
      <c r="J3" t="inlineStr">
        <is>
          <t>龚政涛</t>
        </is>
      </c>
      <c r="K3" t="inlineStr">
        <is>
          <t>龚政涛</t>
        </is>
      </c>
      <c r="L3" s="3">
        <v>45535.472974537035</v>
      </c>
      <c r="M3" s="3"/>
      <c r="N3" s="3">
        <v>45540.70484953704</v>
      </c>
      <c r="O3" s="3">
        <v>45539.333333333336</v>
      </c>
      <c r="P3" s="3">
        <v>45548.42115740741</v>
      </c>
      <c r="Q3" s="2" t="str">
        <f>=HYPERLINK("https://applink.feishu.cn/client/todo/task_list?guid=4d92b9af-66d1-4cd7-95d1-4b753a64ca6b", "跃入迷城")</f>
        <v>跃入迷城</v>
      </c>
      <c r="R3" t="inlineStr">
        <is>
          <t>4d92b9af-66d1-4cd7-95d1-4b753a64ca6b</t>
        </is>
      </c>
      <c r="S3" t="inlineStr">
        <is>
          <t>95e87c81-6140-4a25-810c-3295787ab0e7</t>
        </is>
      </c>
      <c r="T3">
        <v>0</v>
      </c>
      <c r="U3">
        <v>0</v>
      </c>
      <c r="V3" t="inlineStr">
        <is>
          <t>0.0.2</t>
        </is>
      </c>
      <c r="W3" t="inlineStr">
        <is>
          <t>已完成</t>
        </is>
      </c>
      <c r="X3"/>
      <c r="Y3" t="inlineStr">
        <is>
          <t>平面美术</t>
        </is>
      </c>
      <c r="Z3"/>
      <c r="AA3"/>
      <c r="AB3"/>
      <c r="AC3"/>
      <c r="AD3" t="inlineStr">
        <is>
          <t>NzUzMjAzNDQ5ODk2NDY2ODQ0NDo5NWU4N2M4MS02MTQwLTRhMjUtODEwYy0zMjk1Nzg3YWIwZTc6MzBkMmZhMjM2ZmIxZGI4YmE0NTM3Njc1ZDc5YzBhY2U6MQ==</t>
        </is>
      </c>
      <c r="AE3"/>
    </row>
    <row r="4" ht="25.5" customHeight="1">
      <c r="A4" s="2" t="str">
        <f>=HYPERLINK("https://applink.feishu.cn/client/todo/detail?guid=e15401d9-55b3-43ff-b1a8-83996d4a8f33&amp;suite_entity_num=t100019", "找一个合适的俯视角敌人案例")</f>
        <v>找一个合适的俯视角敌人案例</v>
      </c>
      <c r="B4"/>
      <c r="C4" t="inlineStr">
        <is>
          <t>默认分组</t>
        </is>
      </c>
      <c r="D4" t="inlineStr">
        <is>
          <t>1</t>
        </is>
      </c>
      <c r="E4" t="inlineStr">
        <is>
          <t>或签任务</t>
        </is>
      </c>
      <c r="F4"/>
      <c r="G4" t="inlineStr">
        <is>
          <t>0</t>
        </is>
      </c>
      <c r="H4"/>
      <c r="I4" t="inlineStr">
        <is>
          <t>龚政涛</t>
        </is>
      </c>
      <c r="J4" t="inlineStr">
        <is>
          <t>龚政涛</t>
        </is>
      </c>
      <c r="K4" t="inlineStr">
        <is>
          <t>龚政涛</t>
        </is>
      </c>
      <c r="L4" s="3">
        <v>45536.980358796296</v>
      </c>
      <c r="M4" s="3"/>
      <c r="N4" s="3">
        <v>45540.70490740741</v>
      </c>
      <c r="O4" s="3">
        <v>45540.333333333336</v>
      </c>
      <c r="P4" s="3">
        <v>45548.421215277776</v>
      </c>
      <c r="Q4" s="2" t="str">
        <f>=HYPERLINK("https://applink.feishu.cn/client/todo/task_list?guid=4d92b9af-66d1-4cd7-95d1-4b753a64ca6b", "跃入迷城")</f>
        <v>跃入迷城</v>
      </c>
      <c r="R4" t="inlineStr">
        <is>
          <t>4d92b9af-66d1-4cd7-95d1-4b753a64ca6b</t>
        </is>
      </c>
      <c r="S4" t="inlineStr">
        <is>
          <t>e15401d9-55b3-43ff-b1a8-83996d4a8f33</t>
        </is>
      </c>
      <c r="T4">
        <v>0</v>
      </c>
      <c r="U4">
        <v>0</v>
      </c>
      <c r="V4" t="inlineStr">
        <is>
          <t>0.0.2</t>
        </is>
      </c>
      <c r="W4" t="inlineStr">
        <is>
          <t>已完成</t>
        </is>
      </c>
      <c r="X4"/>
      <c r="Y4" t="inlineStr">
        <is>
          <t>操作</t>
        </is>
      </c>
      <c r="Z4"/>
      <c r="AA4"/>
      <c r="AB4"/>
      <c r="AC4"/>
      <c r="AD4" t="inlineStr">
        <is>
          <t>NzUzMjAzNDQ5ODk2NDY2ODQ0NDplMTU0MDFkOS01NWIzLTQzZmYtYjFhOC04Mzk5NmQ0YThmMzM6YzJjZjZmMjdjMTQ5Mzc4ZDJmZDA0ZmU5MmMwYTVjZmE6MQ==</t>
        </is>
      </c>
      <c r="AE4"/>
    </row>
    <row r="5" ht="25.5" customHeight="1">
      <c r="A5" s="2" t="str">
        <f>=HYPERLINK("https://applink.feishu.cn/client/todo/detail?guid=a868512d-797a-493b-8c90-235dbe6d592c&amp;suite_entity_num=t100034", "玩家应该有1次刷新菜单的机会")</f>
        <v>玩家应该有1次刷新菜单的机会</v>
      </c>
      <c r="B5"/>
      <c r="C5" t="inlineStr">
        <is>
          <t>默认分组</t>
        </is>
      </c>
      <c r="D5" t="inlineStr">
        <is>
          <t>1</t>
        </is>
      </c>
      <c r="E5" t="inlineStr">
        <is>
          <t>或签任务</t>
        </is>
      </c>
      <c r="F5"/>
      <c r="G5" t="inlineStr">
        <is>
          <t>0</t>
        </is>
      </c>
      <c r="H5"/>
      <c r="I5" t="inlineStr">
        <is>
          <t>Decay</t>
        </is>
      </c>
      <c r="J5" t="inlineStr">
        <is>
          <t>龚政涛,Decay</t>
        </is>
      </c>
      <c r="K5" t="inlineStr">
        <is>
          <t>龚政涛</t>
        </is>
      </c>
      <c r="L5" s="3">
        <v>45538.940092592595</v>
      </c>
      <c r="M5" s="3">
        <v>45573.333333333336</v>
      </c>
      <c r="N5" s="3">
        <v>45709.45333333333</v>
      </c>
      <c r="O5" s="3">
        <v>45573.333333333336</v>
      </c>
      <c r="P5" s="3">
        <v>45709.45327546296</v>
      </c>
      <c r="Q5" s="2" t="str">
        <f>=HYPERLINK("https://applink.feishu.cn/client/todo/task_list?guid=4d92b9af-66d1-4cd7-95d1-4b753a64ca6b", "跃入迷城")</f>
        <v>跃入迷城</v>
      </c>
      <c r="R5" t="inlineStr">
        <is>
          <t>4d92b9af-66d1-4cd7-95d1-4b753a64ca6b</t>
        </is>
      </c>
      <c r="S5" t="inlineStr">
        <is>
          <t>a868512d-797a-493b-8c90-235dbe6d592c</t>
        </is>
      </c>
      <c r="T5">
        <v>0</v>
      </c>
      <c r="U5">
        <v>2</v>
      </c>
      <c r="V5" t="inlineStr">
        <is>
          <t>0.0.2</t>
        </is>
      </c>
      <c r="W5" t="inlineStr">
        <is>
          <t>已废弃</t>
        </is>
      </c>
      <c r="X5"/>
      <c r="Y5" t="inlineStr">
        <is>
          <t>操作</t>
        </is>
      </c>
      <c r="Z5" t="inlineStr">
        <is>
          <t>P1 - Bigger the Better</t>
        </is>
      </c>
      <c r="AA5" t="inlineStr">
        <is>
          <t>c5e43c49-af72-4158-be59-5ef5ff067295</t>
        </is>
      </c>
      <c r="AB5" t="inlineStr">
        <is>
          <t>883ef65c-8d61-4b3d-a33a-761a7a28be03</t>
        </is>
      </c>
      <c r="AC5"/>
      <c r="AD5" t="inlineStr">
        <is>
          <t>NzUzMjAzNDQ5ODk2NDY2ODQ0NDphODY4NTEyZC03OTdhLTQ5M2ItOGM5MC0yMzVkYmU2ZDU5MmM6ZGI1NzE1ZTE0NjQ1MTE2NmMzZmUwZmEzZGYzZjgyOTY6MQ==</t>
        </is>
      </c>
      <c r="AE5"/>
    </row>
    <row r="6" ht="25.5" customHeight="1">
      <c r="A6" s="2" t="str">
        <f>=HYPERLINK("https://applink.feishu.cn/client/todo/detail?guid=689db3a1-4ae5-4c64-ae12-daf6c73017eb&amp;suite_entity_num=t100020", "准备AI事件逻辑")</f>
        <v>准备AI事件逻辑</v>
      </c>
      <c r="B6"/>
      <c r="C6" t="inlineStr">
        <is>
          <t>默认分组</t>
        </is>
      </c>
      <c r="D6" t="inlineStr">
        <is>
          <t>1</t>
        </is>
      </c>
      <c r="E6" t="inlineStr">
        <is>
          <t>或签任务</t>
        </is>
      </c>
      <c r="F6"/>
      <c r="G6" t="inlineStr">
        <is>
          <t>0</t>
        </is>
      </c>
      <c r="H6"/>
      <c r="I6" t="inlineStr">
        <is>
          <t>龚政涛,苏祺恒</t>
        </is>
      </c>
      <c r="J6" t="inlineStr">
        <is>
          <t>龚政涛,苏祺恒</t>
        </is>
      </c>
      <c r="K6" t="inlineStr">
        <is>
          <t>龚政涛</t>
        </is>
      </c>
      <c r="L6" s="3">
        <v>45536.98128472222</v>
      </c>
      <c r="M6" s="3"/>
      <c r="N6" s="3">
        <v>45538.93917824074</v>
      </c>
      <c r="O6" s="3">
        <v>45538.333333333336</v>
      </c>
      <c r="P6" s="3">
        <v>45552.135243055556</v>
      </c>
      <c r="Q6" s="2" t="str">
        <f>=HYPERLINK("https://applink.feishu.cn/client/todo/task_list?guid=4d92b9af-66d1-4cd7-95d1-4b753a64ca6b", "跃入迷城")</f>
        <v>跃入迷城</v>
      </c>
      <c r="R6" t="inlineStr">
        <is>
          <t>4d92b9af-66d1-4cd7-95d1-4b753a64ca6b</t>
        </is>
      </c>
      <c r="S6" t="inlineStr">
        <is>
          <t>689db3a1-4ae5-4c64-ae12-daf6c73017eb</t>
        </is>
      </c>
      <c r="T6">
        <v>0</v>
      </c>
      <c r="U6">
        <v>0</v>
      </c>
      <c r="V6" t="inlineStr">
        <is>
          <t>0.0.2</t>
        </is>
      </c>
      <c r="W6" t="inlineStr">
        <is>
          <t>已完成</t>
        </is>
      </c>
      <c r="X6"/>
      <c r="Y6" t="inlineStr">
        <is>
          <t>操作</t>
        </is>
      </c>
      <c r="Z6"/>
      <c r="AA6"/>
      <c r="AB6"/>
      <c r="AC6"/>
      <c r="AD6" t="inlineStr">
        <is>
          <t>NzUzMjAzNDQ5ODk2NDY2ODQ0NDo2ODlkYjNhMS00YWU1LTRjNjQtYWUxMi1kYWY2YzczMDE3ZWI6NGFmN2EzYWFjNTFkYzNmYzY0Yjg2NDhmZmMzNGI5YWM6MQ==</t>
        </is>
      </c>
      <c r="AE6"/>
    </row>
    <row r="7" ht="25.5" customHeight="1">
      <c r="A7" s="2" t="str">
        <f>=HYPERLINK("https://applink.feishu.cn/client/todo/detail?guid=11a47804-abfe-4dc9-a638-7ffdcdbd860a&amp;suite_entity_num=t100021", "撰写冲击力+硬直系统逻辑")</f>
        <v>撰写冲击力+硬直系统逻辑</v>
      </c>
      <c r="B7"/>
      <c r="C7" t="inlineStr">
        <is>
          <t>默认分组</t>
        </is>
      </c>
      <c r="D7" t="inlineStr">
        <is>
          <t>1</t>
        </is>
      </c>
      <c r="E7" t="inlineStr">
        <is>
          <t>或签任务</t>
        </is>
      </c>
      <c r="F7"/>
      <c r="G7" t="inlineStr">
        <is>
          <t>0</t>
        </is>
      </c>
      <c r="H7"/>
      <c r="I7" t="inlineStr">
        <is>
          <t>苏祺恒</t>
        </is>
      </c>
      <c r="J7" t="inlineStr">
        <is>
          <t>龚政涛,苏祺恒</t>
        </is>
      </c>
      <c r="K7" t="inlineStr">
        <is>
          <t>龚政涛</t>
        </is>
      </c>
      <c r="L7" s="3">
        <v>45536.98168981481</v>
      </c>
      <c r="M7" s="3">
        <v>45542.333333333336</v>
      </c>
      <c r="N7" s="3">
        <v>45709.45326388889</v>
      </c>
      <c r="O7" s="3">
        <v>45548.333333333336</v>
      </c>
      <c r="P7" s="3">
        <v>45709.453206018516</v>
      </c>
      <c r="Q7" s="2" t="str">
        <f>=HYPERLINK("https://applink.feishu.cn/client/todo/task_list?guid=4d92b9af-66d1-4cd7-95d1-4b753a64ca6b", "跃入迷城")</f>
        <v>跃入迷城</v>
      </c>
      <c r="R7" t="inlineStr">
        <is>
          <t>4d92b9af-66d1-4cd7-95d1-4b753a64ca6b</t>
        </is>
      </c>
      <c r="S7" t="inlineStr">
        <is>
          <t>11a47804-abfe-4dc9-a638-7ffdcdbd860a</t>
        </is>
      </c>
      <c r="T7">
        <v>0</v>
      </c>
      <c r="U7">
        <v>0</v>
      </c>
      <c r="V7" t="inlineStr">
        <is>
          <t>0.0.2</t>
        </is>
      </c>
      <c r="W7" t="inlineStr">
        <is>
          <t>已废弃</t>
        </is>
      </c>
      <c r="X7"/>
      <c r="Y7" t="inlineStr">
        <is>
          <t>操作</t>
        </is>
      </c>
      <c r="Z7" t="inlineStr">
        <is>
          <t>P0 - Must (not) Have</t>
        </is>
      </c>
      <c r="AA7"/>
      <c r="AB7"/>
      <c r="AC7"/>
      <c r="AD7" t="inlineStr">
        <is>
          <t>NzUzMjAzNDQ5ODk2NDY2ODQ0NDoxMWE0NzgwNC1hYmZlLTRkYzktYTYzOC03ZmZkY2RiZDg2MGE6MTc5MDAyNjg4YzU0YTg5ZGZlZDkwZmQyMmQ4ZWIwYTE6MQ==</t>
        </is>
      </c>
      <c r="AE7"/>
    </row>
    <row r="8" ht="25.5" customHeight="1">
      <c r="A8" s="2" t="str">
        <f>=HYPERLINK("https://applink.feishu.cn/client/todo/detail?guid=d621bf07-a1cd-4204-9fa8-2d52204cc831&amp;suite_entity_num=t100045", "先不说内容，看下这种“在摄像机前放一个canvas”的方案是否可以实现？")</f>
        <v>先不说内容，看下这种“在摄像机前放一个canvas”的方案是否可以实现？</v>
      </c>
      <c r="B8"/>
      <c r="C8" t="inlineStr">
        <is>
          <t>默认分组</t>
        </is>
      </c>
      <c r="D8" t="inlineStr">
        <is>
          <t>1</t>
        </is>
      </c>
      <c r="E8" t="inlineStr">
        <is>
          <t>或签任务</t>
        </is>
      </c>
      <c r="F8"/>
      <c r="G8" t="inlineStr">
        <is>
          <t>0</t>
        </is>
      </c>
      <c r="H8"/>
      <c r="I8" t="inlineStr">
        <is>
          <t>Decay</t>
        </is>
      </c>
      <c r="J8" t="inlineStr">
        <is>
          <t>龚政涛,Decay</t>
        </is>
      </c>
      <c r="K8" t="inlineStr">
        <is>
          <t>龚政涛</t>
        </is>
      </c>
      <c r="L8" s="3">
        <v>45547.72545138889</v>
      </c>
      <c r="M8" s="3">
        <v>45557.333333333336</v>
      </c>
      <c r="N8" s="3">
        <v>45571.990208333336</v>
      </c>
      <c r="O8" s="3">
        <v>45557.333333333336</v>
      </c>
      <c r="P8" s="3">
        <v>45571.990208333336</v>
      </c>
      <c r="Q8" s="2" t="str">
        <f>=HYPERLINK("https://applink.feishu.cn/client/todo/task_list?guid=4d92b9af-66d1-4cd7-95d1-4b753a64ca6b", "跃入迷城")</f>
        <v>跃入迷城</v>
      </c>
      <c r="R8" t="inlineStr">
        <is>
          <t>4d92b9af-66d1-4cd7-95d1-4b753a64ca6b</t>
        </is>
      </c>
      <c r="S8" t="inlineStr">
        <is>
          <t>d621bf07-a1cd-4204-9fa8-2d52204cc831</t>
        </is>
      </c>
      <c r="T8">
        <v>0</v>
      </c>
      <c r="U8">
        <v>2</v>
      </c>
      <c r="V8" t="inlineStr">
        <is>
          <t>0.0.2</t>
        </is>
      </c>
      <c r="W8" t="inlineStr">
        <is>
          <t>已完成</t>
        </is>
      </c>
      <c r="X8"/>
      <c r="Y8" t="inlineStr">
        <is>
          <t>平面美术</t>
        </is>
      </c>
      <c r="Z8"/>
      <c r="AA8"/>
      <c r="AB8"/>
      <c r="AC8"/>
      <c r="AD8" t="inlineStr">
        <is>
          <t>NzUzMjAzNDQ5ODk2NDY2ODQ0NDpkNjIxYmYwNy1hMWNkLTQyMDQtOWZhOC0yZDUyMjA0Y2M4MzE6Y2U4MjYxMzY4ZWFkNzUyZWFlMmEyMmYzYzNlNjQxZjI6MQ==</t>
        </is>
      </c>
      <c r="AE8"/>
    </row>
    <row r="9" ht="25.5" customHeight="1">
      <c r="A9" s="2" t="str">
        <f>=HYPERLINK("https://applink.feishu.cn/client/todo/detail?guid=668e1297-3536-408a-af2a-a1af32967600&amp;suite_entity_num=t100012", "标准化素材替换")</f>
        <v>标准化素材替换</v>
      </c>
      <c r="B9"/>
      <c r="C9" t="inlineStr">
        <is>
          <t>默认分组</t>
        </is>
      </c>
      <c r="D9" t="inlineStr">
        <is>
          <t>1</t>
        </is>
      </c>
      <c r="E9" t="inlineStr">
        <is>
          <t>或签任务</t>
        </is>
      </c>
      <c r="F9"/>
      <c r="G9" t="inlineStr">
        <is>
          <t>0</t>
        </is>
      </c>
      <c r="H9"/>
      <c r="I9" t="inlineStr">
        <is>
          <t>龚政涛</t>
        </is>
      </c>
      <c r="J9" t="inlineStr">
        <is>
          <t>龚政涛</t>
        </is>
      </c>
      <c r="K9" t="inlineStr">
        <is>
          <t>龚政涛</t>
        </is>
      </c>
      <c r="L9" s="3">
        <v>45536.9759837963</v>
      </c>
      <c r="M9" s="3">
        <v>45535.333333333336</v>
      </c>
      <c r="N9" s="3">
        <v>45557.975277777776</v>
      </c>
      <c r="O9" s="3">
        <v>45541.333333333336</v>
      </c>
      <c r="P9" s="3">
        <v>45727.47508101852</v>
      </c>
      <c r="Q9" s="2" t="str">
        <f>=HYPERLINK("https://applink.feishu.cn/client/todo/task_list?guid=4d92b9af-66d1-4cd7-95d1-4b753a64ca6b", "跃入迷城")</f>
        <v>跃入迷城</v>
      </c>
      <c r="R9" t="inlineStr">
        <is>
          <t>4d92b9af-66d1-4cd7-95d1-4b753a64ca6b</t>
        </is>
      </c>
      <c r="S9" t="inlineStr">
        <is>
          <t>668e1297-3536-408a-af2a-a1af32967600</t>
        </is>
      </c>
      <c r="T9">
        <v>0</v>
      </c>
      <c r="U9">
        <v>2</v>
      </c>
      <c r="V9" t="inlineStr">
        <is>
          <t>0.0.5</t>
        </is>
      </c>
      <c r="W9" t="inlineStr">
        <is>
          <t>未开始</t>
        </is>
      </c>
      <c r="X9"/>
      <c r="Y9" t="inlineStr">
        <is>
          <t>平面美术</t>
        </is>
      </c>
      <c r="Z9" t="inlineStr">
        <is>
          <t>P0 - Must (not) Have</t>
        </is>
      </c>
      <c r="AA9"/>
      <c r="AB9"/>
      <c r="AC9"/>
      <c r="AD9" t="inlineStr">
        <is>
          <t>NzUzMjAzNDQ5ODk2NDY2ODQ0NDo2NjhlMTI5Ny0zNTM2LTQwOGEtYWYyYS1hMWFmMzI5Njc2MDA6OGFmNzdjYzI4MTFhOWVmYWQyYTJmZjNhYmE2NTQ0YTM6MQ==</t>
        </is>
      </c>
      <c r="AE9"/>
    </row>
    <row r="10" ht="25.5" customHeight="1">
      <c r="A10" s="2" t="str">
        <f>=HYPERLINK("https://applink.feishu.cn/client/todo/detail?guid=d73e9a8b-6afa-461b-9ede-bce0d94bdd89&amp;suite_entity_num=t100018", "准备AI概念草图")</f>
        <v>准备AI概念草图</v>
      </c>
      <c r="B10"/>
      <c r="C10" t="inlineStr">
        <is>
          <t>默认分组</t>
        </is>
      </c>
      <c r="D10" t="inlineStr">
        <is>
          <t>1</t>
        </is>
      </c>
      <c r="E10" t="inlineStr">
        <is>
          <t>或签任务</t>
        </is>
      </c>
      <c r="F10"/>
      <c r="G10" t="inlineStr">
        <is>
          <t>0</t>
        </is>
      </c>
      <c r="H10"/>
      <c r="I10" t="inlineStr">
        <is>
          <t>龚政涛</t>
        </is>
      </c>
      <c r="J10" t="inlineStr">
        <is>
          <t>龚政涛</t>
        </is>
      </c>
      <c r="K10" t="inlineStr">
        <is>
          <t>龚政涛</t>
        </is>
      </c>
      <c r="L10" s="3">
        <v>45536.980046296296</v>
      </c>
      <c r="M10" s="3"/>
      <c r="N10" s="3">
        <v>45651.62349537037</v>
      </c>
      <c r="O10" s="3"/>
      <c r="P10" s="3">
        <v>45651.623506944445</v>
      </c>
      <c r="Q10" s="2" t="str">
        <f>=HYPERLINK("https://applink.feishu.cn/client/todo/task_list?guid=4d92b9af-66d1-4cd7-95d1-4b753a64ca6b", "跃入迷城")</f>
        <v>跃入迷城</v>
      </c>
      <c r="R10" t="inlineStr">
        <is>
          <t>4d92b9af-66d1-4cd7-95d1-4b753a64ca6b</t>
        </is>
      </c>
      <c r="S10" t="inlineStr">
        <is>
          <t>d73e9a8b-6afa-461b-9ede-bce0d94bdd89</t>
        </is>
      </c>
      <c r="T10">
        <v>0</v>
      </c>
      <c r="U10">
        <v>0</v>
      </c>
      <c r="V10" t="inlineStr">
        <is>
          <t>0.0.3</t>
        </is>
      </c>
      <c r="W10" t="inlineStr">
        <is>
          <t>已废弃</t>
        </is>
      </c>
      <c r="X10"/>
      <c r="Y10" t="inlineStr">
        <is>
          <t>平面美术</t>
        </is>
      </c>
      <c r="Z10"/>
      <c r="AA10"/>
      <c r="AB10"/>
      <c r="AC10"/>
      <c r="AD10" t="inlineStr">
        <is>
          <t>NzUzMjAzNDQ5ODk2NDY2ODQ0NDpkNzNlOWE4Yi02YWZhLTQ2MWItOWVkZS1iY2UwZDk0YmRkODk6YjMyMTRmZGQ0ZjY3NjI5YzNmNGFhMzRlMmExNWRjNTk6MQ==</t>
        </is>
      </c>
      <c r="AE10"/>
    </row>
    <row r="11" ht="25.5" customHeight="1">
      <c r="A11" s="2" t="str">
        <f>=HYPERLINK("https://applink.feishu.cn/client/todo/detail?guid=10250abc-c9a8-490b-8ea7-25cfaf437532&amp;suite_entity_num=t100022", "调整远程攻击逻辑")</f>
        <v>调整远程攻击逻辑</v>
      </c>
      <c r="B11"/>
      <c r="C11" t="inlineStr">
        <is>
          <t>默认分组</t>
        </is>
      </c>
      <c r="D11" t="inlineStr">
        <is>
          <t>1</t>
        </is>
      </c>
      <c r="E11" t="inlineStr">
        <is>
          <t>或签任务</t>
        </is>
      </c>
      <c r="F11"/>
      <c r="G11" t="inlineStr">
        <is>
          <t>0</t>
        </is>
      </c>
      <c r="H11"/>
      <c r="I11" t="inlineStr">
        <is>
          <t>Decay</t>
        </is>
      </c>
      <c r="J11" t="inlineStr">
        <is>
          <t>龚政涛,Decay</t>
        </is>
      </c>
      <c r="K11" t="inlineStr">
        <is>
          <t>龚政涛</t>
        </is>
      </c>
      <c r="L11" s="3">
        <v>45536.98206018518</v>
      </c>
      <c r="M11" s="3">
        <v>45547.333333333336</v>
      </c>
      <c r="N11" s="3">
        <v>45552.13364583333</v>
      </c>
      <c r="O11" s="3">
        <v>45548.333333333336</v>
      </c>
      <c r="P11" s="3">
        <v>45552.13366898148</v>
      </c>
      <c r="Q11" s="2" t="str">
        <f>=HYPERLINK("https://applink.feishu.cn/client/todo/task_list?guid=4d92b9af-66d1-4cd7-95d1-4b753a64ca6b", "跃入迷城")</f>
        <v>跃入迷城</v>
      </c>
      <c r="R11" t="inlineStr">
        <is>
          <t>4d92b9af-66d1-4cd7-95d1-4b753a64ca6b</t>
        </is>
      </c>
      <c r="S11" t="inlineStr">
        <is>
          <t>10250abc-c9a8-490b-8ea7-25cfaf437532</t>
        </is>
      </c>
      <c r="T11">
        <v>0</v>
      </c>
      <c r="U11">
        <v>0</v>
      </c>
      <c r="V11" t="inlineStr">
        <is>
          <t>0.0.2</t>
        </is>
      </c>
      <c r="W11" t="inlineStr">
        <is>
          <t>已完成</t>
        </is>
      </c>
      <c r="X11"/>
      <c r="Y11" t="inlineStr">
        <is>
          <t>操作</t>
        </is>
      </c>
      <c r="Z11"/>
      <c r="AA11"/>
      <c r="AB11" t="inlineStr">
        <is>
          <t>ca0124ed-7c56-4d55-8134-f69d44296221</t>
        </is>
      </c>
      <c r="AC11"/>
      <c r="AD11" t="inlineStr">
        <is>
          <t>NzUzMjAzNDQ5ODk2NDY2ODQ0NDoxMDI1MGFiYy1jOWE4LTQ5MGItOGVhNy0yNWNmYWY0Mzc1MzI6YWI1MDFkYmZiZTJlNTU2OThiMmZkZjljN2VhZjEyOTg6MQ==</t>
        </is>
      </c>
      <c r="AE11"/>
    </row>
    <row r="12" ht="25.5" customHeight="1">
      <c r="A12" s="2" t="str">
        <f>=HYPERLINK("https://applink.feishu.cn/client/todo/detail?guid=280e4816-4b06-497a-9d02-192533f260a4&amp;suite_entity_num=t100035", "整理剧本文档框架")</f>
        <v>整理剧本文档框架</v>
      </c>
      <c r="B12"/>
      <c r="C12" t="inlineStr">
        <is>
          <t>默认分组</t>
        </is>
      </c>
      <c r="D12" t="inlineStr">
        <is>
          <t>1</t>
        </is>
      </c>
      <c r="E12" t="inlineStr">
        <is>
          <t>或签任务</t>
        </is>
      </c>
      <c r="F12"/>
      <c r="G12" t="inlineStr">
        <is>
          <t>0</t>
        </is>
      </c>
      <c r="H12"/>
      <c r="I12" t="inlineStr">
        <is>
          <t>龚政涛,Serein</t>
        </is>
      </c>
      <c r="J12" t="inlineStr">
        <is>
          <t>龚政涛,Serein</t>
        </is>
      </c>
      <c r="K12" t="inlineStr">
        <is>
          <t>龚政涛</t>
        </is>
      </c>
      <c r="L12" s="3">
        <v>45538.94173611111</v>
      </c>
      <c r="M12" s="3"/>
      <c r="N12" s="3">
        <v>45555.97944444444</v>
      </c>
      <c r="O12" s="3">
        <v>45540.333333333336</v>
      </c>
      <c r="P12" s="3">
        <v>45866.688796296294</v>
      </c>
      <c r="Q12" s="2" t="str">
        <f>=HYPERLINK("https://applink.feishu.cn/client/todo/task_list?guid=4d92b9af-66d1-4cd7-95d1-4b753a64ca6b", "跃入迷城")</f>
        <v>跃入迷城</v>
      </c>
      <c r="R12" t="inlineStr">
        <is>
          <t>4d92b9af-66d1-4cd7-95d1-4b753a64ca6b</t>
        </is>
      </c>
      <c r="S12" t="inlineStr">
        <is>
          <t>280e4816-4b06-497a-9d02-192533f260a4</t>
        </is>
      </c>
      <c r="T12">
        <v>0</v>
      </c>
      <c r="U12">
        <v>0</v>
      </c>
      <c r="V12" t="inlineStr">
        <is>
          <t>0.0.5</t>
        </is>
      </c>
      <c r="W12" t="inlineStr">
        <is>
          <t>工作中</t>
        </is>
      </c>
      <c r="X12" t="inlineStr">
        <is>
          <t>✍️故事</t>
        </is>
      </c>
      <c r="Y12" t="inlineStr">
        <is>
          <t>剧本</t>
        </is>
      </c>
      <c r="Z12" t="inlineStr">
        <is>
          <t>P0 - Must (not) Have</t>
        </is>
      </c>
      <c r="AA12"/>
      <c r="AB12"/>
      <c r="AC12"/>
      <c r="AD12" t="inlineStr">
        <is>
          <t>NzUzMjAzNDQ5ODk2NDY2ODQ0NDoyODBlNDgxNi00YjA2LTQ5N2EtOWQwMi0xOTI1MzNmMjYwYTQ6NTkyMWMxMzdmZGIwMzlkMzAzNDE5ZGYxOTk4YzI1ZDQ6MQ==</t>
        </is>
      </c>
      <c r="AE12"/>
    </row>
    <row r="13" ht="25.5" customHeight="1">
      <c r="A13" s="2" t="str">
        <f>=HYPERLINK("https://applink.feishu.cn/client/todo/detail?guid=ca0124ed-7c56-4d55-8134-f69d44296221&amp;suite_entity_num=t100041", "调整近战攻击逻辑")</f>
        <v>调整近战攻击逻辑</v>
      </c>
      <c r="B13"/>
      <c r="C13" t="inlineStr">
        <is>
          <t>默认分组</t>
        </is>
      </c>
      <c r="D13" t="inlineStr">
        <is>
          <t>1</t>
        </is>
      </c>
      <c r="E13" t="inlineStr">
        <is>
          <t>或签任务</t>
        </is>
      </c>
      <c r="F13"/>
      <c r="G13" t="inlineStr">
        <is>
          <t>0</t>
        </is>
      </c>
      <c r="H13"/>
      <c r="I13" t="inlineStr">
        <is>
          <t>Decay</t>
        </is>
      </c>
      <c r="J13" t="inlineStr">
        <is>
          <t>龚政涛,Decay</t>
        </is>
      </c>
      <c r="K13" t="inlineStr">
        <is>
          <t>龚政涛</t>
        </is>
      </c>
      <c r="L13" s="3">
        <v>45547.019641203704</v>
      </c>
      <c r="M13" s="3">
        <v>45549.333333333336</v>
      </c>
      <c r="N13" s="3">
        <v>45552.13363425926</v>
      </c>
      <c r="O13" s="3">
        <v>45551.333333333336</v>
      </c>
      <c r="P13" s="3">
        <v>45552.13364583333</v>
      </c>
      <c r="Q13" s="2" t="str">
        <f>=HYPERLINK("https://applink.feishu.cn/client/todo/task_list?guid=4d92b9af-66d1-4cd7-95d1-4b753a64ca6b", "跃入迷城")</f>
        <v>跃入迷城</v>
      </c>
      <c r="R13" t="inlineStr">
        <is>
          <t>4d92b9af-66d1-4cd7-95d1-4b753a64ca6b</t>
        </is>
      </c>
      <c r="S13" t="inlineStr">
        <is>
          <t>ca0124ed-7c56-4d55-8134-f69d44296221</t>
        </is>
      </c>
      <c r="T13">
        <v>0</v>
      </c>
      <c r="U13">
        <v>0</v>
      </c>
      <c r="V13" t="inlineStr">
        <is>
          <t>0.0.2</t>
        </is>
      </c>
      <c r="W13" t="inlineStr">
        <is>
          <t>已完成</t>
        </is>
      </c>
      <c r="X13"/>
      <c r="Y13" t="inlineStr">
        <is>
          <t>操作</t>
        </is>
      </c>
      <c r="Z13"/>
      <c r="AA13" t="inlineStr">
        <is>
          <t>10250abc-c9a8-490b-8ea7-25cfaf437532</t>
        </is>
      </c>
      <c r="AB13"/>
      <c r="AC13"/>
      <c r="AD13" t="inlineStr">
        <is>
          <t>NzUzMjAzNDQ5ODk2NDY2ODQ0NDpjYTAxMjRlZC03YzU2LTRkNTUtODEzNC1mNjlkNDQyOTYyMjE6ODVhZmZmNzg2ZWJmMGRlMDI3MmI2MzIzYjU2ODE2ZTQ6MQ==</t>
        </is>
      </c>
      <c r="AE13"/>
    </row>
    <row r="14" ht="25.5" customHeight="1">
      <c r="A14" s="2" t="str">
        <f>=HYPERLINK("https://applink.feishu.cn/client/todo/detail?guid=56f6b98d-3383-494a-b890-435e61176ef3&amp;suite_entity_num=t100033", "撰写AI远程逻辑")</f>
        <v>撰写AI远程逻辑</v>
      </c>
      <c r="B14"/>
      <c r="C14" t="inlineStr">
        <is>
          <t>默认分组</t>
        </is>
      </c>
      <c r="D14" t="inlineStr">
        <is>
          <t>1</t>
        </is>
      </c>
      <c r="E14" t="inlineStr">
        <is>
          <t>或签任务</t>
        </is>
      </c>
      <c r="F14"/>
      <c r="G14" t="inlineStr">
        <is>
          <t>0</t>
        </is>
      </c>
      <c r="H14"/>
      <c r="I14" t="inlineStr">
        <is>
          <t>龚政涛</t>
        </is>
      </c>
      <c r="J14" t="inlineStr">
        <is>
          <t>龚政涛</t>
        </is>
      </c>
      <c r="K14" t="inlineStr">
        <is>
          <t>龚政涛</t>
        </is>
      </c>
      <c r="L14" s="3">
        <v>45538.93971064815</v>
      </c>
      <c r="M14" s="3"/>
      <c r="N14" s="3">
        <v>45540.70570601852</v>
      </c>
      <c r="O14" s="3">
        <v>45539.333333333336</v>
      </c>
      <c r="P14" s="3">
        <v>45548.42115740741</v>
      </c>
      <c r="Q14" s="2" t="str">
        <f>=HYPERLINK("https://applink.feishu.cn/client/todo/task_list?guid=4d92b9af-66d1-4cd7-95d1-4b753a64ca6b", "跃入迷城")</f>
        <v>跃入迷城</v>
      </c>
      <c r="R14" t="inlineStr">
        <is>
          <t>4d92b9af-66d1-4cd7-95d1-4b753a64ca6b</t>
        </is>
      </c>
      <c r="S14" t="inlineStr">
        <is>
          <t>56f6b98d-3383-494a-b890-435e61176ef3</t>
        </is>
      </c>
      <c r="T14">
        <v>0</v>
      </c>
      <c r="U14">
        <v>0</v>
      </c>
      <c r="V14" t="inlineStr">
        <is>
          <t>0.0.2</t>
        </is>
      </c>
      <c r="W14" t="inlineStr">
        <is>
          <t>已完成</t>
        </is>
      </c>
      <c r="X14"/>
      <c r="Y14" t="inlineStr">
        <is>
          <t>操作</t>
        </is>
      </c>
      <c r="Z14"/>
      <c r="AA14"/>
      <c r="AB14"/>
      <c r="AC14"/>
      <c r="AD14" t="inlineStr">
        <is>
          <t>NzUzMjAzNDQ5ODk2NDY2ODQ0NDo1NmY2Yjk4ZC0zMzgzLTQ5NGEtYjg5MC00MzVlNjExNzZlZjM6ZmMxOTA4Njc5ZTg1NDE5NjcwNmQ5MzNjZWJjMGZkZTY6MQ==</t>
        </is>
      </c>
      <c r="AE14"/>
    </row>
    <row r="15" ht="25.5" customHeight="1">
      <c r="A15" s="2" t="str">
        <f>=HYPERLINK("https://applink.feishu.cn/client/todo/detail?guid=6b93ba80-d875-4baf-a1b4-d66a416b2a85&amp;suite_entity_num=t100039", "截图 - 人物模型")</f>
        <v>截图 - 人物模型</v>
      </c>
      <c r="B15"/>
      <c r="C15" t="inlineStr">
        <is>
          <t>默认分组</t>
        </is>
      </c>
      <c r="D15" t="inlineStr">
        <is>
          <t>1</t>
        </is>
      </c>
      <c r="E15" t="inlineStr">
        <is>
          <t>或签任务</t>
        </is>
      </c>
      <c r="F15"/>
      <c r="G15" t="inlineStr">
        <is>
          <t>0</t>
        </is>
      </c>
      <c r="H15"/>
      <c r="I15" t="inlineStr">
        <is>
          <t>龚政涛</t>
        </is>
      </c>
      <c r="J15" t="inlineStr">
        <is>
          <t>龚政涛</t>
        </is>
      </c>
      <c r="K15" t="inlineStr">
        <is>
          <t>龚政涛</t>
        </is>
      </c>
      <c r="L15" s="3">
        <v>45545.629328703704</v>
      </c>
      <c r="M15" s="3"/>
      <c r="N15" s="3">
        <v>45546.49826388889</v>
      </c>
      <c r="O15" s="3">
        <v>45545.333333333336</v>
      </c>
      <c r="P15" s="3">
        <v>45548.42125</v>
      </c>
      <c r="Q15" s="2" t="str">
        <f>=HYPERLINK("https://applink.feishu.cn/client/todo/task_list?guid=4d92b9af-66d1-4cd7-95d1-4b753a64ca6b", "跃入迷城")</f>
        <v>跃入迷城</v>
      </c>
      <c r="R15" t="inlineStr">
        <is>
          <t>4d92b9af-66d1-4cd7-95d1-4b753a64ca6b</t>
        </is>
      </c>
      <c r="S15" t="inlineStr">
        <is>
          <t>6b93ba80-d875-4baf-a1b4-d66a416b2a85</t>
        </is>
      </c>
      <c r="T15">
        <v>0</v>
      </c>
      <c r="U15">
        <v>0</v>
      </c>
      <c r="V15" t="inlineStr">
        <is>
          <t>0.0.2</t>
        </is>
      </c>
      <c r="W15" t="inlineStr">
        <is>
          <t>已完成</t>
        </is>
      </c>
      <c r="X15"/>
      <c r="Y15" t="inlineStr">
        <is>
          <t>平面美术</t>
        </is>
      </c>
      <c r="Z15"/>
      <c r="AA15"/>
      <c r="AB15"/>
      <c r="AC15"/>
      <c r="AD15" t="inlineStr">
        <is>
          <t>NzUzMjAzNDQ5ODk2NDY2ODQ0NDo2YjkzYmE4MC1kODc1LTRiYWYtYTFiNC1kNjZhNDE2YjJhODU6ZTA4NTRkY2NkZTAzNmUwNzVlOTAzMjRlMzNlNTE0YWQ6MQ==</t>
        </is>
      </c>
      <c r="AE15"/>
    </row>
    <row r="16" ht="25.5" customHeight="1">
      <c r="A16" s="2" t="str">
        <f>=HYPERLINK("https://applink.feishu.cn/client/todo/detail?guid=acc7982c-0608-42d3-ad85-7cf5cf1ba175&amp;suite_entity_num=t100004", "整理UI相关会议纪要和规划")</f>
        <v>整理UI相关会议纪要和规划</v>
      </c>
      <c r="B16"/>
      <c r="C16" t="inlineStr">
        <is>
          <t>默认分组</t>
        </is>
      </c>
      <c r="D16" t="inlineStr">
        <is>
          <t>1</t>
        </is>
      </c>
      <c r="E16" t="inlineStr">
        <is>
          <t>或签任务</t>
        </is>
      </c>
      <c r="F16"/>
      <c r="G16" t="inlineStr">
        <is>
          <t>0</t>
        </is>
      </c>
      <c r="H16"/>
      <c r="I16" t="inlineStr">
        <is>
          <t>龚政涛</t>
        </is>
      </c>
      <c r="J16" t="inlineStr">
        <is>
          <t>龚政涛</t>
        </is>
      </c>
      <c r="K16" t="inlineStr">
        <is>
          <t>龚政涛</t>
        </is>
      </c>
      <c r="L16" s="3">
        <v>45536.4640162037</v>
      </c>
      <c r="M16" s="3"/>
      <c r="N16" s="3">
        <v>45536.97336805556</v>
      </c>
      <c r="O16" s="3">
        <v>45536.333333333336</v>
      </c>
      <c r="P16" s="3">
        <v>45548.42109953704</v>
      </c>
      <c r="Q16" s="2" t="str">
        <f>=HYPERLINK("https://applink.feishu.cn/client/todo/task_list?guid=4d92b9af-66d1-4cd7-95d1-4b753a64ca6b", "跃入迷城")</f>
        <v>跃入迷城</v>
      </c>
      <c r="R16" t="inlineStr">
        <is>
          <t>4d92b9af-66d1-4cd7-95d1-4b753a64ca6b</t>
        </is>
      </c>
      <c r="S16" t="inlineStr">
        <is>
          <t>acc7982c-0608-42d3-ad85-7cf5cf1ba175</t>
        </is>
      </c>
      <c r="T16">
        <v>0</v>
      </c>
      <c r="U16">
        <v>0</v>
      </c>
      <c r="V16" t="inlineStr">
        <is>
          <t>0.0.2</t>
        </is>
      </c>
      <c r="W16" t="inlineStr">
        <is>
          <t>已完成</t>
        </is>
      </c>
      <c r="X16"/>
      <c r="Y16" t="inlineStr">
        <is>
          <t>项目管理</t>
        </is>
      </c>
      <c r="Z16"/>
      <c r="AA16"/>
      <c r="AB16"/>
      <c r="AC16"/>
      <c r="AD16" t="inlineStr">
        <is>
          <t>NzUzMjAzNDQ5ODk2NDY2ODQ0NDphY2M3OTgyYy0wNjA4LTQyZDMtYWQ4NS03Y2Y1Y2YxYmExNzU6ZmE4ZGE0NDk2YmRhOTQ0MDlmYmJlMDc3NTZkYzU4MjI6MQ==</t>
        </is>
      </c>
      <c r="AE16"/>
    </row>
    <row r="17" ht="25.5" customHeight="1">
      <c r="A17" s="2" t="str">
        <f>=HYPERLINK("https://applink.feishu.cn/client/todo/detail?guid=10e1d8c3-4a3c-4b55-aa97-d2ff333ac01a&amp;suite_entity_num=t100038", "翻滚时没有和角色的碰撞体积")</f>
        <v>翻滚时没有和角色的碰撞体积</v>
      </c>
      <c r="B17"/>
      <c r="C17" t="inlineStr">
        <is>
          <t>默认分组</t>
        </is>
      </c>
      <c r="D17" t="inlineStr">
        <is>
          <t>1</t>
        </is>
      </c>
      <c r="E17" t="inlineStr">
        <is>
          <t>或签任务</t>
        </is>
      </c>
      <c r="F17"/>
      <c r="G17" t="inlineStr">
        <is>
          <t>0</t>
        </is>
      </c>
      <c r="H17"/>
      <c r="I17" t="inlineStr">
        <is>
          <t>Decay</t>
        </is>
      </c>
      <c r="J17" t="inlineStr">
        <is>
          <t>龚政涛,Decay</t>
        </is>
      </c>
      <c r="K17" t="inlineStr">
        <is>
          <t>龚政涛</t>
        </is>
      </c>
      <c r="L17" s="3">
        <v>45538.973125</v>
      </c>
      <c r="M17" s="3">
        <v>45605.333333333336</v>
      </c>
      <c r="N17" s="3">
        <v>45614.46826388889</v>
      </c>
      <c r="O17" s="3">
        <v>45605.333333333336</v>
      </c>
      <c r="P17" s="3">
        <v>45614.46826388889</v>
      </c>
      <c r="Q17" s="2" t="str">
        <f>=HYPERLINK("https://applink.feishu.cn/client/todo/task_list?guid=4d92b9af-66d1-4cd7-95d1-4b753a64ca6b", "跃入迷城")</f>
        <v>跃入迷城</v>
      </c>
      <c r="R17" t="inlineStr">
        <is>
          <t>4d92b9af-66d1-4cd7-95d1-4b753a64ca6b</t>
        </is>
      </c>
      <c r="S17" t="inlineStr">
        <is>
          <t>10e1d8c3-4a3c-4b55-aa97-d2ff333ac01a</t>
        </is>
      </c>
      <c r="T17">
        <v>0</v>
      </c>
      <c r="U17">
        <v>1</v>
      </c>
      <c r="V17" t="inlineStr">
        <is>
          <t>0.0.3</t>
        </is>
      </c>
      <c r="W17" t="inlineStr">
        <is>
          <t>已废弃</t>
        </is>
      </c>
      <c r="X17"/>
      <c r="Y17" t="inlineStr">
        <is>
          <t>操作</t>
        </is>
      </c>
      <c r="Z17" t="inlineStr">
        <is>
          <t>P0 - Must (not) Have</t>
        </is>
      </c>
      <c r="AA17"/>
      <c r="AB17" t="inlineStr">
        <is>
          <t>37031620-b9d9-4e61-bfac-a2529d86d8de</t>
        </is>
      </c>
      <c r="AC17"/>
      <c r="AD17" t="inlineStr">
        <is>
          <t>NzUzMjAzNDQ5ODk2NDY2ODQ0NDoxMGUxZDhjMy00YTNjLTRiNTUtYWE5Ny1kMmZmMzMzYWMwMWE6OTY1NWIwZjFkMjg2NGIzZmMwM2FhNmRhYzA0OWZhNDY6MQ==</t>
        </is>
      </c>
      <c r="AE17"/>
    </row>
    <row r="18" ht="25.5" customHeight="1">
      <c r="A18" s="2" t="str">
        <f>=HYPERLINK("https://applink.feishu.cn/client/todo/detail?guid=be7ffd56-214a-491d-b6e3-9c326fe21ae7&amp;suite_entity_num=t100023", "撰写玩家近战攻击逻辑")</f>
        <v>撰写玩家近战攻击逻辑</v>
      </c>
      <c r="B18"/>
      <c r="C18" t="inlineStr">
        <is>
          <t>默认分组</t>
        </is>
      </c>
      <c r="D18" t="inlineStr">
        <is>
          <t>1</t>
        </is>
      </c>
      <c r="E18" t="inlineStr">
        <is>
          <t>或签任务</t>
        </is>
      </c>
      <c r="F18"/>
      <c r="G18" t="inlineStr">
        <is>
          <t>0</t>
        </is>
      </c>
      <c r="H18"/>
      <c r="I18" t="inlineStr">
        <is>
          <t>龚政涛,苏祺恒</t>
        </is>
      </c>
      <c r="J18" t="inlineStr">
        <is>
          <t>龚政涛,苏祺恒</t>
        </is>
      </c>
      <c r="K18" t="inlineStr">
        <is>
          <t>龚政涛</t>
        </is>
      </c>
      <c r="L18" s="3">
        <v>45536.985972222225</v>
      </c>
      <c r="M18" s="3"/>
      <c r="N18" s="3">
        <v>45541.62086805556</v>
      </c>
      <c r="O18" s="3">
        <v>45538.333333333336</v>
      </c>
      <c r="P18" s="3">
        <v>45552.1352662037</v>
      </c>
      <c r="Q18" s="2" t="str">
        <f>=HYPERLINK("https://applink.feishu.cn/client/todo/task_list?guid=4d92b9af-66d1-4cd7-95d1-4b753a64ca6b", "跃入迷城")</f>
        <v>跃入迷城</v>
      </c>
      <c r="R18" t="inlineStr">
        <is>
          <t>4d92b9af-66d1-4cd7-95d1-4b753a64ca6b</t>
        </is>
      </c>
      <c r="S18" t="inlineStr">
        <is>
          <t>be7ffd56-214a-491d-b6e3-9c326fe21ae7</t>
        </is>
      </c>
      <c r="T18">
        <v>0</v>
      </c>
      <c r="U18">
        <v>0</v>
      </c>
      <c r="V18" t="inlineStr">
        <is>
          <t>0.0.2</t>
        </is>
      </c>
      <c r="W18" t="inlineStr">
        <is>
          <t>已完成</t>
        </is>
      </c>
      <c r="X18"/>
      <c r="Y18" t="inlineStr">
        <is>
          <t>操作</t>
        </is>
      </c>
      <c r="Z18"/>
      <c r="AA18"/>
      <c r="AB18"/>
      <c r="AC18"/>
      <c r="AD18" t="inlineStr">
        <is>
          <t>NzUzMjAzNDQ5ODk2NDY2ODQ0NDpiZTdmZmQ1Ni0yMTRhLTQ5MWQtYjZlMy05YzMyNmZlMjFhZTc6YzhkZTg2YmIxODFjNDhhYzA4MTMxN2M3NjI3ODFhYmI6MQ==</t>
        </is>
      </c>
      <c r="AE18"/>
    </row>
    <row r="19" ht="25.5" customHeight="1">
      <c r="A19" s="2" t="str">
        <f>=HYPERLINK("https://applink.feishu.cn/client/todo/detail?guid=026e5dd4-6639-4eef-9f84-0802135b772b&amp;suite_entity_num=t100017", "测试meta scane素材应用到场景")</f>
        <v>测试meta scane素材应用到场景</v>
      </c>
      <c r="B19"/>
      <c r="C19" t="inlineStr">
        <is>
          <t>默认分组</t>
        </is>
      </c>
      <c r="D19" t="inlineStr">
        <is>
          <t>1</t>
        </is>
      </c>
      <c r="E19" t="inlineStr">
        <is>
          <t>或签任务</t>
        </is>
      </c>
      <c r="F19"/>
      <c r="G19" t="inlineStr">
        <is>
          <t>0</t>
        </is>
      </c>
      <c r="H19"/>
      <c r="I19" t="inlineStr">
        <is>
          <t>龚政涛</t>
        </is>
      </c>
      <c r="J19" t="inlineStr">
        <is>
          <t>龚政涛</t>
        </is>
      </c>
      <c r="K19" t="inlineStr">
        <is>
          <t>龚政涛</t>
        </is>
      </c>
      <c r="L19" s="3">
        <v>45536.97971064815</v>
      </c>
      <c r="M19" s="3"/>
      <c r="N19" s="3">
        <v>45583.48550925926</v>
      </c>
      <c r="O19" s="3">
        <v>45551.333333333336</v>
      </c>
      <c r="P19" s="3">
        <v>45727.476493055554</v>
      </c>
      <c r="Q19" s="2" t="str">
        <f>=HYPERLINK("https://applink.feishu.cn/client/todo/task_list?guid=4d92b9af-66d1-4cd7-95d1-4b753a64ca6b", "跃入迷城")</f>
        <v>跃入迷城</v>
      </c>
      <c r="R19" t="inlineStr">
        <is>
          <t>4d92b9af-66d1-4cd7-95d1-4b753a64ca6b</t>
        </is>
      </c>
      <c r="S19" t="inlineStr">
        <is>
          <t>026e5dd4-6639-4eef-9f84-0802135b772b</t>
        </is>
      </c>
      <c r="T19">
        <v>0</v>
      </c>
      <c r="U19">
        <v>1</v>
      </c>
      <c r="V19" t="inlineStr">
        <is>
          <t>0.0.2</t>
        </is>
      </c>
      <c r="W19" t="inlineStr">
        <is>
          <t>已废弃</t>
        </is>
      </c>
      <c r="X19"/>
      <c r="Y19" t="inlineStr">
        <is>
          <t>平面美术</t>
        </is>
      </c>
      <c r="Z19" t="inlineStr">
        <is>
          <t>P2 - Nice to Have</t>
        </is>
      </c>
      <c r="AA19"/>
      <c r="AB19"/>
      <c r="AC19"/>
      <c r="AD19" t="inlineStr">
        <is>
          <t>NzUzMjAzNDQ5ODk2NDY2ODQ0NDowMjZlNWRkNC02NjM5LTRlZWYtOWY4NC0wODAyMTM1Yjc3MmI6ZDc4MDE0YzBmMWFjZTNiMzA0MjUyNjMyM2FkYmIzNjc6MQ==</t>
        </is>
      </c>
      <c r="AE19"/>
    </row>
    <row r="20" ht="25.5" customHeight="1">
      <c r="A20" s="2" t="str">
        <f>=HYPERLINK("https://applink.feishu.cn/client/todo/detail?guid=388490d4-c2a7-494e-aadc-18b522fe5e7b&amp;suite_entity_num=t100011", "白模关卡测试")</f>
        <v>白模关卡测试</v>
      </c>
      <c r="B20"/>
      <c r="C20" t="inlineStr">
        <is>
          <t>默认分组</t>
        </is>
      </c>
      <c r="D20" t="inlineStr">
        <is>
          <t>1</t>
        </is>
      </c>
      <c r="E20" t="inlineStr">
        <is>
          <t>或签任务</t>
        </is>
      </c>
      <c r="F20"/>
      <c r="G20" t="inlineStr">
        <is>
          <t>0</t>
        </is>
      </c>
      <c r="H20"/>
      <c r="I20" t="inlineStr">
        <is>
          <t>苏祺恒,龚政涛</t>
        </is>
      </c>
      <c r="J20" t="inlineStr">
        <is>
          <t>龚政涛,苏祺恒</t>
        </is>
      </c>
      <c r="K20" t="inlineStr">
        <is>
          <t>龚政涛</t>
        </is>
      </c>
      <c r="L20" s="3">
        <v>45536.974594907406</v>
      </c>
      <c r="M20" s="3"/>
      <c r="N20" s="3">
        <v>45572.02275462963</v>
      </c>
      <c r="O20" s="3">
        <v>45548.333333333336</v>
      </c>
      <c r="P20" s="3">
        <v>45727.47613425926</v>
      </c>
      <c r="Q20" s="2" t="str">
        <f>=HYPERLINK("https://applink.feishu.cn/client/todo/task_list?guid=4d92b9af-66d1-4cd7-95d1-4b753a64ca6b", "跃入迷城")</f>
        <v>跃入迷城</v>
      </c>
      <c r="R20" t="inlineStr">
        <is>
          <t>4d92b9af-66d1-4cd7-95d1-4b753a64ca6b</t>
        </is>
      </c>
      <c r="S20" t="inlineStr">
        <is>
          <t>388490d4-c2a7-494e-aadc-18b522fe5e7b</t>
        </is>
      </c>
      <c r="T20">
        <v>0</v>
      </c>
      <c r="U20">
        <v>2</v>
      </c>
      <c r="V20" t="inlineStr">
        <is>
          <t>0.0.2</t>
        </is>
      </c>
      <c r="W20" t="inlineStr">
        <is>
          <t>已废弃</t>
        </is>
      </c>
      <c r="X20"/>
      <c r="Y20" t="inlineStr">
        <is>
          <t>操作</t>
        </is>
      </c>
      <c r="Z20" t="inlineStr">
        <is>
          <t>P0 - Must (not) Have</t>
        </is>
      </c>
      <c r="AA20"/>
      <c r="AB20"/>
      <c r="AC20"/>
      <c r="AD20" t="inlineStr">
        <is>
          <t>NzUzMjAzNDQ5ODk2NDY2ODQ0NDozODg0OTBkNC1jMmE3LTQ5NGUtYWFkYy0xOGI1MjJmZTVlN2I6ZTEzNjZmNzE0N2RiMDA5MTY2MjVhODBlZTMxODFhNDE6MQ==</t>
        </is>
      </c>
      <c r="AE20"/>
    </row>
    <row r="21" ht="25.5" customHeight="1">
      <c r="A21" s="2" t="str">
        <f>=HYPERLINK("https://applink.feishu.cn/client/todo/detail?guid=961c3c99-40b1-4822-a130-e6488fb42db3&amp;suite_entity_num=t100003", "v0.0.2规划")</f>
        <v>v0.0.2规划</v>
      </c>
      <c r="B21"/>
      <c r="C21" t="inlineStr">
        <is>
          <t>默认分组</t>
        </is>
      </c>
      <c r="D21" t="inlineStr">
        <is>
          <t>1</t>
        </is>
      </c>
      <c r="E21" t="inlineStr">
        <is>
          <t>或签任务</t>
        </is>
      </c>
      <c r="F21"/>
      <c r="G21" t="inlineStr">
        <is>
          <t>0</t>
        </is>
      </c>
      <c r="H21"/>
      <c r="I21" t="inlineStr">
        <is>
          <t>龚政涛</t>
        </is>
      </c>
      <c r="J21" t="inlineStr">
        <is>
          <t>龚政涛</t>
        </is>
      </c>
      <c r="K21" t="inlineStr">
        <is>
          <t>龚政涛</t>
        </is>
      </c>
      <c r="L21" s="3">
        <v>45536.46333333333</v>
      </c>
      <c r="M21" s="3">
        <v>45528.333333333336</v>
      </c>
      <c r="N21" s="3">
        <v>45537.00063657408</v>
      </c>
      <c r="O21" s="3">
        <v>45537.333333333336</v>
      </c>
      <c r="P21" s="3">
        <v>45548.421122685184</v>
      </c>
      <c r="Q21" s="2" t="str">
        <f>=HYPERLINK("https://applink.feishu.cn/client/todo/task_list?guid=4d92b9af-66d1-4cd7-95d1-4b753a64ca6b", "跃入迷城")</f>
        <v>跃入迷城</v>
      </c>
      <c r="R21" t="inlineStr">
        <is>
          <t>4d92b9af-66d1-4cd7-95d1-4b753a64ca6b</t>
        </is>
      </c>
      <c r="S21" t="inlineStr">
        <is>
          <t>961c3c99-40b1-4822-a130-e6488fb42db3</t>
        </is>
      </c>
      <c r="T21">
        <v>0</v>
      </c>
      <c r="U21">
        <v>0</v>
      </c>
      <c r="V21" t="inlineStr">
        <is>
          <t>0.0.2</t>
        </is>
      </c>
      <c r="W21" t="inlineStr">
        <is>
          <t>已完成</t>
        </is>
      </c>
      <c r="X21"/>
      <c r="Y21" t="inlineStr">
        <is>
          <t>项目管理</t>
        </is>
      </c>
      <c r="Z21"/>
      <c r="AA21"/>
      <c r="AB21"/>
      <c r="AC21"/>
      <c r="AD21" t="inlineStr">
        <is>
          <t>NzUzMjAzNDQ5ODk2NDY2ODQ0NDo5NjFjM2M5OS00MGIxLTQ4MjItYTEzMC1lNjQ4OGZiNDJkYjM6ZTE1Zjg1M2FiMDZkMjkzYjY5Y2U5MWE2OTc0ZTFiNjk6MQ==</t>
        </is>
      </c>
      <c r="AE21"/>
    </row>
    <row r="22" ht="25.5" customHeight="1">
      <c r="A22" s="2" t="str">
        <f>=HYPERLINK("https://applink.feishu.cn/client/todo/detail?guid=e437dc2e-928c-481f-96d8-37f8c8390b28&amp;suite_entity_num=t100024", "需要一个打印机，可以让玩家购买义体")</f>
        <v>需要一个打印机，可以让玩家购买义体</v>
      </c>
      <c r="B22"/>
      <c r="C22" t="inlineStr">
        <is>
          <t>默认分组</t>
        </is>
      </c>
      <c r="D22" t="inlineStr">
        <is>
          <t>1</t>
        </is>
      </c>
      <c r="E22" t="inlineStr">
        <is>
          <t>或签任务</t>
        </is>
      </c>
      <c r="F22"/>
      <c r="G22" t="inlineStr">
        <is>
          <t>0</t>
        </is>
      </c>
      <c r="H22"/>
      <c r="I22" t="inlineStr">
        <is>
          <t>Decay</t>
        </is>
      </c>
      <c r="J22" t="inlineStr">
        <is>
          <t>龚政涛,Decay</t>
        </is>
      </c>
      <c r="K22" t="inlineStr">
        <is>
          <t>龚政涛</t>
        </is>
      </c>
      <c r="L22" s="3">
        <v>45536.98761574074</v>
      </c>
      <c r="M22" s="3">
        <v>45552.333333333336</v>
      </c>
      <c r="N22" s="3">
        <v>45571.975127314814</v>
      </c>
      <c r="O22" s="3">
        <v>45552.333333333336</v>
      </c>
      <c r="P22" s="3">
        <v>45571.975127314814</v>
      </c>
      <c r="Q22" s="2" t="str">
        <f>=HYPERLINK("https://applink.feishu.cn/client/todo/task_list?guid=4d92b9af-66d1-4cd7-95d1-4b753a64ca6b", "跃入迷城")</f>
        <v>跃入迷城</v>
      </c>
      <c r="R22" t="inlineStr">
        <is>
          <t>4d92b9af-66d1-4cd7-95d1-4b753a64ca6b</t>
        </is>
      </c>
      <c r="S22" t="inlineStr">
        <is>
          <t>e437dc2e-928c-481f-96d8-37f8c8390b28</t>
        </is>
      </c>
      <c r="T22">
        <v>0</v>
      </c>
      <c r="U22">
        <v>1</v>
      </c>
      <c r="V22" t="inlineStr">
        <is>
          <t>0.0.2</t>
        </is>
      </c>
      <c r="W22" t="inlineStr">
        <is>
          <t>已完成</t>
        </is>
      </c>
      <c r="X22"/>
      <c r="Y22" t="inlineStr">
        <is>
          <t>操作</t>
        </is>
      </c>
      <c r="Z22"/>
      <c r="AA22"/>
      <c r="AB22" t="inlineStr">
        <is>
          <t>f1466670-d386-4f8d-ab1b-0c6fccd50f22</t>
        </is>
      </c>
      <c r="AC22"/>
      <c r="AD22" t="inlineStr">
        <is>
          <t>NzUzMjAzNDQ5ODk2NDY2ODQ0NDplNDM3ZGMyZS05MjhjLTQ4MWYtOTZkOC0zN2Y4YzgzOTBiMjg6NmNlNjA5OGEwMTA4OGZlZmZjOWZhZDQ0YzhlODUzZTQ6MQ==</t>
        </is>
      </c>
      <c r="AE22"/>
    </row>
    <row r="23" ht="25.5" customHeight="1">
      <c r="A23" s="2" t="str">
        <f>=HYPERLINK("https://applink.feishu.cn/client/todo/detail?guid=12761e91-c66d-4ef1-8647-4e9d5b4ca936&amp;suite_entity_num=t100050", "v0.0.2 - 开发结束")</f>
        <v>v0.0.2 - 开发结束</v>
      </c>
      <c r="B23"/>
      <c r="C23" t="inlineStr">
        <is>
          <t>默认分组</t>
        </is>
      </c>
      <c r="D23" t="inlineStr">
        <is>
          <t>1</t>
        </is>
      </c>
      <c r="E23" t="inlineStr">
        <is>
          <t>或签任务</t>
        </is>
      </c>
      <c r="F23"/>
      <c r="G23" t="inlineStr">
        <is>
          <t>1</t>
        </is>
      </c>
      <c r="H23"/>
      <c r="I23"/>
      <c r="J23" t="inlineStr">
        <is>
          <t>龚政涛</t>
        </is>
      </c>
      <c r="K23" t="inlineStr">
        <is>
          <t>龚政涛</t>
        </is>
      </c>
      <c r="L23" s="3">
        <v>45547.75991898148</v>
      </c>
      <c r="M23" s="3">
        <v>45577.333333333336</v>
      </c>
      <c r="N23" s="3">
        <v>45595.623877314814</v>
      </c>
      <c r="O23" s="3">
        <v>45577.333333333336</v>
      </c>
      <c r="P23" s="3">
        <v>45727.47657407408</v>
      </c>
      <c r="Q23" s="2" t="str">
        <f>=HYPERLINK("https://applink.feishu.cn/client/todo/task_list?guid=4d92b9af-66d1-4cd7-95d1-4b753a64ca6b", "跃入迷城")</f>
        <v>跃入迷城</v>
      </c>
      <c r="R23" t="inlineStr">
        <is>
          <t>4d92b9af-66d1-4cd7-95d1-4b753a64ca6b</t>
        </is>
      </c>
      <c r="S23" t="inlineStr">
        <is>
          <t>12761e91-c66d-4ef1-8647-4e9d5b4ca936</t>
        </is>
      </c>
      <c r="T23">
        <v>0</v>
      </c>
      <c r="U23">
        <v>0</v>
      </c>
      <c r="V23" t="inlineStr">
        <is>
          <t>0.0.2</t>
        </is>
      </c>
      <c r="W23" t="inlineStr">
        <is>
          <t>已完成</t>
        </is>
      </c>
      <c r="X23"/>
      <c r="Y23" t="inlineStr">
        <is>
          <t>项目管理</t>
        </is>
      </c>
      <c r="Z23" t="inlineStr">
        <is>
          <t>P0 - Must (not) Have</t>
        </is>
      </c>
      <c r="AA23"/>
      <c r="AB23"/>
      <c r="AC23"/>
      <c r="AD23" t="inlineStr">
        <is>
          <t>NzUzMjAzNDQ5ODk2NDY2ODQ0NDoxMjc2MWU5MS1jNjZkLTRlZjEtODY0Ny00ZTlkNWI0Y2E5MzY6NDJlMTk0OGVhYjMxMDgxNWZjM2NhM2ZhYjQ1MGI2ZmE6MQ==</t>
        </is>
      </c>
      <c r="AE23"/>
    </row>
    <row r="24" ht="25.5" customHeight="1">
      <c r="A24" s="2" t="str">
        <f>=HYPERLINK("https://applink.feishu.cn/client/todo/detail?guid=52018d71-6c14-4de3-b35b-5858eb8556b4&amp;suite_entity_num=t100049", "v0.0.2 - 开发开始")</f>
        <v>v0.0.2 - 开发开始</v>
      </c>
      <c r="B24"/>
      <c r="C24" t="inlineStr">
        <is>
          <t>默认分组</t>
        </is>
      </c>
      <c r="D24" t="inlineStr">
        <is>
          <t>1</t>
        </is>
      </c>
      <c r="E24" t="inlineStr">
        <is>
          <t>或签任务</t>
        </is>
      </c>
      <c r="F24"/>
      <c r="G24" t="inlineStr">
        <is>
          <t>1</t>
        </is>
      </c>
      <c r="H24"/>
      <c r="I24"/>
      <c r="J24" t="inlineStr">
        <is>
          <t>龚政涛</t>
        </is>
      </c>
      <c r="K24" t="inlineStr">
        <is>
          <t>龚政涛</t>
        </is>
      </c>
      <c r="L24" s="3">
        <v>45547.75986111111</v>
      </c>
      <c r="M24" s="3">
        <v>45535.333333333336</v>
      </c>
      <c r="N24" s="3">
        <v>45547.76153935185</v>
      </c>
      <c r="O24" s="3">
        <v>45535.333333333336</v>
      </c>
      <c r="P24" s="3">
        <v>45548.501875</v>
      </c>
      <c r="Q24" s="2" t="str">
        <f>=HYPERLINK("https://applink.feishu.cn/client/todo/task_list?guid=4d92b9af-66d1-4cd7-95d1-4b753a64ca6b", "跃入迷城")</f>
        <v>跃入迷城</v>
      </c>
      <c r="R24" t="inlineStr">
        <is>
          <t>4d92b9af-66d1-4cd7-95d1-4b753a64ca6b</t>
        </is>
      </c>
      <c r="S24" t="inlineStr">
        <is>
          <t>52018d71-6c14-4de3-b35b-5858eb8556b4</t>
        </is>
      </c>
      <c r="T24">
        <v>0</v>
      </c>
      <c r="U24">
        <v>0</v>
      </c>
      <c r="V24" t="inlineStr">
        <is>
          <t>0.0.2</t>
        </is>
      </c>
      <c r="W24" t="inlineStr">
        <is>
          <t>已完成</t>
        </is>
      </c>
      <c r="X24"/>
      <c r="Y24" t="inlineStr">
        <is>
          <t>项目管理</t>
        </is>
      </c>
      <c r="Z24"/>
      <c r="AA24"/>
      <c r="AB24"/>
      <c r="AC24"/>
      <c r="AD24" t="inlineStr">
        <is>
          <t>NzUzMjAzNDQ5ODk2NDY2ODQ0NDo1MjAxOGQ3MS02YzE0LTRkZTMtYjM1Yi01ODU4ZWI4NTU2YjQ6YTIwMzI5ZmIyYjcyNTM2ZjQzMGEyMTIzNmU1ODI1M2U6MQ==</t>
        </is>
      </c>
      <c r="AE24"/>
    </row>
    <row r="25" ht="25.5" customHeight="1">
      <c r="A25" s="2" t="str">
        <f>=HYPERLINK("https://applink.feishu.cn/client/todo/detail?guid=54bf9377-2530-4c03-a955-f1022cf74cf5&amp;suite_entity_num=t100044", "立体菜单UI方案")</f>
        <v>立体菜单UI方案</v>
      </c>
      <c r="B25"/>
      <c r="C25" t="inlineStr">
        <is>
          <t>默认分组</t>
        </is>
      </c>
      <c r="D25" t="inlineStr">
        <is>
          <t>1</t>
        </is>
      </c>
      <c r="E25" t="inlineStr">
        <is>
          <t>或签任务</t>
        </is>
      </c>
      <c r="F25"/>
      <c r="G25" t="inlineStr">
        <is>
          <t>0</t>
        </is>
      </c>
      <c r="H25"/>
      <c r="I25" t="inlineStr">
        <is>
          <t>Zoey,龚政涛</t>
        </is>
      </c>
      <c r="J25" t="inlineStr">
        <is>
          <t>Decay,Zoey,龚政涛</t>
        </is>
      </c>
      <c r="K25" t="inlineStr">
        <is>
          <t>龚政涛</t>
        </is>
      </c>
      <c r="L25" s="3">
        <v>45547.725324074076</v>
      </c>
      <c r="M25" s="3"/>
      <c r="N25" s="3">
        <v>45865.93648148148</v>
      </c>
      <c r="O25" s="3"/>
      <c r="P25" s="3">
        <v>45866.68959490741</v>
      </c>
      <c r="Q25" s="2" t="str">
        <f>=HYPERLINK("https://applink.feishu.cn/client/todo/task_list?guid=4d92b9af-66d1-4cd7-95d1-4b753a64ca6b", "跃入迷城")</f>
        <v>跃入迷城</v>
      </c>
      <c r="R25" t="inlineStr">
        <is>
          <t>4d92b9af-66d1-4cd7-95d1-4b753a64ca6b</t>
        </is>
      </c>
      <c r="S25" t="inlineStr">
        <is>
          <t>54bf9377-2530-4c03-a955-f1022cf74cf5</t>
        </is>
      </c>
      <c r="T25">
        <v>0</v>
      </c>
      <c r="U25">
        <v>0</v>
      </c>
      <c r="V25" t="inlineStr">
        <is>
          <t>0.0.5</t>
        </is>
      </c>
      <c r="W25" t="inlineStr">
        <is>
          <t>已废弃</t>
        </is>
      </c>
      <c r="X25"/>
      <c r="Y25" t="inlineStr">
        <is>
          <t>UIUX</t>
        </is>
      </c>
      <c r="Z25" t="inlineStr">
        <is>
          <t>P1 - Bigger the Better</t>
        </is>
      </c>
      <c r="AA25"/>
      <c r="AB25"/>
      <c r="AC25"/>
      <c r="AD25" t="inlineStr">
        <is>
          <t>NzUzMjAzNDQ5ODk2NDY2ODQ0NDo1NGJmOTM3Ny0yNTMwLTRjMDMtYTk1NS1mMTAyMmNmNzRjZjU6YWQzZDI2NjY1NDgxYzBjNTExMzM3NWQ2NmFkYTU2ZTg6MQ==</t>
        </is>
      </c>
      <c r="AE25"/>
    </row>
    <row r="26" ht="25.5" customHeight="1">
      <c r="A26" s="2" t="str">
        <f>=HYPERLINK("https://applink.feishu.cn/client/todo/detail?guid=4911fb26-2321-4bd0-b0a3-38397db07ae4&amp;suite_entity_num=t100047", "武器只有主动，义体只有被动")</f>
        <v>武器只有主动，义体只有被动</v>
      </c>
      <c r="B26"/>
      <c r="C26" t="inlineStr">
        <is>
          <t>默认分组</t>
        </is>
      </c>
      <c r="D26" t="inlineStr">
        <is>
          <t>1</t>
        </is>
      </c>
      <c r="E26" t="inlineStr">
        <is>
          <t>或签任务</t>
        </is>
      </c>
      <c r="F26"/>
      <c r="G26" t="inlineStr">
        <is>
          <t>0</t>
        </is>
      </c>
      <c r="H26"/>
      <c r="I26" t="inlineStr">
        <is>
          <t>Decay</t>
        </is>
      </c>
      <c r="J26" t="inlineStr">
        <is>
          <t>龚政涛,Decay</t>
        </is>
      </c>
      <c r="K26" t="inlineStr">
        <is>
          <t>龚政涛</t>
        </is>
      </c>
      <c r="L26" s="3">
        <v>45547.73820601852</v>
      </c>
      <c r="M26" s="3">
        <v>45557.333333333336</v>
      </c>
      <c r="N26" s="3">
        <v>45549.01201388889</v>
      </c>
      <c r="O26" s="3">
        <v>45557.333333333336</v>
      </c>
      <c r="P26" s="3">
        <v>45571.990439814814</v>
      </c>
      <c r="Q26" s="2" t="str">
        <f>=HYPERLINK("https://applink.feishu.cn/client/todo/task_list?guid=4d92b9af-66d1-4cd7-95d1-4b753a64ca6b", "跃入迷城")</f>
        <v>跃入迷城</v>
      </c>
      <c r="R26" t="inlineStr">
        <is>
          <t>4d92b9af-66d1-4cd7-95d1-4b753a64ca6b</t>
        </is>
      </c>
      <c r="S26" t="inlineStr">
        <is>
          <t>4911fb26-2321-4bd0-b0a3-38397db07ae4</t>
        </is>
      </c>
      <c r="T26">
        <v>0</v>
      </c>
      <c r="U26">
        <v>4</v>
      </c>
      <c r="V26" t="inlineStr">
        <is>
          <t>0.0.2</t>
        </is>
      </c>
      <c r="W26" t="inlineStr">
        <is>
          <t>已废弃</t>
        </is>
      </c>
      <c r="X26"/>
      <c r="Y26" t="inlineStr">
        <is>
          <t>操作</t>
        </is>
      </c>
      <c r="Z26"/>
      <c r="AA26"/>
      <c r="AB26"/>
      <c r="AC26"/>
      <c r="AD26" t="inlineStr">
        <is>
          <t>NzUzMjAzNDQ5ODk2NDY2ODQ0NDo0OTExZmIyNi0yMzIxLTRiZDAtYjBhMy0zODM5N2RiMDdhZTQ6NDkyNWFhMWJkZDhkZjU2ODhjZTcyYzQ0ZjAyOWVmMjU6MQ==</t>
        </is>
      </c>
      <c r="AE26"/>
    </row>
    <row r="27" ht="25.5" customHeight="1">
      <c r="A27" s="2" t="str">
        <f>=HYPERLINK("https://applink.feishu.cn/client/todo/detail?guid=65c52b9d-8289-4aff-a882-007f44253d5b&amp;suite_entity_num=t100046", "字体：需要统一明确")</f>
        <v>字体：需要统一明确</v>
      </c>
      <c r="B27"/>
      <c r="C27" t="inlineStr">
        <is>
          <t>默认分组</t>
        </is>
      </c>
      <c r="D27" t="inlineStr">
        <is>
          <t>1</t>
        </is>
      </c>
      <c r="E27" t="inlineStr">
        <is>
          <t>或签任务</t>
        </is>
      </c>
      <c r="F27"/>
      <c r="G27" t="inlineStr">
        <is>
          <t>0</t>
        </is>
      </c>
      <c r="H27"/>
      <c r="I27" t="inlineStr">
        <is>
          <t>Zoey,龚政涛</t>
        </is>
      </c>
      <c r="J27" t="inlineStr">
        <is>
          <t>龚政涛,Zoey</t>
        </is>
      </c>
      <c r="K27" t="inlineStr">
        <is>
          <t>龚政涛</t>
        </is>
      </c>
      <c r="L27" s="3">
        <v>45547.72591435185</v>
      </c>
      <c r="M27" s="3"/>
      <c r="N27" s="3">
        <v>45719.58064814815</v>
      </c>
      <c r="O27" s="3"/>
      <c r="P27" s="3">
        <v>45719.58064814815</v>
      </c>
      <c r="Q27" s="2" t="str">
        <f>=HYPERLINK("https://applink.feishu.cn/client/todo/task_list?guid=4d92b9af-66d1-4cd7-95d1-4b753a64ca6b", "跃入迷城")</f>
        <v>跃入迷城</v>
      </c>
      <c r="R27" t="inlineStr">
        <is>
          <t>4d92b9af-66d1-4cd7-95d1-4b753a64ca6b</t>
        </is>
      </c>
      <c r="S27" t="inlineStr">
        <is>
          <t>65c52b9d-8289-4aff-a882-007f44253d5b</t>
        </is>
      </c>
      <c r="T27">
        <v>0</v>
      </c>
      <c r="U27">
        <v>0</v>
      </c>
      <c r="V27" t="inlineStr">
        <is>
          <t>0.1.0</t>
        </is>
      </c>
      <c r="W27" t="inlineStr">
        <is>
          <t>已废弃</t>
        </is>
      </c>
      <c r="X27"/>
      <c r="Y27" t="inlineStr">
        <is>
          <t>UIUX</t>
        </is>
      </c>
      <c r="Z27"/>
      <c r="AA27"/>
      <c r="AB27"/>
      <c r="AC27"/>
      <c r="AD27" t="inlineStr">
        <is>
          <t>NzUzMjAzNDQ5ODk2NDY2ODQ0NDo2NWM1MmI5ZC04Mjg5LTRhZmYtYTg4Mi0wMDdmNDQyNTNkNWI6NmIyYjJjMGExOWYyZWU0YzA2NmExM2MzMzA1ODhjNzY6MQ==</t>
        </is>
      </c>
      <c r="AE27"/>
    </row>
    <row r="28" ht="25.5" customHeight="1">
      <c r="A28" s="2" t="str">
        <f>=HYPERLINK("https://applink.feishu.cn/client/todo/detail?guid=27142034-3781-4725-865b-1c4a41789f9f&amp;suite_entity_num=t100005", "大部份材质会共用一个master材质")</f>
        <v>大部份材质会共用一个master材质</v>
      </c>
      <c r="B28"/>
      <c r="C28" t="inlineStr">
        <is>
          <t>默认分组</t>
        </is>
      </c>
      <c r="D28" t="inlineStr">
        <is>
          <t>1</t>
        </is>
      </c>
      <c r="E28" t="inlineStr">
        <is>
          <t>或签任务</t>
        </is>
      </c>
      <c r="F28"/>
      <c r="G28" t="inlineStr">
        <is>
          <t>0</t>
        </is>
      </c>
      <c r="H28"/>
      <c r="I28" t="inlineStr">
        <is>
          <t>Decay</t>
        </is>
      </c>
      <c r="J28" t="inlineStr">
        <is>
          <t>Decay,龚政涛</t>
        </is>
      </c>
      <c r="K28" t="inlineStr">
        <is>
          <t>龚政涛</t>
        </is>
      </c>
      <c r="L28" s="3">
        <v>45536.492476851854</v>
      </c>
      <c r="M28" s="3"/>
      <c r="N28" s="3">
        <v>45547.75636574074</v>
      </c>
      <c r="O28" s="3">
        <v>45545.333333333336</v>
      </c>
      <c r="P28" s="3">
        <v>45548.41856481481</v>
      </c>
      <c r="Q28" s="2" t="str">
        <f>=HYPERLINK("https://applink.feishu.cn/client/todo/task_list?guid=4d92b9af-66d1-4cd7-95d1-4b753a64ca6b", "跃入迷城")</f>
        <v>跃入迷城</v>
      </c>
      <c r="R28" t="inlineStr">
        <is>
          <t>4d92b9af-66d1-4cd7-95d1-4b753a64ca6b</t>
        </is>
      </c>
      <c r="S28" t="inlineStr">
        <is>
          <t>27142034-3781-4725-865b-1c4a41789f9f</t>
        </is>
      </c>
      <c r="T28">
        <v>0</v>
      </c>
      <c r="U28">
        <v>0</v>
      </c>
      <c r="V28" t="inlineStr">
        <is>
          <t>0.0.2</t>
        </is>
      </c>
      <c r="W28" t="inlineStr">
        <is>
          <t>已完成</t>
        </is>
      </c>
      <c r="X28"/>
      <c r="Y28" t="inlineStr">
        <is>
          <t>平面美术</t>
        </is>
      </c>
      <c r="Z28"/>
      <c r="AA28"/>
      <c r="AB28" t="inlineStr">
        <is>
          <t>bd74f899-e0ad-4862-b16d-51a00353a186</t>
        </is>
      </c>
      <c r="AC28"/>
      <c r="AD28" t="inlineStr">
        <is>
          <t>NzUzMjAzNDQ5ODk2NDY2ODQ0NDoyNzE0MjAzNC0zNzgxLTQ3MjUtODY1Yi0xYzRhNDE3ODlmOWY6YTFiYTBlYThjZmI2NmEzNTYwMzNmZTRmZmMzZmM3YjQ6MQ==</t>
        </is>
      </c>
      <c r="AE28"/>
    </row>
    <row r="29" ht="25.5" customHeight="1">
      <c r="A29" s="2" t="str">
        <f>=HYPERLINK("https://applink.feishu.cn/client/todo/detail?guid=3fef2fb9-077e-4bfd-b143-9050cc53a1cd&amp;suite_entity_num=t100048", "v0.0.2 - 启动规划")</f>
        <v>v0.0.2 - 启动规划</v>
      </c>
      <c r="B29"/>
      <c r="C29" t="inlineStr">
        <is>
          <t>默认分组</t>
        </is>
      </c>
      <c r="D29" t="inlineStr">
        <is>
          <t>1</t>
        </is>
      </c>
      <c r="E29" t="inlineStr">
        <is>
          <t>或签任务</t>
        </is>
      </c>
      <c r="F29"/>
      <c r="G29" t="inlineStr">
        <is>
          <t>1</t>
        </is>
      </c>
      <c r="H29"/>
      <c r="I29"/>
      <c r="J29" t="inlineStr">
        <is>
          <t>龚政涛</t>
        </is>
      </c>
      <c r="K29" t="inlineStr">
        <is>
          <t>龚政涛</t>
        </is>
      </c>
      <c r="L29" s="3">
        <v>45547.75944444445</v>
      </c>
      <c r="M29" s="3">
        <v>45528.333333333336</v>
      </c>
      <c r="N29" s="3">
        <v>45547.759722222225</v>
      </c>
      <c r="O29" s="3">
        <v>45528.333333333336</v>
      </c>
      <c r="P29" s="3">
        <v>45548.501851851855</v>
      </c>
      <c r="Q29" s="2" t="str">
        <f>=HYPERLINK("https://applink.feishu.cn/client/todo/task_list?guid=4d92b9af-66d1-4cd7-95d1-4b753a64ca6b", "跃入迷城")</f>
        <v>跃入迷城</v>
      </c>
      <c r="R29" t="inlineStr">
        <is>
          <t>4d92b9af-66d1-4cd7-95d1-4b753a64ca6b</t>
        </is>
      </c>
      <c r="S29" t="inlineStr">
        <is>
          <t>3fef2fb9-077e-4bfd-b143-9050cc53a1cd</t>
        </is>
      </c>
      <c r="T29">
        <v>0</v>
      </c>
      <c r="U29">
        <v>0</v>
      </c>
      <c r="V29" t="inlineStr">
        <is>
          <t>0.0.2</t>
        </is>
      </c>
      <c r="W29" t="inlineStr">
        <is>
          <t>已完成</t>
        </is>
      </c>
      <c r="X29"/>
      <c r="Y29" t="inlineStr">
        <is>
          <t>项目管理</t>
        </is>
      </c>
      <c r="Z29"/>
      <c r="AA29"/>
      <c r="AB29"/>
      <c r="AC29"/>
      <c r="AD29" t="inlineStr">
        <is>
          <t>NzUzMjAzNDQ5ODk2NDY2ODQ0NDozZmVmMmZiOS0wNzdlLTRiZmQtYjE0My05MDUwY2M1M2ExY2Q6OTQxMGRlYTQzZjZlYWI3MDE4ZDlkNmFjODkzMmRjYjI6MQ==</t>
        </is>
      </c>
      <c r="AE29"/>
    </row>
    <row r="30" ht="25.5" customHeight="1">
      <c r="A30" s="2" t="str">
        <f>=HYPERLINK("https://applink.feishu.cn/client/todo/detail?guid=bd74f899-e0ad-4862-b16d-51a00353a186&amp;suite_entity_num=t100013", "出一个程序员审美版本的shader功能")</f>
        <v>出一个程序员审美版本的shader功能</v>
      </c>
      <c r="B30"/>
      <c r="C30" t="inlineStr">
        <is>
          <t>默认分组</t>
        </is>
      </c>
      <c r="D30" t="inlineStr">
        <is>
          <t>1</t>
        </is>
      </c>
      <c r="E30" t="inlineStr">
        <is>
          <t>或签任务</t>
        </is>
      </c>
      <c r="F30"/>
      <c r="G30" t="inlineStr">
        <is>
          <t>0</t>
        </is>
      </c>
      <c r="H30"/>
      <c r="I30" t="inlineStr">
        <is>
          <t>Decay</t>
        </is>
      </c>
      <c r="J30" t="inlineStr">
        <is>
          <t>龚政涛,Decay</t>
        </is>
      </c>
      <c r="K30" t="inlineStr">
        <is>
          <t>龚政涛</t>
        </is>
      </c>
      <c r="L30" s="3">
        <v>45536.97599537037</v>
      </c>
      <c r="M30" s="3"/>
      <c r="N30" s="3">
        <v>45547.75475694444</v>
      </c>
      <c r="O30" s="3">
        <v>45546.333333333336</v>
      </c>
      <c r="P30" s="3">
        <v>45548.418587962966</v>
      </c>
      <c r="Q30" s="2" t="str">
        <f>=HYPERLINK("https://applink.feishu.cn/client/todo/task_list?guid=4d92b9af-66d1-4cd7-95d1-4b753a64ca6b", "跃入迷城")</f>
        <v>跃入迷城</v>
      </c>
      <c r="R30" t="inlineStr">
        <is>
          <t>4d92b9af-66d1-4cd7-95d1-4b753a64ca6b</t>
        </is>
      </c>
      <c r="S30" t="inlineStr">
        <is>
          <t>bd74f899-e0ad-4862-b16d-51a00353a186</t>
        </is>
      </c>
      <c r="T30">
        <v>0</v>
      </c>
      <c r="U30">
        <v>0</v>
      </c>
      <c r="V30" t="inlineStr">
        <is>
          <t>0.0.2</t>
        </is>
      </c>
      <c r="W30" t="inlineStr">
        <is>
          <t>已完成</t>
        </is>
      </c>
      <c r="X30"/>
      <c r="Y30" t="inlineStr">
        <is>
          <t>平面美术</t>
        </is>
      </c>
      <c r="Z30"/>
      <c r="AA30" t="inlineStr">
        <is>
          <t>27142034-3781-4725-865b-1c4a41789f9f</t>
        </is>
      </c>
      <c r="AB30"/>
      <c r="AC30"/>
      <c r="AD30" t="inlineStr">
        <is>
          <t>NzUzMjAzNDQ5ODk2NDY2ODQ0NDpiZDc0Zjg5OS1lMGFkLTQ4NjItYjE2ZC01MWEwMDM1M2ExODY6NDgzZWRiYTExODZiYWRmY2UyMzYyNDE3NjFjNDEzZjA6MQ==</t>
        </is>
      </c>
      <c r="AE30"/>
    </row>
    <row r="31" ht="25.5" customHeight="1">
      <c r="A31" s="2" t="str">
        <f>=HYPERLINK("https://applink.feishu.cn/client/todo/detail?guid=f1466670-d386-4f8d-ab1b-0c6fccd50f22&amp;suite_entity_num=t100027", "购买的义体应该能真的作用到玩家属性&amp;技能")</f>
        <v>购买的义体应该能真的作用到玩家属性&amp;技能</v>
      </c>
      <c r="B31"/>
      <c r="C31" t="inlineStr">
        <is>
          <t>默认分组</t>
        </is>
      </c>
      <c r="D31" t="inlineStr">
        <is>
          <t>1</t>
        </is>
      </c>
      <c r="E31" t="inlineStr">
        <is>
          <t>或签任务</t>
        </is>
      </c>
      <c r="F31"/>
      <c r="G31" t="inlineStr">
        <is>
          <t>0</t>
        </is>
      </c>
      <c r="H31"/>
      <c r="I31" t="inlineStr">
        <is>
          <t>Decay</t>
        </is>
      </c>
      <c r="J31" t="inlineStr">
        <is>
          <t>龚政涛,Decay</t>
        </is>
      </c>
      <c r="K31" t="inlineStr">
        <is>
          <t>龚政涛</t>
        </is>
      </c>
      <c r="L31" s="3">
        <v>45536.99041666667</v>
      </c>
      <c r="M31" s="3">
        <v>45553.333333333336</v>
      </c>
      <c r="N31" s="3">
        <v>45571.97516203704</v>
      </c>
      <c r="O31" s="3">
        <v>45553.333333333336</v>
      </c>
      <c r="P31" s="3">
        <v>45571.9903587963</v>
      </c>
      <c r="Q31" s="2" t="str">
        <f>=HYPERLINK("https://applink.feishu.cn/client/todo/task_list?guid=4d92b9af-66d1-4cd7-95d1-4b753a64ca6b", "跃入迷城")</f>
        <v>跃入迷城</v>
      </c>
      <c r="R31" t="inlineStr">
        <is>
          <t>4d92b9af-66d1-4cd7-95d1-4b753a64ca6b</t>
        </is>
      </c>
      <c r="S31" t="inlineStr">
        <is>
          <t>f1466670-d386-4f8d-ab1b-0c6fccd50f22</t>
        </is>
      </c>
      <c r="T31">
        <v>0</v>
      </c>
      <c r="U31">
        <v>0</v>
      </c>
      <c r="V31" t="inlineStr">
        <is>
          <t>0.0.2</t>
        </is>
      </c>
      <c r="W31" t="inlineStr">
        <is>
          <t>已完成</t>
        </is>
      </c>
      <c r="X31"/>
      <c r="Y31" t="inlineStr">
        <is>
          <t>操作</t>
        </is>
      </c>
      <c r="Z31"/>
      <c r="AA31" t="inlineStr">
        <is>
          <t>e437dc2e-928c-481f-96d8-37f8c8390b28</t>
        </is>
      </c>
      <c r="AB31"/>
      <c r="AC31"/>
      <c r="AD31" t="inlineStr">
        <is>
          <t>NzUzMjAzNDQ5ODk2NDY2ODQ0NDpmMTQ2NjY3MC1kMzg2LTRmOGQtYWIxYi0wYzZmY2NkNTBmMjI6YTc3MDdjNDZjY2U5MTc3NjVjYjNmMDNiODFkYzlmYWQ6MQ==</t>
        </is>
      </c>
      <c r="AE31"/>
    </row>
    <row r="32" ht="25.5" customHeight="1">
      <c r="A32" s="2" t="str">
        <f>=HYPERLINK("https://applink.feishu.cn/client/todo/detail?guid=883ef65c-8d61-4b3d-a33a-761a7a28be03&amp;suite_entity_num=t100025", "需要一个菜单，可以让玩家看已购买的义体")</f>
        <v>需要一个菜单，可以让玩家看已购买的义体</v>
      </c>
      <c r="B32"/>
      <c r="C32" t="inlineStr">
        <is>
          <t>默认分组</t>
        </is>
      </c>
      <c r="D32" t="inlineStr">
        <is>
          <t>1</t>
        </is>
      </c>
      <c r="E32" t="inlineStr">
        <is>
          <t>或签任务</t>
        </is>
      </c>
      <c r="F32"/>
      <c r="G32" t="inlineStr">
        <is>
          <t>0</t>
        </is>
      </c>
      <c r="H32"/>
      <c r="I32" t="inlineStr">
        <is>
          <t>Decay</t>
        </is>
      </c>
      <c r="J32" t="inlineStr">
        <is>
          <t>龚政涛,Decay</t>
        </is>
      </c>
      <c r="K32" t="inlineStr">
        <is>
          <t>龚政涛</t>
        </is>
      </c>
      <c r="L32" s="3">
        <v>45536.98763888889</v>
      </c>
      <c r="M32" s="3">
        <v>45574.333333333336</v>
      </c>
      <c r="N32" s="3">
        <v>45595.62950231481</v>
      </c>
      <c r="O32" s="3">
        <v>45574.333333333336</v>
      </c>
      <c r="P32" s="3">
        <v>45727.47697916667</v>
      </c>
      <c r="Q32" s="2" t="str">
        <f>=HYPERLINK("https://applink.feishu.cn/client/todo/task_list?guid=4d92b9af-66d1-4cd7-95d1-4b753a64ca6b", "跃入迷城")</f>
        <v>跃入迷城</v>
      </c>
      <c r="R32" t="inlineStr">
        <is>
          <t>4d92b9af-66d1-4cd7-95d1-4b753a64ca6b</t>
        </is>
      </c>
      <c r="S32" t="inlineStr">
        <is>
          <t>883ef65c-8d61-4b3d-a33a-761a7a28be03</t>
        </is>
      </c>
      <c r="T32">
        <v>0</v>
      </c>
      <c r="U32">
        <v>3</v>
      </c>
      <c r="V32" t="inlineStr">
        <is>
          <t>0.0.2</t>
        </is>
      </c>
      <c r="W32" t="inlineStr">
        <is>
          <t>已完成</t>
        </is>
      </c>
      <c r="X32"/>
      <c r="Y32" t="inlineStr">
        <is>
          <t>装备</t>
        </is>
      </c>
      <c r="Z32" t="inlineStr">
        <is>
          <t>P1 - Bigger the Better</t>
        </is>
      </c>
      <c r="AA32" t="inlineStr">
        <is>
          <t>a868512d-797a-493b-8c90-235dbe6d592c</t>
        </is>
      </c>
      <c r="AB32"/>
      <c r="AC32"/>
      <c r="AD32" t="inlineStr">
        <is>
          <t>NzUzMjAzNDQ5ODk2NDY2ODQ0NDo4ODNlZjY1Yy04ZDYxLTRiM2QtYTMzYS03NjFhN2EyOGJlMDM6OWNlMjEwMmE4YjI5YjA1ZDhjZmJjNTAyNTk5YjFlZTc6MQ==</t>
        </is>
      </c>
      <c r="AE32"/>
    </row>
    <row r="33" ht="25.5" customHeight="1">
      <c r="A33" s="2" t="str">
        <f>=HYPERLINK("https://applink.feishu.cn/client/todo/detail?guid=2aacf0ef-d6b8-40a1-a5d2-effbafaec49e&amp;suite_entity_num=t100043", "角色数值UI显示")</f>
        <v>角色数值UI显示</v>
      </c>
      <c r="B33"/>
      <c r="C33" t="inlineStr">
        <is>
          <t>默认分组</t>
        </is>
      </c>
      <c r="D33" t="inlineStr">
        <is>
          <t>1</t>
        </is>
      </c>
      <c r="E33" t="inlineStr">
        <is>
          <t>或签任务</t>
        </is>
      </c>
      <c r="F33"/>
      <c r="G33" t="inlineStr">
        <is>
          <t>0</t>
        </is>
      </c>
      <c r="H33"/>
      <c r="I33" t="inlineStr">
        <is>
          <t>Zoey,龚政涛</t>
        </is>
      </c>
      <c r="J33" t="inlineStr">
        <is>
          <t>龚政涛,Decay,Zoey</t>
        </is>
      </c>
      <c r="K33" t="inlineStr">
        <is>
          <t>龚政涛</t>
        </is>
      </c>
      <c r="L33" s="3">
        <v>45547.72515046296</v>
      </c>
      <c r="M33" s="3"/>
      <c r="N33" s="3">
        <v>45865.93666666667</v>
      </c>
      <c r="O33" s="3"/>
      <c r="P33" s="3">
        <v>45866.6896412037</v>
      </c>
      <c r="Q33" s="2" t="str">
        <f>=HYPERLINK("https://applink.feishu.cn/client/todo/task_list?guid=4d92b9af-66d1-4cd7-95d1-4b753a64ca6b", "跃入迷城")</f>
        <v>跃入迷城</v>
      </c>
      <c r="R33" t="inlineStr">
        <is>
          <t>4d92b9af-66d1-4cd7-95d1-4b753a64ca6b</t>
        </is>
      </c>
      <c r="S33" t="inlineStr">
        <is>
          <t>2aacf0ef-d6b8-40a1-a5d2-effbafaec49e</t>
        </is>
      </c>
      <c r="T33">
        <v>0</v>
      </c>
      <c r="U33">
        <v>15</v>
      </c>
      <c r="V33" t="inlineStr">
        <is>
          <t>0.0.5</t>
        </is>
      </c>
      <c r="W33" t="inlineStr">
        <is>
          <t>已废弃</t>
        </is>
      </c>
      <c r="X33"/>
      <c r="Y33" t="inlineStr">
        <is>
          <t>UIUX</t>
        </is>
      </c>
      <c r="Z33" t="inlineStr">
        <is>
          <t>P1 - Bigger the Better</t>
        </is>
      </c>
      <c r="AA33"/>
      <c r="AB33"/>
      <c r="AC33"/>
      <c r="AD33" t="inlineStr">
        <is>
          <t>NzUzMjAzNDQ5ODk2NDY2ODQ0NDoyYWFjZjBlZi1kNmI4LTQwYTEtYTVkMi1lZmZiYWZhZWM0OWU6Mzk2OWMzZDVjNDhlODFiNWQ1M2M1M2NlY2JjMzRlMjg6MQ==</t>
        </is>
      </c>
      <c r="AE33"/>
    </row>
    <row r="34" ht="25.5" customHeight="1">
      <c r="A34" s="2" t="str">
        <f>=HYPERLINK("https://applink.feishu.cn/client/todo/detail?guid=9a7ed290-7043-4b49-a00e-836990065863&amp;suite_entity_num=t100036", "撰写全部主线&amp;某些支线剧情大纲")</f>
        <v>撰写全部主线&amp;某些支线剧情大纲</v>
      </c>
      <c r="B34"/>
      <c r="C34" t="inlineStr">
        <is>
          <t>默认分组</t>
        </is>
      </c>
      <c r="D34" t="inlineStr">
        <is>
          <t>1</t>
        </is>
      </c>
      <c r="E34" t="inlineStr">
        <is>
          <t>或签任务</t>
        </is>
      </c>
      <c r="F34"/>
      <c r="G34" t="inlineStr">
        <is>
          <t>0</t>
        </is>
      </c>
      <c r="H34"/>
      <c r="I34" t="inlineStr">
        <is>
          <t>龚政涛,Jade,Serein</t>
        </is>
      </c>
      <c r="J34" t="inlineStr">
        <is>
          <t>龚政涛,Jade,Serein</t>
        </is>
      </c>
      <c r="K34" t="inlineStr">
        <is>
          <t>龚政涛</t>
        </is>
      </c>
      <c r="L34" s="3">
        <v>45538.94174768519</v>
      </c>
      <c r="M34" s="3"/>
      <c r="N34" s="3">
        <v>45622.64244212963</v>
      </c>
      <c r="O34" s="3">
        <v>45622.333333333336</v>
      </c>
      <c r="P34" s="3">
        <v>45622.64244212963</v>
      </c>
      <c r="Q34" s="2" t="str">
        <f>=HYPERLINK("https://applink.feishu.cn/client/todo/task_list?guid=4d92b9af-66d1-4cd7-95d1-4b753a64ca6b", "跃入迷城")</f>
        <v>跃入迷城</v>
      </c>
      <c r="R34" t="inlineStr">
        <is>
          <t>4d92b9af-66d1-4cd7-95d1-4b753a64ca6b</t>
        </is>
      </c>
      <c r="S34" t="inlineStr">
        <is>
          <t>9a7ed290-7043-4b49-a00e-836990065863</t>
        </is>
      </c>
      <c r="T34">
        <v>0</v>
      </c>
      <c r="U34">
        <v>1</v>
      </c>
      <c r="V34" t="inlineStr">
        <is>
          <t>0.0.3</t>
        </is>
      </c>
      <c r="W34" t="inlineStr">
        <is>
          <t>工作中</t>
        </is>
      </c>
      <c r="X34"/>
      <c r="Y34" t="inlineStr">
        <is>
          <t>剧本</t>
        </is>
      </c>
      <c r="Z34" t="inlineStr">
        <is>
          <t>P0 - Must (not) Have</t>
        </is>
      </c>
      <c r="AA34"/>
      <c r="AB34"/>
      <c r="AC34"/>
      <c r="AD34" t="inlineStr">
        <is>
          <t>NzUzMjAzNDQ5ODk2NDY2ODQ0NDo5YTdlZDI5MC03MDQzLTRiNDktYTAwZS04MzY5OTAwNjU4NjM6NWE1NzNjNTczNDUxNTNlZGY5OWYxNThkY2IzYWRiZTQ6MQ==</t>
        </is>
      </c>
      <c r="AE34"/>
    </row>
    <row r="35" ht="25.5" customHeight="1">
      <c r="A35" s="2" t="str">
        <f>=HYPERLINK("https://applink.feishu.cn/client/todo/detail?guid=760d9871-0342-4add-89dc-10398f253f10&amp;suite_entity_num=t100014", "涂鸦和裂痕实现1个")</f>
        <v>涂鸦和裂痕实现1个</v>
      </c>
      <c r="B35"/>
      <c r="C35" t="inlineStr">
        <is>
          <t>默认分组</t>
        </is>
      </c>
      <c r="D35" t="inlineStr">
        <is>
          <t>1</t>
        </is>
      </c>
      <c r="E35" t="inlineStr">
        <is>
          <t>或签任务</t>
        </is>
      </c>
      <c r="F35"/>
      <c r="G35" t="inlineStr">
        <is>
          <t>0</t>
        </is>
      </c>
      <c r="H35"/>
      <c r="I35" t="inlineStr">
        <is>
          <t>Joyce Jiao</t>
        </is>
      </c>
      <c r="J35" t="inlineStr">
        <is>
          <t>龚政涛,Joyce Jiao</t>
        </is>
      </c>
      <c r="K35" t="inlineStr">
        <is>
          <t>龚政涛</t>
        </is>
      </c>
      <c r="L35" s="3">
        <v>45536.976018518515</v>
      </c>
      <c r="M35" s="3"/>
      <c r="N35" s="3">
        <v>45651.62359953704</v>
      </c>
      <c r="O35" s="3"/>
      <c r="P35" s="3">
        <v>45651.62358796296</v>
      </c>
      <c r="Q35" s="2" t="str">
        <f>=HYPERLINK("https://applink.feishu.cn/client/todo/task_list?guid=4d92b9af-66d1-4cd7-95d1-4b753a64ca6b", "跃入迷城")</f>
        <v>跃入迷城</v>
      </c>
      <c r="R35" t="inlineStr">
        <is>
          <t>4d92b9af-66d1-4cd7-95d1-4b753a64ca6b</t>
        </is>
      </c>
      <c r="S35" t="inlineStr">
        <is>
          <t>760d9871-0342-4add-89dc-10398f253f10</t>
        </is>
      </c>
      <c r="T35">
        <v>0</v>
      </c>
      <c r="U35">
        <v>0</v>
      </c>
      <c r="V35" t="inlineStr">
        <is>
          <t>0.0.2</t>
        </is>
      </c>
      <c r="W35" t="inlineStr">
        <is>
          <t>已废弃</t>
        </is>
      </c>
      <c r="X35"/>
      <c r="Y35" t="inlineStr">
        <is>
          <t>平面美术</t>
        </is>
      </c>
      <c r="Z35"/>
      <c r="AA35"/>
      <c r="AB35"/>
      <c r="AC35"/>
      <c r="AD35" t="inlineStr">
        <is>
          <t>NzUzMjAzNDQ5ODk2NDY2ODQ0NDo3NjBkOTg3MS0wMzQyLTRhZGQtODlkYy0xMDM5OGYyNTNmMTA6ZTE5OGI0YmY3NmQ4ZDdmZjgyZWUyMDU2MzY3Y2EyZDE6MQ==</t>
        </is>
      </c>
      <c r="AE35"/>
    </row>
    <row r="36" ht="25.5" customHeight="1">
      <c r="A36" s="2" t="str">
        <f>=HYPERLINK("https://applink.feishu.cn/client/todo/detail?guid=d170c37a-56a0-4fd0-9f34-fd3b379b5092&amp;suite_entity_num=t100056", "武器没有被动，义体没有主动")</f>
        <v>武器没有被动，义体没有主动</v>
      </c>
      <c r="B36"/>
      <c r="C36" t="inlineStr">
        <is>
          <t>默认分组</t>
        </is>
      </c>
      <c r="D36" t="inlineStr">
        <is>
          <t>1</t>
        </is>
      </c>
      <c r="E36" t="inlineStr">
        <is>
          <t>或签任务</t>
        </is>
      </c>
      <c r="F36"/>
      <c r="G36" t="inlineStr">
        <is>
          <t>0</t>
        </is>
      </c>
      <c r="H36"/>
      <c r="I36" t="inlineStr">
        <is>
          <t>Decay</t>
        </is>
      </c>
      <c r="J36" t="inlineStr">
        <is>
          <t>龚政涛,Decay</t>
        </is>
      </c>
      <c r="K36" t="inlineStr">
        <is>
          <t>龚政涛</t>
        </is>
      </c>
      <c r="L36" s="3">
        <v>45547.95038194444</v>
      </c>
      <c r="M36" s="3"/>
      <c r="N36" s="3">
        <v>45595.62846064815</v>
      </c>
      <c r="O36" s="3">
        <v>45588.333333333336</v>
      </c>
      <c r="P36" s="3">
        <v>45595.628483796296</v>
      </c>
      <c r="Q36" s="2" t="str">
        <f>=HYPERLINK("https://applink.feishu.cn/client/todo/task_list?guid=4d92b9af-66d1-4cd7-95d1-4b753a64ca6b", "跃入迷城")</f>
        <v>跃入迷城</v>
      </c>
      <c r="R36" t="inlineStr">
        <is>
          <t>4d92b9af-66d1-4cd7-95d1-4b753a64ca6b</t>
        </is>
      </c>
      <c r="S36" t="inlineStr">
        <is>
          <t>d170c37a-56a0-4fd0-9f34-fd3b379b5092</t>
        </is>
      </c>
      <c r="T36">
        <v>0</v>
      </c>
      <c r="U36">
        <v>1</v>
      </c>
      <c r="V36" t="inlineStr">
        <is>
          <t>0.0.2</t>
        </is>
      </c>
      <c r="W36" t="inlineStr">
        <is>
          <t>已完成</t>
        </is>
      </c>
      <c r="X36"/>
      <c r="Y36" t="inlineStr">
        <is>
          <t>操作</t>
        </is>
      </c>
      <c r="Z36" t="inlineStr">
        <is>
          <t>P2 - Nice to Have</t>
        </is>
      </c>
      <c r="AA36"/>
      <c r="AB36"/>
      <c r="AC36"/>
      <c r="AD36" t="inlineStr">
        <is>
          <t>NzUzMjAzNDQ5ODk2NDY2ODQ0NDpkMTcwYzM3YS01NmEwLTRmZDAtOWYzNC1mZDNiMzc5YjUwOTI6YTg3OWM2Nzk4YTg3MmM5MWNjNzg1NzZmNWMwYTFhOTQ6MQ==</t>
        </is>
      </c>
      <c r="AE36"/>
    </row>
    <row r="37" ht="25.5" customHeight="1">
      <c r="A37" s="2" t="str">
        <f>=HYPERLINK("https://applink.feishu.cn/client/todo/detail?guid=c5e43c49-af72-4158-be59-5ef5ff067295&amp;suite_entity_num=t100028", "购买只能操作{1}次，并且在关卡锁定后无法再次操作")</f>
        <v>购买只能操作{1}次，并且在关卡锁定后无法再次操作</v>
      </c>
      <c r="B37"/>
      <c r="C37" t="inlineStr">
        <is>
          <t>默认分组</t>
        </is>
      </c>
      <c r="D37" t="inlineStr">
        <is>
          <t>1</t>
        </is>
      </c>
      <c r="E37" t="inlineStr">
        <is>
          <t>或签任务</t>
        </is>
      </c>
      <c r="F37"/>
      <c r="G37" t="inlineStr">
        <is>
          <t>0</t>
        </is>
      </c>
      <c r="H37"/>
      <c r="I37" t="inlineStr">
        <is>
          <t>Decay</t>
        </is>
      </c>
      <c r="J37" t="inlineStr">
        <is>
          <t>Decay,龚政涛</t>
        </is>
      </c>
      <c r="K37" t="inlineStr">
        <is>
          <t>龚政涛</t>
        </is>
      </c>
      <c r="L37" s="3">
        <v>45536.990636574075</v>
      </c>
      <c r="M37" s="3">
        <v>45572.333333333336</v>
      </c>
      <c r="N37" s="3">
        <v>45709.4533912037</v>
      </c>
      <c r="O37" s="3">
        <v>45572.333333333336</v>
      </c>
      <c r="P37" s="3">
        <v>45709.45333333333</v>
      </c>
      <c r="Q37" s="2" t="str">
        <f>=HYPERLINK("https://applink.feishu.cn/client/todo/task_list?guid=4d92b9af-66d1-4cd7-95d1-4b753a64ca6b", "跃入迷城")</f>
        <v>跃入迷城</v>
      </c>
      <c r="R37" t="inlineStr">
        <is>
          <t>4d92b9af-66d1-4cd7-95d1-4b753a64ca6b</t>
        </is>
      </c>
      <c r="S37" t="inlineStr">
        <is>
          <t>c5e43c49-af72-4158-be59-5ef5ff067295</t>
        </is>
      </c>
      <c r="T37">
        <v>0</v>
      </c>
      <c r="U37">
        <v>2</v>
      </c>
      <c r="V37" t="inlineStr">
        <is>
          <t>0.0.2</t>
        </is>
      </c>
      <c r="W37" t="inlineStr">
        <is>
          <t>已废弃</t>
        </is>
      </c>
      <c r="X37"/>
      <c r="Y37" t="inlineStr">
        <is>
          <t>操作</t>
        </is>
      </c>
      <c r="Z37" t="inlineStr">
        <is>
          <t>P2 - Nice to Have</t>
        </is>
      </c>
      <c r="AA37"/>
      <c r="AB37" t="inlineStr">
        <is>
          <t>a868512d-797a-493b-8c90-235dbe6d592c</t>
        </is>
      </c>
      <c r="AC37"/>
      <c r="AD37" t="inlineStr">
        <is>
          <t>NzUzMjAzNDQ5ODk2NDY2ODQ0NDpjNWU0M2M0OS1hZjcyLTQxNTgtYmU1OS01ZWY1ZmYwNjcyOTU6ZDRiNzBkOTViNzdjYmNmNzA1NjU2ZTM4ODUxZTllNzE6MQ==</t>
        </is>
      </c>
      <c r="AE37"/>
    </row>
    <row r="38" ht="25.5" customHeight="1">
      <c r="A38" s="2" t="str">
        <f>=HYPERLINK("https://applink.feishu.cn/client/todo/detail?guid=8e9ad925-eecf-47c4-8a3e-4888920c4d21&amp;suite_entity_num=t100054", "符合预期的玩家升级系统")</f>
        <v>符合预期的玩家升级系统</v>
      </c>
      <c r="B38"/>
      <c r="C38" t="inlineStr">
        <is>
          <t>默认分组</t>
        </is>
      </c>
      <c r="D38" t="inlineStr">
        <is>
          <t>1</t>
        </is>
      </c>
      <c r="E38" t="inlineStr">
        <is>
          <t>或签任务</t>
        </is>
      </c>
      <c r="F38"/>
      <c r="G38" t="inlineStr">
        <is>
          <t>0</t>
        </is>
      </c>
      <c r="H38"/>
      <c r="I38" t="inlineStr">
        <is>
          <t>Decay</t>
        </is>
      </c>
      <c r="J38" t="inlineStr">
        <is>
          <t>龚政涛,Decay</t>
        </is>
      </c>
      <c r="K38" t="inlineStr">
        <is>
          <t>龚政涛</t>
        </is>
      </c>
      <c r="L38" s="3">
        <v>45547.94559027778</v>
      </c>
      <c r="M38" s="3"/>
      <c r="N38" s="3">
        <v>45595.627754629626</v>
      </c>
      <c r="O38" s="3"/>
      <c r="P38" s="3">
        <v>45595.627754629626</v>
      </c>
      <c r="Q38" s="2" t="str">
        <f>=HYPERLINK("https://applink.feishu.cn/client/todo/task_list?guid=4d92b9af-66d1-4cd7-95d1-4b753a64ca6b", "跃入迷城")</f>
        <v>跃入迷城</v>
      </c>
      <c r="R38" t="inlineStr">
        <is>
          <t>4d92b9af-66d1-4cd7-95d1-4b753a64ca6b</t>
        </is>
      </c>
      <c r="S38" t="inlineStr">
        <is>
          <t>8e9ad925-eecf-47c4-8a3e-4888920c4d21</t>
        </is>
      </c>
      <c r="T38">
        <v>0</v>
      </c>
      <c r="U38">
        <v>1</v>
      </c>
      <c r="V38" t="inlineStr">
        <is>
          <t>0.0.2</t>
        </is>
      </c>
      <c r="W38" t="inlineStr">
        <is>
          <t>已完成</t>
        </is>
      </c>
      <c r="X38"/>
      <c r="Y38" t="inlineStr">
        <is>
          <t>操作</t>
        </is>
      </c>
      <c r="Z38" t="inlineStr">
        <is>
          <t>P0 - Must (not) Have</t>
        </is>
      </c>
      <c r="AA38"/>
      <c r="AB38"/>
      <c r="AC38"/>
      <c r="AD38" t="inlineStr">
        <is>
          <t>NzUzMjAzNDQ5ODk2NDY2ODQ0NDo4ZTlhZDkyNS1lZWNmLTQ3YzQtOGEzZS00ODg4OTIwYzRkMjE6NzA1MjJhMmQ3ZmRiYjEzOTc3Y2ZjMGIzMzIyZWY5YTU6MQ==</t>
        </is>
      </c>
      <c r="AE38"/>
    </row>
    <row r="39" ht="25.5" customHeight="1">
      <c r="A39" s="2" t="str">
        <f>=HYPERLINK("https://applink.feishu.cn/client/todo/detail?guid=a23df65f-9e38-47b7-8991-536a2f02145f&amp;suite_entity_num=t100037", "使用Twine进行测试")</f>
        <v>使用Twine进行测试</v>
      </c>
      <c r="B39"/>
      <c r="C39" t="inlineStr">
        <is>
          <t>默认分组</t>
        </is>
      </c>
      <c r="D39" t="inlineStr">
        <is>
          <t>1</t>
        </is>
      </c>
      <c r="E39" t="inlineStr">
        <is>
          <t>或签任务</t>
        </is>
      </c>
      <c r="F39"/>
      <c r="G39" t="inlineStr">
        <is>
          <t>0</t>
        </is>
      </c>
      <c r="H39"/>
      <c r="I39" t="inlineStr">
        <is>
          <t>Jade,龚政涛,Serein</t>
        </is>
      </c>
      <c r="J39" t="inlineStr">
        <is>
          <t>龚政涛,Jade,Joyce Jiao,Serein</t>
        </is>
      </c>
      <c r="K39" t="inlineStr">
        <is>
          <t>龚政涛</t>
        </is>
      </c>
      <c r="L39" s="3">
        <v>45538.94174768519</v>
      </c>
      <c r="M39" s="3"/>
      <c r="N39" s="3">
        <v>45551.834710648145</v>
      </c>
      <c r="O39" s="3">
        <v>45540.333333333336</v>
      </c>
      <c r="P39" s="3">
        <v>45727.476643518516</v>
      </c>
      <c r="Q39" s="2" t="str">
        <f>=HYPERLINK("https://applink.feishu.cn/client/todo/task_list?guid=4d92b9af-66d1-4cd7-95d1-4b753a64ca6b", "跃入迷城")</f>
        <v>跃入迷城</v>
      </c>
      <c r="R39" t="inlineStr">
        <is>
          <t>4d92b9af-66d1-4cd7-95d1-4b753a64ca6b</t>
        </is>
      </c>
      <c r="S39" t="inlineStr">
        <is>
          <t>a23df65f-9e38-47b7-8991-536a2f02145f</t>
        </is>
      </c>
      <c r="T39">
        <v>0</v>
      </c>
      <c r="U39">
        <v>1</v>
      </c>
      <c r="V39" t="inlineStr">
        <is>
          <t>0.0.2</t>
        </is>
      </c>
      <c r="W39" t="inlineStr">
        <is>
          <t>已完成</t>
        </is>
      </c>
      <c r="X39"/>
      <c r="Y39" t="inlineStr">
        <is>
          <t>剧本</t>
        </is>
      </c>
      <c r="Z39" t="inlineStr">
        <is>
          <t>P2 - Nice to Have</t>
        </is>
      </c>
      <c r="AA39"/>
      <c r="AB39"/>
      <c r="AC39"/>
      <c r="AD39" t="inlineStr">
        <is>
          <t>NzUzMjAzNDQ5ODk2NDY2ODQ0NDphMjNkZjY1Zi05ZTM4LTQ3YjctODk5MS01MzZhMmYwMjE0NWY6NTFlNWQ5ZTNjZDE4Njc0N2JkYzE5MWRhNDMxNmNiYjc6MQ==</t>
        </is>
      </c>
      <c r="AE39"/>
    </row>
    <row r="40" ht="25.5" customHeight="1">
      <c r="A40" s="2" t="str">
        <f>=HYPERLINK("https://applink.feishu.cn/client/todo/detail?guid=3d2cbd3a-9d50-44a2-a249-1da2b7921bfd&amp;suite_entity_num=t100051", "v0.0.2 - 版本复盘")</f>
        <v>v0.0.2 - 版本复盘</v>
      </c>
      <c r="B40"/>
      <c r="C40" t="inlineStr">
        <is>
          <t>默认分组</t>
        </is>
      </c>
      <c r="D40" t="inlineStr">
        <is>
          <t>1</t>
        </is>
      </c>
      <c r="E40" t="inlineStr">
        <is>
          <t>或签任务</t>
        </is>
      </c>
      <c r="F40"/>
      <c r="G40" t="inlineStr">
        <is>
          <t>1</t>
        </is>
      </c>
      <c r="H40"/>
      <c r="I40"/>
      <c r="J40" t="inlineStr">
        <is>
          <t>龚政涛</t>
        </is>
      </c>
      <c r="K40" t="inlineStr">
        <is>
          <t>龚政涛</t>
        </is>
      </c>
      <c r="L40" s="3">
        <v>45547.761412037034</v>
      </c>
      <c r="M40" s="3">
        <v>45584.333333333336</v>
      </c>
      <c r="N40" s="3">
        <v>45595.62613425926</v>
      </c>
      <c r="O40" s="3">
        <v>45584.333333333336</v>
      </c>
      <c r="P40" s="3">
        <v>45595.62615740741</v>
      </c>
      <c r="Q40" s="2" t="str">
        <f>=HYPERLINK("https://applink.feishu.cn/client/todo/task_list?guid=4d92b9af-66d1-4cd7-95d1-4b753a64ca6b", "跃入迷城")</f>
        <v>跃入迷城</v>
      </c>
      <c r="R40" t="inlineStr">
        <is>
          <t>4d92b9af-66d1-4cd7-95d1-4b753a64ca6b</t>
        </is>
      </c>
      <c r="S40" t="inlineStr">
        <is>
          <t>3d2cbd3a-9d50-44a2-a249-1da2b7921bfd</t>
        </is>
      </c>
      <c r="T40">
        <v>0</v>
      </c>
      <c r="U40">
        <v>0</v>
      </c>
      <c r="V40" t="inlineStr">
        <is>
          <t>0.0.2</t>
        </is>
      </c>
      <c r="W40" t="inlineStr">
        <is>
          <t>已完成</t>
        </is>
      </c>
      <c r="X40"/>
      <c r="Y40" t="inlineStr">
        <is>
          <t>项目管理</t>
        </is>
      </c>
      <c r="Z40"/>
      <c r="AA40"/>
      <c r="AB40"/>
      <c r="AC40"/>
      <c r="AD40" t="inlineStr">
        <is>
          <t>NzUzMjAzNDQ5ODk2NDY2ODQ0NDozZDJjYmQzYS05ZDUwLTQ0YTItYTI0OS0xZGEyYjc5MjFiZmQ6MTcyNmVmYTBiZTdiNTA4YzM1ZjUzZWNlZWU0M2RiZmU6MQ==</t>
        </is>
      </c>
      <c r="AE40"/>
    </row>
    <row r="41" ht="25.5" customHeight="1">
      <c r="A41" s="2" t="str">
        <f>=HYPERLINK("https://applink.feishu.cn/client/todo/detail?guid=6194a64d-17dc-43ec-ba43-61980f92dc8f&amp;suite_entity_num=t100015", "调整shader细节")</f>
        <v>调整shader细节</v>
      </c>
      <c r="B41"/>
      <c r="C41" t="inlineStr">
        <is>
          <t>默认分组</t>
        </is>
      </c>
      <c r="D41" t="inlineStr">
        <is>
          <t>1</t>
        </is>
      </c>
      <c r="E41" t="inlineStr">
        <is>
          <t>或签任务</t>
        </is>
      </c>
      <c r="F41"/>
      <c r="G41" t="inlineStr">
        <is>
          <t>0</t>
        </is>
      </c>
      <c r="H41"/>
      <c r="I41" t="inlineStr">
        <is>
          <t>龚政涛,Decay</t>
        </is>
      </c>
      <c r="J41" t="inlineStr">
        <is>
          <t>龚政涛,Joyce Jiao,Decay</t>
        </is>
      </c>
      <c r="K41" t="inlineStr">
        <is>
          <t>龚政涛</t>
        </is>
      </c>
      <c r="L41" s="3">
        <v>45536.9778125</v>
      </c>
      <c r="M41" s="3"/>
      <c r="N41" s="3">
        <v>45651.62347222222</v>
      </c>
      <c r="O41" s="3"/>
      <c r="P41" s="3">
        <v>45651.623449074075</v>
      </c>
      <c r="Q41" s="2" t="str">
        <f>=HYPERLINK("https://applink.feishu.cn/client/todo/task_list?guid=4d92b9af-66d1-4cd7-95d1-4b753a64ca6b", "跃入迷城")</f>
        <v>跃入迷城</v>
      </c>
      <c r="R41" t="inlineStr">
        <is>
          <t>4d92b9af-66d1-4cd7-95d1-4b753a64ca6b</t>
        </is>
      </c>
      <c r="S41" t="inlineStr">
        <is>
          <t>6194a64d-17dc-43ec-ba43-61980f92dc8f</t>
        </is>
      </c>
      <c r="T41">
        <v>0</v>
      </c>
      <c r="U41">
        <v>0</v>
      </c>
      <c r="V41" t="inlineStr">
        <is>
          <t>0.0.3</t>
        </is>
      </c>
      <c r="W41" t="inlineStr">
        <is>
          <t>已废弃</t>
        </is>
      </c>
      <c r="X41"/>
      <c r="Y41" t="inlineStr">
        <is>
          <t>平面美术</t>
        </is>
      </c>
      <c r="Z41" t="inlineStr">
        <is>
          <t>P2 - Nice to Have</t>
        </is>
      </c>
      <c r="AA41"/>
      <c r="AB41"/>
      <c r="AC41"/>
      <c r="AD41" t="inlineStr">
        <is>
          <t>NzUzMjAzNDQ5ODk2NDY2ODQ0NDo2MTk0YTY0ZC0xN2RjLTQzZWMtYmE0My02MTk4MGY5MmRjOGY6ODk2ZWM3YmY3MjkxZDdmNDFjYzY2NTdjZmQzY2YxOTc6MQ==</t>
        </is>
      </c>
      <c r="AE41"/>
    </row>
    <row r="42" ht="25.5" customHeight="1">
      <c r="A42" s="2" t="str">
        <f>=HYPERLINK("https://applink.feishu.cn/client/todo/detail?guid=dab8b9a6-774f-43ab-ba00-a61f7e44602d&amp;suite_entity_num=t100058", "追加一位UI设计师")</f>
        <v>追加一位UI设计师</v>
      </c>
      <c r="B42"/>
      <c r="C42" t="inlineStr">
        <is>
          <t>默认分组</t>
        </is>
      </c>
      <c r="D42" t="inlineStr">
        <is>
          <t>1</t>
        </is>
      </c>
      <c r="E42" t="inlineStr">
        <is>
          <t>或签任务</t>
        </is>
      </c>
      <c r="F42"/>
      <c r="G42" t="inlineStr">
        <is>
          <t>0</t>
        </is>
      </c>
      <c r="H42"/>
      <c r="I42" t="inlineStr">
        <is>
          <t>Zoey,龚政涛</t>
        </is>
      </c>
      <c r="J42" t="inlineStr">
        <is>
          <t>龚政涛,Zoey</t>
        </is>
      </c>
      <c r="K42" t="inlineStr">
        <is>
          <t>龚政涛</t>
        </is>
      </c>
      <c r="L42" s="3">
        <v>45547.95226851852</v>
      </c>
      <c r="M42" s="3"/>
      <c r="N42" s="3">
        <v>45547.9528125</v>
      </c>
      <c r="O42" s="3"/>
      <c r="P42" s="3">
        <v>45548.42170138889</v>
      </c>
      <c r="Q42" s="2" t="str">
        <f>=HYPERLINK("https://applink.feishu.cn/client/todo/task_list?guid=4d92b9af-66d1-4cd7-95d1-4b753a64ca6b", "跃入迷城")</f>
        <v>跃入迷城</v>
      </c>
      <c r="R42" t="inlineStr">
        <is>
          <t>4d92b9af-66d1-4cd7-95d1-4b753a64ca6b</t>
        </is>
      </c>
      <c r="S42" t="inlineStr">
        <is>
          <t>dab8b9a6-774f-43ab-ba00-a61f7e44602d</t>
        </is>
      </c>
      <c r="T42">
        <v>0</v>
      </c>
      <c r="U42">
        <v>0</v>
      </c>
      <c r="V42" t="inlineStr">
        <is>
          <t>0.0.2</t>
        </is>
      </c>
      <c r="W42" t="inlineStr">
        <is>
          <t>已完成</t>
        </is>
      </c>
      <c r="X42"/>
      <c r="Y42" t="inlineStr">
        <is>
          <t>UIUX</t>
        </is>
      </c>
      <c r="Z42"/>
      <c r="AA42"/>
      <c r="AB42"/>
      <c r="AC42"/>
      <c r="AD42" t="inlineStr">
        <is>
          <t>NzUzMjAzNDQ5ODk2NDY2ODQ0NDpkYWI4YjlhNi03NzRmLTQzYWItYmEwMC1hNjFmN2U0NDYwMmQ6MzUwNDJkMGMzYjY5OTc1OTJhNjBhNzc0Y2ZiZDUyOWY6MQ==</t>
        </is>
      </c>
      <c r="AE42"/>
    </row>
    <row r="43" ht="25.5" customHeight="1">
      <c r="A43" s="2" t="str">
        <f>=HYPERLINK("https://applink.feishu.cn/client/todo/detail?guid=12c7802b-ad03-44c2-9901-ba82cef6acf1&amp;suite_entity_num=t100057", "Logo？")</f>
        <v>Logo？</v>
      </c>
      <c r="B43"/>
      <c r="C43" t="inlineStr">
        <is>
          <t>默认分组</t>
        </is>
      </c>
      <c r="D43" t="inlineStr">
        <is>
          <t>1</t>
        </is>
      </c>
      <c r="E43" t="inlineStr">
        <is>
          <t>或签任务</t>
        </is>
      </c>
      <c r="F43"/>
      <c r="G43" t="inlineStr">
        <is>
          <t>0</t>
        </is>
      </c>
      <c r="H43"/>
      <c r="I43" t="inlineStr">
        <is>
          <t>龚政涛</t>
        </is>
      </c>
      <c r="J43" t="inlineStr">
        <is>
          <t>龚政涛</t>
        </is>
      </c>
      <c r="K43" t="inlineStr">
        <is>
          <t>龚政涛</t>
        </is>
      </c>
      <c r="L43" s="3">
        <v>45547.951828703706</v>
      </c>
      <c r="M43" s="3"/>
      <c r="N43" s="3">
        <v>45709.46325231482</v>
      </c>
      <c r="O43" s="3"/>
      <c r="P43" s="3">
        <v>45709.46319444444</v>
      </c>
      <c r="Q43" s="2" t="str">
        <f>=HYPERLINK("https://applink.feishu.cn/client/todo/task_list?guid=4d92b9af-66d1-4cd7-95d1-4b753a64ca6b", "跃入迷城")</f>
        <v>跃入迷城</v>
      </c>
      <c r="R43" t="inlineStr">
        <is>
          <t>4d92b9af-66d1-4cd7-95d1-4b753a64ca6b</t>
        </is>
      </c>
      <c r="S43" t="inlineStr">
        <is>
          <t>12c7802b-ad03-44c2-9901-ba82cef6acf1</t>
        </is>
      </c>
      <c r="T43">
        <v>0</v>
      </c>
      <c r="U43">
        <v>1</v>
      </c>
      <c r="V43" t="inlineStr">
        <is>
          <t>0.1.0</t>
        </is>
      </c>
      <c r="W43" t="inlineStr">
        <is>
          <t>已废弃</t>
        </is>
      </c>
      <c r="X43"/>
      <c r="Y43" t="inlineStr">
        <is>
          <t>平面美术</t>
        </is>
      </c>
      <c r="Z43"/>
      <c r="AA43"/>
      <c r="AB43"/>
      <c r="AC43"/>
      <c r="AD43" t="inlineStr">
        <is>
          <t>NzUzMjAzNDQ5ODk2NDY2ODQ0NDoxMmM3ODAyYi1hZDAzLTQ0YzItOTkwMS1iYTgyY2VmNmFjZjE6NDM4MjI5NDc3OTVkOTk0N2NlZDIzYjdlN2RhMWM5NGM6MQ==</t>
        </is>
      </c>
      <c r="AE43"/>
    </row>
    <row r="44" ht="25.5" customHeight="1">
      <c r="A44" s="2" t="str">
        <f>=HYPERLINK("https://applink.feishu.cn/client/todo/detail?guid=f2738866-47d1-4bb2-8b83-047137d94792&amp;suite_entity_num=t100062", "集成场景内交互菜单UI（涂鸦等）")</f>
        <v>集成场景内交互菜单UI（涂鸦等）</v>
      </c>
      <c r="B44"/>
      <c r="C44" t="inlineStr">
        <is>
          <t>默认分组</t>
        </is>
      </c>
      <c r="D44" t="inlineStr">
        <is>
          <t>1</t>
        </is>
      </c>
      <c r="E44" t="inlineStr">
        <is>
          <t>或签任务</t>
        </is>
      </c>
      <c r="F44"/>
      <c r="G44" t="inlineStr">
        <is>
          <t>0</t>
        </is>
      </c>
      <c r="H44"/>
      <c r="I44" t="inlineStr">
        <is>
          <t>Decay</t>
        </is>
      </c>
      <c r="J44" t="inlineStr">
        <is>
          <t>龚政涛,Decay</t>
        </is>
      </c>
      <c r="K44" t="inlineStr">
        <is>
          <t>龚政涛</t>
        </is>
      </c>
      <c r="L44" s="3">
        <v>45547.954421296294</v>
      </c>
      <c r="M44" s="3"/>
      <c r="N44" s="3">
        <v>45719.579872685186</v>
      </c>
      <c r="O44" s="3"/>
      <c r="P44" s="3">
        <v>45719.57989583333</v>
      </c>
      <c r="Q44" s="2" t="str">
        <f>=HYPERLINK("https://applink.feishu.cn/client/todo/task_list?guid=4d92b9af-66d1-4cd7-95d1-4b753a64ca6b", "跃入迷城")</f>
        <v>跃入迷城</v>
      </c>
      <c r="R44" t="inlineStr">
        <is>
          <t>4d92b9af-66d1-4cd7-95d1-4b753a64ca6b</t>
        </is>
      </c>
      <c r="S44" t="inlineStr">
        <is>
          <t>f2738866-47d1-4bb2-8b83-047137d94792</t>
        </is>
      </c>
      <c r="T44">
        <v>0</v>
      </c>
      <c r="U44">
        <v>0</v>
      </c>
      <c r="V44" t="inlineStr">
        <is>
          <t>0.0.2</t>
        </is>
      </c>
      <c r="W44" t="inlineStr">
        <is>
          <t>已废弃</t>
        </is>
      </c>
      <c r="X44"/>
      <c r="Y44" t="inlineStr">
        <is>
          <t>UIUX</t>
        </is>
      </c>
      <c r="Z44"/>
      <c r="AA44"/>
      <c r="AB44"/>
      <c r="AC44"/>
      <c r="AD44" t="inlineStr">
        <is>
          <t>NzUzMjAzNDQ5ODk2NDY2ODQ0NDpmMjczODg2Ni00N2QxLTRiYjItOGI4My0wNDcxMzdkOTQ3OTI6ZWYxNjY1NzUyMjBkOGQzMmFiZTEzOWMxMTllNjVjYjA6MQ==</t>
        </is>
      </c>
      <c r="AE44"/>
    </row>
    <row r="45" ht="25.5" customHeight="1">
      <c r="A45" s="2" t="str">
        <f>=HYPERLINK("https://applink.feishu.cn/client/todo/detail?guid=80575ebf-cd9b-4493-bfa4-9e4105d91cb6&amp;suite_entity_num=t100072", "下载perforce")</f>
        <v>下载perforce</v>
      </c>
      <c r="B45"/>
      <c r="C45" t="inlineStr">
        <is>
          <t>默认分组</t>
        </is>
      </c>
      <c r="D45" t="inlineStr">
        <is>
          <t>1</t>
        </is>
      </c>
      <c r="E45" t="inlineStr">
        <is>
          <t>或签任务</t>
        </is>
      </c>
      <c r="F45"/>
      <c r="G45" t="inlineStr">
        <is>
          <t>0</t>
        </is>
      </c>
      <c r="H45"/>
      <c r="I45" t="inlineStr">
        <is>
          <t>李奕慧</t>
        </is>
      </c>
      <c r="J45" t="inlineStr">
        <is>
          <t>龚政涛,李奕慧</t>
        </is>
      </c>
      <c r="K45" t="inlineStr">
        <is>
          <t>龚政涛</t>
        </is>
      </c>
      <c r="L45" s="3">
        <v>45547.96263888889</v>
      </c>
      <c r="M45" s="3">
        <v>45537.333333333336</v>
      </c>
      <c r="N45" s="3">
        <v>45651.629166666666</v>
      </c>
      <c r="O45" s="3">
        <v>45538.333333333336</v>
      </c>
      <c r="P45" s="3">
        <v>45651.629155092596</v>
      </c>
      <c r="Q45" s="2" t="str">
        <f>=HYPERLINK("https://applink.feishu.cn/client/todo/task_list?guid=4d92b9af-66d1-4cd7-95d1-4b753a64ca6b", "跃入迷城")</f>
        <v>跃入迷城</v>
      </c>
      <c r="R45" t="inlineStr">
        <is>
          <t>4d92b9af-66d1-4cd7-95d1-4b753a64ca6b</t>
        </is>
      </c>
      <c r="S45" t="inlineStr">
        <is>
          <t>80575ebf-cd9b-4493-bfa4-9e4105d91cb6</t>
        </is>
      </c>
      <c r="T45">
        <v>0</v>
      </c>
      <c r="U45">
        <v>0</v>
      </c>
      <c r="V45" t="inlineStr">
        <is>
          <t>0.0.2</t>
        </is>
      </c>
      <c r="W45" t="inlineStr">
        <is>
          <t>已废弃</t>
        </is>
      </c>
      <c r="X45"/>
      <c r="Y45" t="inlineStr">
        <is>
          <t>音乐</t>
        </is>
      </c>
      <c r="Z45"/>
      <c r="AA45"/>
      <c r="AB45" t="inlineStr">
        <is>
          <t>cd8f1d90-142d-4c2d-8f9e-16694c26707c</t>
        </is>
      </c>
      <c r="AC45"/>
      <c r="AD45" t="inlineStr">
        <is>
          <t>NzUzMjAzNDQ5ODk2NDY2ODQ0NDo4MDU3NWViZi1jZDliLTQ0OTMtYmZhNC05ZTQxMDVkOTFjYjY6MDk2ZmU4MDAyZTY1ZDNjMzg1MTIxZTU4MzZkYjZkNzM6MQ==</t>
        </is>
      </c>
      <c r="AE45"/>
    </row>
    <row r="46" ht="25.5" customHeight="1">
      <c r="A46" s="2" t="str">
        <f>=HYPERLINK("https://applink.feishu.cn/client/todo/detail?guid=5f3f00ff-e94e-453e-9f87-98b965f7b1b1&amp;suite_entity_num=t100073", "下载ue引擎")</f>
        <v>下载ue引擎</v>
      </c>
      <c r="B46"/>
      <c r="C46" t="inlineStr">
        <is>
          <t>默认分组</t>
        </is>
      </c>
      <c r="D46" t="inlineStr">
        <is>
          <t>1</t>
        </is>
      </c>
      <c r="E46" t="inlineStr">
        <is>
          <t>或签任务</t>
        </is>
      </c>
      <c r="F46"/>
      <c r="G46" t="inlineStr">
        <is>
          <t>0</t>
        </is>
      </c>
      <c r="H46"/>
      <c r="I46" t="inlineStr">
        <is>
          <t>李奕慧</t>
        </is>
      </c>
      <c r="J46" t="inlineStr">
        <is>
          <t>李奕慧,龚政涛</t>
        </is>
      </c>
      <c r="K46" t="inlineStr">
        <is>
          <t>龚政涛</t>
        </is>
      </c>
      <c r="L46" s="3">
        <v>45547.96263888889</v>
      </c>
      <c r="M46" s="3">
        <v>45537.333333333336</v>
      </c>
      <c r="N46" s="3">
        <v>45651.62918981481</v>
      </c>
      <c r="O46" s="3">
        <v>45543.333333333336</v>
      </c>
      <c r="P46" s="3">
        <v>45651.62918981481</v>
      </c>
      <c r="Q46" s="2" t="str">
        <f>=HYPERLINK("https://applink.feishu.cn/client/todo/task_list?guid=4d92b9af-66d1-4cd7-95d1-4b753a64ca6b", "跃入迷城")</f>
        <v>跃入迷城</v>
      </c>
      <c r="R46" t="inlineStr">
        <is>
          <t>4d92b9af-66d1-4cd7-95d1-4b753a64ca6b</t>
        </is>
      </c>
      <c r="S46" t="inlineStr">
        <is>
          <t>5f3f00ff-e94e-453e-9f87-98b965f7b1b1</t>
        </is>
      </c>
      <c r="T46">
        <v>0</v>
      </c>
      <c r="U46">
        <v>0</v>
      </c>
      <c r="V46" t="inlineStr">
        <is>
          <t>0.0.2</t>
        </is>
      </c>
      <c r="W46" t="inlineStr">
        <is>
          <t>已废弃</t>
        </is>
      </c>
      <c r="X46"/>
      <c r="Y46" t="inlineStr">
        <is>
          <t>音乐</t>
        </is>
      </c>
      <c r="Z46"/>
      <c r="AA46"/>
      <c r="AB46"/>
      <c r="AC46"/>
      <c r="AD46" t="inlineStr">
        <is>
          <t>NzUzMjAzNDQ5ODk2NDY2ODQ0NDo1ZjNmMDBmZi1lOTRlLTQ1M2UtOWY4Ny05OGI5NjVmN2IxYjE6OWQ5NDhmZWM0ZGJlNGNiNDBmOGE4NDcxZGNiY2ZhOTI6MQ==</t>
        </is>
      </c>
      <c r="AE46"/>
    </row>
    <row r="47" ht="25.5" customHeight="1">
      <c r="A47" s="2" t="str">
        <f>=HYPERLINK("https://applink.feishu.cn/client/todo/detail?guid=78fad329-aa2b-4763-a5aa-a79967a71db8&amp;suite_entity_num=t100067", "主控 -&gt; 激动")</f>
        <v>主控 -&gt; 激动</v>
      </c>
      <c r="B47"/>
      <c r="C47" t="inlineStr">
        <is>
          <t>默认分组</t>
        </is>
      </c>
      <c r="D47" t="inlineStr">
        <is>
          <t>1</t>
        </is>
      </c>
      <c r="E47" t="inlineStr">
        <is>
          <t>或签任务</t>
        </is>
      </c>
      <c r="F47"/>
      <c r="G47" t="inlineStr">
        <is>
          <t>0</t>
        </is>
      </c>
      <c r="H47"/>
      <c r="I47" t="inlineStr">
        <is>
          <t>Ke Huang</t>
        </is>
      </c>
      <c r="J47" t="inlineStr">
        <is>
          <t>龚政涛,Ke Huang</t>
        </is>
      </c>
      <c r="K47" t="inlineStr">
        <is>
          <t>龚政涛</t>
        </is>
      </c>
      <c r="L47" s="3">
        <v>45547.96228009259</v>
      </c>
      <c r="M47" s="3"/>
      <c r="N47" s="3">
        <v>45709.463368055556</v>
      </c>
      <c r="O47" s="3"/>
      <c r="P47" s="3">
        <v>45709.46331018519</v>
      </c>
      <c r="Q47" s="2" t="str">
        <f>=HYPERLINK("https://applink.feishu.cn/client/todo/task_list?guid=4d92b9af-66d1-4cd7-95d1-4b753a64ca6b", "跃入迷城")</f>
        <v>跃入迷城</v>
      </c>
      <c r="R47" t="inlineStr">
        <is>
          <t>4d92b9af-66d1-4cd7-95d1-4b753a64ca6b</t>
        </is>
      </c>
      <c r="S47" t="inlineStr">
        <is>
          <t>78fad329-aa2b-4763-a5aa-a79967a71db8</t>
        </is>
      </c>
      <c r="T47">
        <v>0</v>
      </c>
      <c r="U47">
        <v>0</v>
      </c>
      <c r="V47" t="inlineStr">
        <is>
          <t>0.0.2</t>
        </is>
      </c>
      <c r="W47" t="inlineStr">
        <is>
          <t>已废弃</t>
        </is>
      </c>
      <c r="X47"/>
      <c r="Y47" t="inlineStr">
        <is>
          <t>平面美术</t>
        </is>
      </c>
      <c r="Z47"/>
      <c r="AA47"/>
      <c r="AB47"/>
      <c r="AC47"/>
      <c r="AD47" t="inlineStr">
        <is>
          <t>NzUzMjAzNDQ5ODk2NDY2ODQ0NDo3OGZhZDMyOS1hYTJiLTQ3NjMtYTVhYS1hNzk5NjdhNzFkYjg6MmI4NTBiMTU3YTU1MWZhZWViMjg0OTgzZTlhNjQ4ZDY6MQ==</t>
        </is>
      </c>
      <c r="AE47"/>
    </row>
    <row r="48" ht="25.5" customHeight="1">
      <c r="A48" s="2" t="str">
        <f>=HYPERLINK("https://applink.feishu.cn/client/todo/detail?guid=8306777b-d940-4ed0-99e2-222ceb33b3d1&amp;suite_entity_num=t100063", "集成广播UI")</f>
        <v>集成广播UI</v>
      </c>
      <c r="B48"/>
      <c r="C48" t="inlineStr">
        <is>
          <t>默认分组</t>
        </is>
      </c>
      <c r="D48" t="inlineStr">
        <is>
          <t>1</t>
        </is>
      </c>
      <c r="E48" t="inlineStr">
        <is>
          <t>或签任务</t>
        </is>
      </c>
      <c r="F48"/>
      <c r="G48" t="inlineStr">
        <is>
          <t>0</t>
        </is>
      </c>
      <c r="H48"/>
      <c r="I48" t="inlineStr">
        <is>
          <t>Decay</t>
        </is>
      </c>
      <c r="J48" t="inlineStr">
        <is>
          <t>龚政涛,Decay</t>
        </is>
      </c>
      <c r="K48" t="inlineStr">
        <is>
          <t>龚政涛</t>
        </is>
      </c>
      <c r="L48" s="3">
        <v>45547.95454861111</v>
      </c>
      <c r="M48" s="3"/>
      <c r="N48" s="3">
        <v>45719.57994212963</v>
      </c>
      <c r="O48" s="3"/>
      <c r="P48" s="3">
        <v>45719.5799537037</v>
      </c>
      <c r="Q48" s="2" t="str">
        <f>=HYPERLINK("https://applink.feishu.cn/client/todo/task_list?guid=4d92b9af-66d1-4cd7-95d1-4b753a64ca6b", "跃入迷城")</f>
        <v>跃入迷城</v>
      </c>
      <c r="R48" t="inlineStr">
        <is>
          <t>4d92b9af-66d1-4cd7-95d1-4b753a64ca6b</t>
        </is>
      </c>
      <c r="S48" t="inlineStr">
        <is>
          <t>8306777b-d940-4ed0-99e2-222ceb33b3d1</t>
        </is>
      </c>
      <c r="T48">
        <v>0</v>
      </c>
      <c r="U48">
        <v>0</v>
      </c>
      <c r="V48" t="inlineStr">
        <is>
          <t>0.0.2</t>
        </is>
      </c>
      <c r="W48" t="inlineStr">
        <is>
          <t>已废弃</t>
        </is>
      </c>
      <c r="X48"/>
      <c r="Y48" t="inlineStr">
        <is>
          <t>UIUX</t>
        </is>
      </c>
      <c r="Z48"/>
      <c r="AA48"/>
      <c r="AB48"/>
      <c r="AC48"/>
      <c r="AD48" t="inlineStr">
        <is>
          <t>NzUzMjAzNDQ5ODk2NDY2ODQ0NDo4MzA2Nzc3Yi1kOTQwLTRlZDAtOTllMi0yMjJjZWIzM2IzZDE6MTA3Y2M5MzU1OTM2ODY3M2RlNjcyODA3ZjVjZTU4M2Y6MQ==</t>
        </is>
      </c>
      <c r="AE48"/>
    </row>
    <row r="49" ht="25.5" customHeight="1">
      <c r="A49" s="2" t="str">
        <f>=HYPERLINK("https://applink.feishu.cn/client/todo/detail?guid=bbfe8dd4-57d9-465e-8aac-2846446d61d4&amp;suite_entity_num=t100075", "定义音效事件名")</f>
        <v>定义音效事件名</v>
      </c>
      <c r="B49"/>
      <c r="C49" t="inlineStr">
        <is>
          <t>默认分组</t>
        </is>
      </c>
      <c r="D49" t="inlineStr">
        <is>
          <t>1</t>
        </is>
      </c>
      <c r="E49" t="inlineStr">
        <is>
          <t>或签任务</t>
        </is>
      </c>
      <c r="F49"/>
      <c r="G49" t="inlineStr">
        <is>
          <t>0</t>
        </is>
      </c>
      <c r="H49"/>
      <c r="I49" t="inlineStr">
        <is>
          <t>龚政涛</t>
        </is>
      </c>
      <c r="J49" t="inlineStr">
        <is>
          <t>龚政涛</t>
        </is>
      </c>
      <c r="K49" t="inlineStr">
        <is>
          <t>龚政涛</t>
        </is>
      </c>
      <c r="L49" s="3">
        <v>45547.962800925925</v>
      </c>
      <c r="M49" s="3"/>
      <c r="N49" s="3">
        <v>45722.71189814815</v>
      </c>
      <c r="O49" s="3"/>
      <c r="P49" s="3">
        <v>45722.71192129629</v>
      </c>
      <c r="Q49" s="2" t="str">
        <f>=HYPERLINK("https://applink.feishu.cn/client/todo/task_list?guid=4d92b9af-66d1-4cd7-95d1-4b753a64ca6b", "跃入迷城")</f>
        <v>跃入迷城</v>
      </c>
      <c r="R49" t="inlineStr">
        <is>
          <t>4d92b9af-66d1-4cd7-95d1-4b753a64ca6b</t>
        </is>
      </c>
      <c r="S49" t="inlineStr">
        <is>
          <t>bbfe8dd4-57d9-465e-8aac-2846446d61d4</t>
        </is>
      </c>
      <c r="T49">
        <v>0</v>
      </c>
      <c r="U49">
        <v>1</v>
      </c>
      <c r="V49" t="inlineStr">
        <is>
          <t>0.0.4</t>
        </is>
      </c>
      <c r="W49" t="inlineStr">
        <is>
          <t>已完成</t>
        </is>
      </c>
      <c r="X49"/>
      <c r="Y49" t="inlineStr">
        <is>
          <t>音乐</t>
        </is>
      </c>
      <c r="Z49" t="inlineStr">
        <is>
          <t>P1 - Bigger the Better</t>
        </is>
      </c>
      <c r="AA49"/>
      <c r="AB49"/>
      <c r="AC49"/>
      <c r="AD49" t="inlineStr">
        <is>
          <t>NzUzMjAzNDQ5ODk2NDY2ODQ0NDpiYmZlOGRkNC01N2Q5LTQ2NWUtOGFhYy0yODQ2NDQ2ZDYxZDQ6MzAwYWM5MzIzN2I1NGUzZGNlNGZlMjI5MzMwMGUwNmQ6MQ==</t>
        </is>
      </c>
      <c r="AE49"/>
    </row>
    <row r="50" ht="25.5" customHeight="1">
      <c r="A50" s="2" t="str">
        <f>=HYPERLINK("https://applink.feishu.cn/client/todo/detail?guid=c3f5ce16-4bd6-4887-95cb-23b5aa8b72b7&amp;suite_entity_num=t100066", "主控 -&gt; 平静")</f>
        <v>主控 -&gt; 平静</v>
      </c>
      <c r="B50"/>
      <c r="C50" t="inlineStr">
        <is>
          <t>默认分组</t>
        </is>
      </c>
      <c r="D50" t="inlineStr">
        <is>
          <t>1</t>
        </is>
      </c>
      <c r="E50" t="inlineStr">
        <is>
          <t>或签任务</t>
        </is>
      </c>
      <c r="F50"/>
      <c r="G50" t="inlineStr">
        <is>
          <t>0</t>
        </is>
      </c>
      <c r="H50"/>
      <c r="I50" t="inlineStr">
        <is>
          <t>Ke Huang</t>
        </is>
      </c>
      <c r="J50" t="inlineStr">
        <is>
          <t>龚政涛,Ke Huang</t>
        </is>
      </c>
      <c r="K50" t="inlineStr">
        <is>
          <t>龚政涛</t>
        </is>
      </c>
      <c r="L50" s="3">
        <v>45547.96226851852</v>
      </c>
      <c r="M50" s="3">
        <v>45600.333333333336</v>
      </c>
      <c r="N50" s="3">
        <v>45709.46045138889</v>
      </c>
      <c r="O50" s="3">
        <v>45613.333333333336</v>
      </c>
      <c r="P50" s="3">
        <v>45709.460393518515</v>
      </c>
      <c r="Q50" s="2" t="str">
        <f>=HYPERLINK("https://applink.feishu.cn/client/todo/task_list?guid=4d92b9af-66d1-4cd7-95d1-4b753a64ca6b", "跃入迷城")</f>
        <v>跃入迷城</v>
      </c>
      <c r="R50" t="inlineStr">
        <is>
          <t>4d92b9af-66d1-4cd7-95d1-4b753a64ca6b</t>
        </is>
      </c>
      <c r="S50" t="inlineStr">
        <is>
          <t>c3f5ce16-4bd6-4887-95cb-23b5aa8b72b7</t>
        </is>
      </c>
      <c r="T50">
        <v>0</v>
      </c>
      <c r="U50">
        <v>0</v>
      </c>
      <c r="V50" t="inlineStr">
        <is>
          <t>0.0.2</t>
        </is>
      </c>
      <c r="W50" t="inlineStr">
        <is>
          <t>已废弃</t>
        </is>
      </c>
      <c r="X50"/>
      <c r="Y50" t="inlineStr">
        <is>
          <t>平面美术</t>
        </is>
      </c>
      <c r="Z50"/>
      <c r="AA50" t="inlineStr">
        <is>
          <t>b7cfccc1-156b-42a0-a1b2-09a78bb5222d</t>
        </is>
      </c>
      <c r="AB50"/>
      <c r="AC50"/>
      <c r="AD50" t="inlineStr">
        <is>
          <t>NzUzMjAzNDQ5ODk2NDY2ODQ0NDpjM2Y1Y2UxNi00YmQ2LTQ4ODctOTVjYi0yM2I1YWE4YjcyYjc6ZjM1ZDM4ZjBhZTkxMjEwNWI1M2JjNTlmYjgzYjEwNmM6MQ==</t>
        </is>
      </c>
      <c r="AE50"/>
    </row>
    <row r="51" ht="25.5" customHeight="1">
      <c r="A51" s="2" t="str">
        <f>=HYPERLINK("https://applink.feishu.cn/client/todo/detail?guid=5ce4699a-6708-4b2b-b244-fee020d02a38&amp;suite_entity_num=t100071", "需要指导get一下perforce工程")</f>
        <v>需要指导get一下perforce工程</v>
      </c>
      <c r="B51"/>
      <c r="C51" t="inlineStr">
        <is>
          <t>默认分组</t>
        </is>
      </c>
      <c r="D51" t="inlineStr">
        <is>
          <t>1</t>
        </is>
      </c>
      <c r="E51" t="inlineStr">
        <is>
          <t>或签任务</t>
        </is>
      </c>
      <c r="F51"/>
      <c r="G51" t="inlineStr">
        <is>
          <t>0</t>
        </is>
      </c>
      <c r="H51"/>
      <c r="I51" t="inlineStr">
        <is>
          <t>龚政涛</t>
        </is>
      </c>
      <c r="J51" t="inlineStr">
        <is>
          <t>龚政涛</t>
        </is>
      </c>
      <c r="K51" t="inlineStr">
        <is>
          <t>龚政涛</t>
        </is>
      </c>
      <c r="L51" s="3">
        <v>45547.96252314815</v>
      </c>
      <c r="M51" s="3"/>
      <c r="N51" s="3">
        <v>45709.464594907404</v>
      </c>
      <c r="O51" s="3"/>
      <c r="P51" s="3">
        <v>45709.464537037034</v>
      </c>
      <c r="Q51" s="2" t="str">
        <f>=HYPERLINK("https://applink.feishu.cn/client/todo/task_list?guid=4d92b9af-66d1-4cd7-95d1-4b753a64ca6b", "跃入迷城")</f>
        <v>跃入迷城</v>
      </c>
      <c r="R51" t="inlineStr">
        <is>
          <t>4d92b9af-66d1-4cd7-95d1-4b753a64ca6b</t>
        </is>
      </c>
      <c r="S51" t="inlineStr">
        <is>
          <t>5ce4699a-6708-4b2b-b244-fee020d02a38</t>
        </is>
      </c>
      <c r="T51">
        <v>0</v>
      </c>
      <c r="U51">
        <v>0</v>
      </c>
      <c r="V51" t="inlineStr">
        <is>
          <t>0.1.0</t>
        </is>
      </c>
      <c r="W51" t="inlineStr">
        <is>
          <t>已废弃</t>
        </is>
      </c>
      <c r="X51"/>
      <c r="Y51" t="inlineStr">
        <is>
          <t>音乐</t>
        </is>
      </c>
      <c r="Z51" t="inlineStr">
        <is>
          <t>P1 - Bigger the Better</t>
        </is>
      </c>
      <c r="AA51"/>
      <c r="AB51"/>
      <c r="AC51"/>
      <c r="AD51" t="inlineStr">
        <is>
          <t>NzUzMjAzNDQ5ODk2NDY2ODQ0NDo1Y2U0Njk5YS02NzA4LTRiMmItYjI0NC1mZWUwMjBkMDJhMzg6ZThlYmE3YTQ0MDI1ZmQwMzAzZWM5NjY2N2E0M2E1MTY6MQ==</t>
        </is>
      </c>
      <c r="AE51"/>
    </row>
    <row r="52" ht="25.5" customHeight="1">
      <c r="A52" s="2" t="str">
        <f>=HYPERLINK("https://applink.feishu.cn/client/todo/detail?guid=c044a80f-de0c-4b90-acef-a6493e6baf82&amp;suite_entity_num=t100069", "面具要找一下灵感")</f>
        <v>面具要找一下灵感</v>
      </c>
      <c r="B52"/>
      <c r="C52" t="inlineStr">
        <is>
          <t>默认分组</t>
        </is>
      </c>
      <c r="D52" t="inlineStr">
        <is>
          <t>1</t>
        </is>
      </c>
      <c r="E52" t="inlineStr">
        <is>
          <t>或签任务</t>
        </is>
      </c>
      <c r="F52"/>
      <c r="G52" t="inlineStr">
        <is>
          <t>0</t>
        </is>
      </c>
      <c r="H52"/>
      <c r="I52" t="inlineStr">
        <is>
          <t>龚政涛</t>
        </is>
      </c>
      <c r="J52" t="inlineStr">
        <is>
          <t>龚政涛</t>
        </is>
      </c>
      <c r="K52" t="inlineStr">
        <is>
          <t>龚政涛</t>
        </is>
      </c>
      <c r="L52" s="3">
        <v>45547.96230324074</v>
      </c>
      <c r="M52" s="3"/>
      <c r="N52" s="3">
        <v>45709.4603587963</v>
      </c>
      <c r="O52" s="3"/>
      <c r="P52" s="3">
        <v>45709.46030092592</v>
      </c>
      <c r="Q52" s="2" t="str">
        <f>=HYPERLINK("https://applink.feishu.cn/client/todo/task_list?guid=4d92b9af-66d1-4cd7-95d1-4b753a64ca6b", "跃入迷城")</f>
        <v>跃入迷城</v>
      </c>
      <c r="R52" t="inlineStr">
        <is>
          <t>4d92b9af-66d1-4cd7-95d1-4b753a64ca6b</t>
        </is>
      </c>
      <c r="S52" t="inlineStr">
        <is>
          <t>c044a80f-de0c-4b90-acef-a6493e6baf82</t>
        </is>
      </c>
      <c r="T52">
        <v>0</v>
      </c>
      <c r="U52">
        <v>1</v>
      </c>
      <c r="V52" t="inlineStr">
        <is>
          <t>0.0.3</t>
        </is>
      </c>
      <c r="W52" t="inlineStr">
        <is>
          <t>已废弃</t>
        </is>
      </c>
      <c r="X52"/>
      <c r="Y52" t="inlineStr">
        <is>
          <t>平面美术</t>
        </is>
      </c>
      <c r="Z52" t="inlineStr">
        <is>
          <t>P1 - Bigger the Better</t>
        </is>
      </c>
      <c r="AA52"/>
      <c r="AB52"/>
      <c r="AC52"/>
      <c r="AD52" t="inlineStr">
        <is>
          <t>NzUzMjAzNDQ5ODk2NDY2ODQ0NDpjMDQ0YTgwZi1kZTBjLTRiOTAtYWNlZi1hNjQ5M2U2YmFmODI6MjQ0NzBmMzMwNWQ2MjUxZmNiZDVhM2U0YzliZGNiNDI6MQ==</t>
        </is>
      </c>
      <c r="AE52"/>
    </row>
    <row r="53" ht="25.5" customHeight="1">
      <c r="A53" s="2" t="str">
        <f>=HYPERLINK("https://applink.feishu.cn/client/todo/detail?guid=9569697e-9971-4f4e-8588-0c61fccb52f3&amp;suite_entity_num=t100076", "定义音效事件")</f>
        <v>定义音效事件</v>
      </c>
      <c r="B53"/>
      <c r="C53" t="inlineStr">
        <is>
          <t>默认分组</t>
        </is>
      </c>
      <c r="D53" t="inlineStr">
        <is>
          <t>1</t>
        </is>
      </c>
      <c r="E53" t="inlineStr">
        <is>
          <t>或签任务</t>
        </is>
      </c>
      <c r="F53"/>
      <c r="G53" t="inlineStr">
        <is>
          <t>0</t>
        </is>
      </c>
      <c r="H53"/>
      <c r="I53" t="inlineStr">
        <is>
          <t>龚政涛,苏祺恒</t>
        </is>
      </c>
      <c r="J53" t="inlineStr">
        <is>
          <t>龚政涛,苏祺恒</t>
        </is>
      </c>
      <c r="K53" t="inlineStr">
        <is>
          <t>龚政涛</t>
        </is>
      </c>
      <c r="L53" s="3">
        <v>45547.96282407407</v>
      </c>
      <c r="M53" s="3"/>
      <c r="N53" s="3">
        <v>45557.976006944446</v>
      </c>
      <c r="O53" s="3">
        <v>45549.333333333336</v>
      </c>
      <c r="P53" s="3">
        <v>45557.976006944446</v>
      </c>
      <c r="Q53" s="2" t="str">
        <f>=HYPERLINK("https://applink.feishu.cn/client/todo/task_list?guid=4d92b9af-66d1-4cd7-95d1-4b753a64ca6b", "跃入迷城")</f>
        <v>跃入迷城</v>
      </c>
      <c r="R53" t="inlineStr">
        <is>
          <t>4d92b9af-66d1-4cd7-95d1-4b753a64ca6b</t>
        </is>
      </c>
      <c r="S53" t="inlineStr">
        <is>
          <t>9569697e-9971-4f4e-8588-0c61fccb52f3</t>
        </is>
      </c>
      <c r="T53">
        <v>0</v>
      </c>
      <c r="U53">
        <v>1</v>
      </c>
      <c r="V53" t="inlineStr">
        <is>
          <t>0.0.2</t>
        </is>
      </c>
      <c r="W53" t="inlineStr">
        <is>
          <t>已废弃</t>
        </is>
      </c>
      <c r="X53"/>
      <c r="Y53" t="inlineStr">
        <is>
          <t>音乐</t>
        </is>
      </c>
      <c r="Z53"/>
      <c r="AA53"/>
      <c r="AB53"/>
      <c r="AC53"/>
      <c r="AD53" t="inlineStr">
        <is>
          <t>NzUzMjAzNDQ5ODk2NDY2ODQ0NDo5NTY5Njk3ZS05OTcxLTRmNGUtODU4OC0wYzYxZmNjYjUyZjM6YmExYTM1ZTMxZjc1ZGY0ZDk5OTRhMTM0M2JhNzFjOGY6MQ==</t>
        </is>
      </c>
      <c r="AE53"/>
    </row>
    <row r="54" ht="25.5" customHeight="1">
      <c r="A54" s="2" t="str">
        <f>=HYPERLINK("https://applink.feishu.cn/client/todo/detail?guid=cd8f1d90-142d-4c2d-8f9e-16694c26707c&amp;suite_entity_num=t100074", "通过perforce下载工程")</f>
        <v>通过perforce下载工程</v>
      </c>
      <c r="B54"/>
      <c r="C54" t="inlineStr">
        <is>
          <t>默认分组</t>
        </is>
      </c>
      <c r="D54" t="inlineStr">
        <is>
          <t>1</t>
        </is>
      </c>
      <c r="E54" t="inlineStr">
        <is>
          <t>或签任务</t>
        </is>
      </c>
      <c r="F54"/>
      <c r="G54" t="inlineStr">
        <is>
          <t>0</t>
        </is>
      </c>
      <c r="H54"/>
      <c r="I54" t="inlineStr">
        <is>
          <t>李奕慧</t>
        </is>
      </c>
      <c r="J54" t="inlineStr">
        <is>
          <t>龚政涛,李奕慧</t>
        </is>
      </c>
      <c r="K54" t="inlineStr">
        <is>
          <t>龚政涛</t>
        </is>
      </c>
      <c r="L54" s="3">
        <v>45547.96265046296</v>
      </c>
      <c r="M54" s="3">
        <v>45539.333333333336</v>
      </c>
      <c r="N54" s="3">
        <v>45651.62917824074</v>
      </c>
      <c r="O54" s="3">
        <v>45543.333333333336</v>
      </c>
      <c r="P54" s="3">
        <v>45651.62918981481</v>
      </c>
      <c r="Q54" s="2" t="str">
        <f>=HYPERLINK("https://applink.feishu.cn/client/todo/task_list?guid=4d92b9af-66d1-4cd7-95d1-4b753a64ca6b", "跃入迷城")</f>
        <v>跃入迷城</v>
      </c>
      <c r="R54" t="inlineStr">
        <is>
          <t>4d92b9af-66d1-4cd7-95d1-4b753a64ca6b</t>
        </is>
      </c>
      <c r="S54" t="inlineStr">
        <is>
          <t>cd8f1d90-142d-4c2d-8f9e-16694c26707c</t>
        </is>
      </c>
      <c r="T54">
        <v>0</v>
      </c>
      <c r="U54">
        <v>0</v>
      </c>
      <c r="V54" t="inlineStr">
        <is>
          <t>0.0.2</t>
        </is>
      </c>
      <c r="W54" t="inlineStr">
        <is>
          <t>已废弃</t>
        </is>
      </c>
      <c r="X54"/>
      <c r="Y54" t="inlineStr">
        <is>
          <t>音乐</t>
        </is>
      </c>
      <c r="Z54" t="inlineStr">
        <is>
          <t>P1 - Bigger the Better</t>
        </is>
      </c>
      <c r="AA54" t="inlineStr">
        <is>
          <t>80575ebf-cd9b-4493-bfa4-9e4105d91cb6</t>
        </is>
      </c>
      <c r="AB54"/>
      <c r="AC54"/>
      <c r="AD54" t="inlineStr">
        <is>
          <t>NzUzMjAzNDQ5ODk2NDY2ODQ0NDpjZDhmMWQ5MC0xNDJkLTRjMmQtOGY5ZS0xNjY5NGMyNjcwN2M6OTNjNzVkMDY0ZWE3M2RkNTQ2MDM4NTJiY2Y4NTg2Yzc6MQ==</t>
        </is>
      </c>
      <c r="AE54"/>
    </row>
    <row r="55" ht="25.5" customHeight="1">
      <c r="A55" s="2" t="str">
        <f>=HYPERLINK("https://applink.feishu.cn/client/todo/detail?guid=56398eca-341b-48ce-841e-814bde1b3f8f&amp;suite_entity_num=t100060", "对话菜单：简化")</f>
        <v>对话菜单：简化</v>
      </c>
      <c r="B55"/>
      <c r="C55" t="inlineStr">
        <is>
          <t>默认分组</t>
        </is>
      </c>
      <c r="D55" t="inlineStr">
        <is>
          <t>1</t>
        </is>
      </c>
      <c r="E55" t="inlineStr">
        <is>
          <t>或签任务</t>
        </is>
      </c>
      <c r="F55"/>
      <c r="G55" t="inlineStr">
        <is>
          <t>0</t>
        </is>
      </c>
      <c r="H55"/>
      <c r="I55" t="inlineStr">
        <is>
          <t>龚政涛,Zoey</t>
        </is>
      </c>
      <c r="J55" t="inlineStr">
        <is>
          <t>龚政涛,Zoey,薛远临</t>
        </is>
      </c>
      <c r="K55" t="inlineStr">
        <is>
          <t>龚政涛</t>
        </is>
      </c>
      <c r="L55" s="3">
        <v>45547.9537037037</v>
      </c>
      <c r="M55" s="3"/>
      <c r="N55" s="3">
        <v>45865.93670138889</v>
      </c>
      <c r="O55" s="3"/>
      <c r="P55" s="3">
        <v>45866.68956018519</v>
      </c>
      <c r="Q55" s="2" t="str">
        <f>=HYPERLINK("https://applink.feishu.cn/client/todo/task_list?guid=4d92b9af-66d1-4cd7-95d1-4b753a64ca6b", "跃入迷城")</f>
        <v>跃入迷城</v>
      </c>
      <c r="R55" t="inlineStr">
        <is>
          <t>4d92b9af-66d1-4cd7-95d1-4b753a64ca6b</t>
        </is>
      </c>
      <c r="S55" t="inlineStr">
        <is>
          <t>56398eca-341b-48ce-841e-814bde1b3f8f</t>
        </is>
      </c>
      <c r="T55">
        <v>0</v>
      </c>
      <c r="U55">
        <v>0</v>
      </c>
      <c r="V55" t="inlineStr">
        <is>
          <t>0.0.5</t>
        </is>
      </c>
      <c r="W55" t="inlineStr">
        <is>
          <t>已废弃</t>
        </is>
      </c>
      <c r="X55"/>
      <c r="Y55" t="inlineStr">
        <is>
          <t>UIUX</t>
        </is>
      </c>
      <c r="Z55" t="inlineStr">
        <is>
          <t>P1 - Bigger the Better</t>
        </is>
      </c>
      <c r="AA55"/>
      <c r="AB55"/>
      <c r="AC55"/>
      <c r="AD55" t="inlineStr">
        <is>
          <t>NzUzMjAzNDQ5ODk2NDY2ODQ0NDo1NjM5OGVjYS0zNDFiLTQ4Y2UtODQxZS04MTRiZGUxYjNmOGY6Zjc1N2I5ZmM4ZTExZTEyN2Y2NDY2MmM3NzM2MTgwMDY6MQ==</t>
        </is>
      </c>
      <c r="AE55"/>
    </row>
    <row r="56" ht="25.5" customHeight="1">
      <c r="A56" s="2" t="str">
        <f>=HYPERLINK("https://applink.feishu.cn/client/todo/detail?guid=f56594d0-adb0-4fcc-8013-125f6b961fc0&amp;suite_entity_num=t100077", "“游民”夏洛特 &lt; 角色插图制作")</f>
        <v>“游民”夏洛特 &lt; 角色插图制作</v>
      </c>
      <c r="B56"/>
      <c r="C56" t="inlineStr">
        <is>
          <t>默认分组</t>
        </is>
      </c>
      <c r="D56" t="inlineStr">
        <is>
          <t>0</t>
        </is>
      </c>
      <c r="E56" t="inlineStr">
        <is>
          <t>或签任务</t>
        </is>
      </c>
      <c r="F56"/>
      <c r="G56" t="inlineStr">
        <is>
          <t>0</t>
        </is>
      </c>
      <c r="H56"/>
      <c r="I56" t="inlineStr">
        <is>
          <t>Ke Huang</t>
        </is>
      </c>
      <c r="J56" t="inlineStr">
        <is>
          <t>龚政涛,Ke Huang</t>
        </is>
      </c>
      <c r="K56" t="inlineStr">
        <is>
          <t>龚政涛</t>
        </is>
      </c>
      <c r="L56" s="3">
        <v>45547.96444444444</v>
      </c>
      <c r="M56" s="3"/>
      <c r="N56" s="3"/>
      <c r="O56" s="3"/>
      <c r="P56" s="3">
        <v>45895.480787037035</v>
      </c>
      <c r="Q56" s="2" t="str">
        <f>=HYPERLINK("https://applink.feishu.cn/client/todo/task_list?guid=4d92b9af-66d1-4cd7-95d1-4b753a64ca6b", "跃入迷城")</f>
        <v>跃入迷城</v>
      </c>
      <c r="R56" t="inlineStr">
        <is>
          <t>4d92b9af-66d1-4cd7-95d1-4b753a64ca6b</t>
        </is>
      </c>
      <c r="S56" t="inlineStr">
        <is>
          <t>f56594d0-adb0-4fcc-8013-125f6b961fc0</t>
        </is>
      </c>
      <c r="T56">
        <v>0</v>
      </c>
      <c r="U56">
        <v>0</v>
      </c>
      <c r="V56" t="inlineStr">
        <is>
          <t>0.0.5</t>
        </is>
      </c>
      <c r="W56" t="inlineStr">
        <is>
          <t>已拆分</t>
        </is>
      </c>
      <c r="X56" t="inlineStr">
        <is>
          <t>🎨艺术</t>
        </is>
      </c>
      <c r="Y56" t="inlineStr">
        <is>
          <t>平面美术</t>
        </is>
      </c>
      <c r="Z56" t="inlineStr">
        <is>
          <t>P1 - Bigger the Better</t>
        </is>
      </c>
      <c r="AA56"/>
      <c r="AB56"/>
      <c r="AC56" t="inlineStr">
        <is>
          <t>cffa4f2c-fb50-49e2-aad9-4a85adbe2690</t>
        </is>
      </c>
      <c r="AD56" t="inlineStr">
        <is>
          <t>NzUzMjAzNDQ5ODk2NDY2ODQ0NDpmNTY1OTRkMC1hZGIwLTRmY2MtODAxMy0xMjVmNmI5NjFmYzA6ZTU0NWNhODZiYjYzYzA4MmYwNTI5ZGNmZjZhN2M5ZDM6MQ==</t>
        </is>
      </c>
      <c r="AE56"/>
    </row>
    <row r="57" ht="25.5" customHeight="1">
      <c r="A57" s="2" t="str">
        <f>=HYPERLINK("https://applink.feishu.cn/client/todo/detail?guid=b7cfccc1-156b-42a0-a1b2-09a78bb5222d&amp;suite_entity_num=t100065", "风格化paint over")</f>
        <v>风格化paint over</v>
      </c>
      <c r="B57"/>
      <c r="C57" t="inlineStr">
        <is>
          <t>默认分组</t>
        </is>
      </c>
      <c r="D57" t="inlineStr">
        <is>
          <t>1</t>
        </is>
      </c>
      <c r="E57" t="inlineStr">
        <is>
          <t>或签任务</t>
        </is>
      </c>
      <c r="F57"/>
      <c r="G57" t="inlineStr">
        <is>
          <t>0</t>
        </is>
      </c>
      <c r="H57"/>
      <c r="I57" t="inlineStr">
        <is>
          <t>Ke Huang</t>
        </is>
      </c>
      <c r="J57" t="inlineStr">
        <is>
          <t>龚政涛,Ke Huang</t>
        </is>
      </c>
      <c r="K57" t="inlineStr">
        <is>
          <t>龚政涛</t>
        </is>
      </c>
      <c r="L57" s="3">
        <v>45547.96219907407</v>
      </c>
      <c r="M57" s="3">
        <v>45546.333333333336</v>
      </c>
      <c r="N57" s="3">
        <v>45709.46238425926</v>
      </c>
      <c r="O57" s="3">
        <v>45599.333333333336</v>
      </c>
      <c r="P57" s="3">
        <v>45709.462326388886</v>
      </c>
      <c r="Q57" s="2" t="str">
        <f>=HYPERLINK("https://applink.feishu.cn/client/todo/task_list?guid=4d92b9af-66d1-4cd7-95d1-4b753a64ca6b", "跃入迷城")</f>
        <v>跃入迷城</v>
      </c>
      <c r="R57" t="inlineStr">
        <is>
          <t>4d92b9af-66d1-4cd7-95d1-4b753a64ca6b</t>
        </is>
      </c>
      <c r="S57" t="inlineStr">
        <is>
          <t>b7cfccc1-156b-42a0-a1b2-09a78bb5222d</t>
        </is>
      </c>
      <c r="T57">
        <v>0</v>
      </c>
      <c r="U57">
        <v>1</v>
      </c>
      <c r="V57" t="inlineStr">
        <is>
          <t>0.0.4</t>
        </is>
      </c>
      <c r="W57" t="inlineStr">
        <is>
          <t>已完成</t>
        </is>
      </c>
      <c r="X57"/>
      <c r="Y57" t="inlineStr">
        <is>
          <t>平面美术</t>
        </is>
      </c>
      <c r="Z57" t="inlineStr">
        <is>
          <t>P0 - Must (not) Have</t>
        </is>
      </c>
      <c r="AA57"/>
      <c r="AB57" t="inlineStr">
        <is>
          <t>c3f5ce16-4bd6-4887-95cb-23b5aa8b72b7</t>
        </is>
      </c>
      <c r="AC57"/>
      <c r="AD57" t="inlineStr">
        <is>
          <t>NzUzMjAzNDQ5ODk2NDY2ODQ0NDpiN2NmY2NjMS0xNTZiLTQyYTAtYTFiMi0wOWE3OGJiNTIyMmQ6NTZmZmJiZTExZjVkZGU2YjIyY2NlNDBmYjdiM2I0MTM6MQ==</t>
        </is>
      </c>
      <c r="AE57"/>
    </row>
    <row r="58" ht="25.5" customHeight="1">
      <c r="A58" s="2" t="str">
        <f>=HYPERLINK("https://applink.feishu.cn/client/todo/detail?guid=aacda95c-7266-4901-8900-72e8030d8891&amp;suite_entity_num=t100061", "整体配色：先统一，然后再整体调整")</f>
        <v>整体配色：先统一，然后再整体调整</v>
      </c>
      <c r="B58"/>
      <c r="C58" t="inlineStr">
        <is>
          <t>默认分组</t>
        </is>
      </c>
      <c r="D58" t="inlineStr">
        <is>
          <t>1</t>
        </is>
      </c>
      <c r="E58" t="inlineStr">
        <is>
          <t>或签任务</t>
        </is>
      </c>
      <c r="F58"/>
      <c r="G58" t="inlineStr">
        <is>
          <t>0</t>
        </is>
      </c>
      <c r="H58"/>
      <c r="I58" t="inlineStr">
        <is>
          <t>Zoey,龚政涛</t>
        </is>
      </c>
      <c r="J58" t="inlineStr">
        <is>
          <t>龚政涛,Zoey,薛远临</t>
        </is>
      </c>
      <c r="K58" t="inlineStr">
        <is>
          <t>龚政涛</t>
        </is>
      </c>
      <c r="L58" s="3">
        <v>45547.953784722224</v>
      </c>
      <c r="M58" s="3"/>
      <c r="N58" s="3">
        <v>45865.93646990741</v>
      </c>
      <c r="O58" s="3"/>
      <c r="P58" s="3">
        <v>45866.68952546296</v>
      </c>
      <c r="Q58" s="2" t="str">
        <f>=HYPERLINK("https://applink.feishu.cn/client/todo/task_list?guid=4d92b9af-66d1-4cd7-95d1-4b753a64ca6b", "跃入迷城")</f>
        <v>跃入迷城</v>
      </c>
      <c r="R58" t="inlineStr">
        <is>
          <t>4d92b9af-66d1-4cd7-95d1-4b753a64ca6b</t>
        </is>
      </c>
      <c r="S58" t="inlineStr">
        <is>
          <t>aacda95c-7266-4901-8900-72e8030d8891</t>
        </is>
      </c>
      <c r="T58">
        <v>0</v>
      </c>
      <c r="U58">
        <v>0</v>
      </c>
      <c r="V58" t="inlineStr">
        <is>
          <t>0.0.5</t>
        </is>
      </c>
      <c r="W58" t="inlineStr">
        <is>
          <t>已废弃</t>
        </is>
      </c>
      <c r="X58"/>
      <c r="Y58" t="inlineStr">
        <is>
          <t>UIUX</t>
        </is>
      </c>
      <c r="Z58" t="inlineStr">
        <is>
          <t>P1 - Bigger the Better</t>
        </is>
      </c>
      <c r="AA58"/>
      <c r="AB58"/>
      <c r="AC58"/>
      <c r="AD58" t="inlineStr">
        <is>
          <t>NzUzMjAzNDQ5ODk2NDY2ODQ0NDphYWNkYTk1Yy03MjY2LTQ5MDEtODkwMC03MmU4MDMwZDg4OTE6YmZlMWIzMTVkYjg2ZmM5ODQ4MWMzYjk5M2FjMTIyZjk6MQ==</t>
        </is>
      </c>
      <c r="AE58"/>
    </row>
    <row r="59" ht="25.5" customHeight="1">
      <c r="A59" s="2" t="str">
        <f>=HYPERLINK("https://applink.feishu.cn/client/todo/detail?guid=d14a7b89-956e-4d03-8eac-868b20f3cbf7&amp;suite_entity_num=t100059", "可交互对象的高亮小点应该always存在，在玩家移动到交互box内转变为{F}键的提示")</f>
        <v>可交互对象的高亮小点应该always存在，在玩家移动到交互box内转变为{F}键的提示</v>
      </c>
      <c r="B59"/>
      <c r="C59" t="inlineStr">
        <is>
          <t>默认分组</t>
        </is>
      </c>
      <c r="D59" t="inlineStr">
        <is>
          <t>1</t>
        </is>
      </c>
      <c r="E59" t="inlineStr">
        <is>
          <t>或签任务</t>
        </is>
      </c>
      <c r="F59"/>
      <c r="G59" t="inlineStr">
        <is>
          <t>0</t>
        </is>
      </c>
      <c r="H59"/>
      <c r="I59" t="inlineStr">
        <is>
          <t>Decay</t>
        </is>
      </c>
      <c r="J59" t="inlineStr">
        <is>
          <t>Decay,龚政涛</t>
        </is>
      </c>
      <c r="K59" t="inlineStr">
        <is>
          <t>龚政涛</t>
        </is>
      </c>
      <c r="L59" s="3">
        <v>45547.95347222222</v>
      </c>
      <c r="M59" s="3"/>
      <c r="N59" s="3">
        <v>45730.6878125</v>
      </c>
      <c r="O59" s="3"/>
      <c r="P59" s="3">
        <v>45730.6878125</v>
      </c>
      <c r="Q59" s="2" t="str">
        <f>=HYPERLINK("https://applink.feishu.cn/client/todo/task_list?guid=4d92b9af-66d1-4cd7-95d1-4b753a64ca6b", "跃入迷城")</f>
        <v>跃入迷城</v>
      </c>
      <c r="R59" t="inlineStr">
        <is>
          <t>4d92b9af-66d1-4cd7-95d1-4b753a64ca6b</t>
        </is>
      </c>
      <c r="S59" t="inlineStr">
        <is>
          <t>d14a7b89-956e-4d03-8eac-868b20f3cbf7</t>
        </is>
      </c>
      <c r="T59">
        <v>0</v>
      </c>
      <c r="U59">
        <v>4</v>
      </c>
      <c r="V59" t="inlineStr">
        <is>
          <t>0.0.4</t>
        </is>
      </c>
      <c r="W59" t="inlineStr">
        <is>
          <t>已完成</t>
        </is>
      </c>
      <c r="X59"/>
      <c r="Y59" t="inlineStr">
        <is>
          <t>UIUX</t>
        </is>
      </c>
      <c r="Z59" t="inlineStr">
        <is>
          <t>P0 - Must (not) Have</t>
        </is>
      </c>
      <c r="AA59"/>
      <c r="AB59"/>
      <c r="AC59"/>
      <c r="AD59" t="inlineStr">
        <is>
          <t>NzUzMjAzNDQ5ODk2NDY2ODQ0NDpkMTRhN2I4OS05NTZlLTRkMDMtOGVhYy04NjhiMjBmM2NiZjc6YWRjMWI1ZmI2MzNmMjY4YWRlYmZiZTRlYTU5NGUzNTg6MQ==</t>
        </is>
      </c>
      <c r="AE59"/>
    </row>
    <row r="60" ht="25.5" customHeight="1">
      <c r="A60" s="2" t="str">
        <f>=HYPERLINK("https://applink.feishu.cn/client/todo/detail?guid=02d674fa-120d-4427-bc7f-95ce553e5b4f&amp;suite_entity_num=t100064", "字体的场景定义")</f>
        <v>字体的场景定义</v>
      </c>
      <c r="B60"/>
      <c r="C60" t="inlineStr">
        <is>
          <t>默认分组</t>
        </is>
      </c>
      <c r="D60" t="inlineStr">
        <is>
          <t>1</t>
        </is>
      </c>
      <c r="E60" t="inlineStr">
        <is>
          <t>或签任务</t>
        </is>
      </c>
      <c r="F60"/>
      <c r="G60" t="inlineStr">
        <is>
          <t>0</t>
        </is>
      </c>
      <c r="H60"/>
      <c r="I60" t="inlineStr">
        <is>
          <t>龚政涛</t>
        </is>
      </c>
      <c r="J60" t="inlineStr">
        <is>
          <t>龚政涛</t>
        </is>
      </c>
      <c r="K60" t="inlineStr">
        <is>
          <t>龚政涛</t>
        </is>
      </c>
      <c r="L60" s="3">
        <v>45547.95482638889</v>
      </c>
      <c r="M60" s="3">
        <v>45866.333333333336</v>
      </c>
      <c r="N60" s="3">
        <v>45867.49704861111</v>
      </c>
      <c r="O60" s="3">
        <v>45866.333333333336</v>
      </c>
      <c r="P60" s="3">
        <v>45867.49704861111</v>
      </c>
      <c r="Q60" s="2" t="str">
        <f>=HYPERLINK("https://applink.feishu.cn/client/todo/task_list?guid=4d92b9af-66d1-4cd7-95d1-4b753a64ca6b", "跃入迷城")</f>
        <v>跃入迷城</v>
      </c>
      <c r="R60" t="inlineStr">
        <is>
          <t>4d92b9af-66d1-4cd7-95d1-4b753a64ca6b</t>
        </is>
      </c>
      <c r="S60" t="inlineStr">
        <is>
          <t>02d674fa-120d-4427-bc7f-95ce553e5b4f</t>
        </is>
      </c>
      <c r="T60">
        <v>0</v>
      </c>
      <c r="U60">
        <v>0</v>
      </c>
      <c r="V60" t="inlineStr">
        <is>
          <t>0.0.5</t>
        </is>
      </c>
      <c r="W60" t="inlineStr">
        <is>
          <t>已拆分</t>
        </is>
      </c>
      <c r="X60" t="inlineStr">
        <is>
          <t>🎨艺术</t>
        </is>
      </c>
      <c r="Y60" t="inlineStr">
        <is>
          <t>UIUX</t>
        </is>
      </c>
      <c r="Z60" t="inlineStr">
        <is>
          <t>P2 - Nice to Have</t>
        </is>
      </c>
      <c r="AA60" t="inlineStr">
        <is>
          <t>c08b809c-ce26-4c9f-a6a5-b500c4266b7e</t>
        </is>
      </c>
      <c r="AB60" t="inlineStr">
        <is>
          <t>f356c602-6674-45f1-9900-0a242a2920dd</t>
        </is>
      </c>
      <c r="AC60"/>
      <c r="AD60" t="inlineStr">
        <is>
          <t>NzUzMjAzNDQ5ODk2NDY2ODQ0NDowMmQ2NzRmYS0xMjBkLTQ0MjctYmM3Zi05NWNlNTUzZTViNGY6Y2EwMDA3MmVjZmNkODY1YmFiYzU2MTQyMTcwYWZhNzk6MQ==</t>
        </is>
      </c>
      <c r="AE60"/>
    </row>
    <row r="61" ht="25.5" customHeight="1">
      <c r="A61" s="2" t="str">
        <f>=HYPERLINK("https://applink.feishu.cn/client/todo/detail?guid=4c86a907-aafc-440f-bfef-25ccde6def31&amp;suite_entity_num=t100068", "主控 -&gt; 消沉")</f>
        <v>主控 -&gt; 消沉</v>
      </c>
      <c r="B61"/>
      <c r="C61" t="inlineStr">
        <is>
          <t>默认分组</t>
        </is>
      </c>
      <c r="D61" t="inlineStr">
        <is>
          <t>1</t>
        </is>
      </c>
      <c r="E61" t="inlineStr">
        <is>
          <t>或签任务</t>
        </is>
      </c>
      <c r="F61"/>
      <c r="G61" t="inlineStr">
        <is>
          <t>0</t>
        </is>
      </c>
      <c r="H61"/>
      <c r="I61" t="inlineStr">
        <is>
          <t>Ke Huang</t>
        </is>
      </c>
      <c r="J61" t="inlineStr">
        <is>
          <t>龚政涛,Ke Huang</t>
        </is>
      </c>
      <c r="K61" t="inlineStr">
        <is>
          <t>龚政涛</t>
        </is>
      </c>
      <c r="L61" s="3">
        <v>45547.96229166666</v>
      </c>
      <c r="M61" s="3"/>
      <c r="N61" s="3">
        <v>45709.46331018519</v>
      </c>
      <c r="O61" s="3"/>
      <c r="P61" s="3">
        <v>45709.46325231482</v>
      </c>
      <c r="Q61" s="2" t="str">
        <f>=HYPERLINK("https://applink.feishu.cn/client/todo/task_list?guid=4d92b9af-66d1-4cd7-95d1-4b753a64ca6b", "跃入迷城")</f>
        <v>跃入迷城</v>
      </c>
      <c r="R61" t="inlineStr">
        <is>
          <t>4d92b9af-66d1-4cd7-95d1-4b753a64ca6b</t>
        </is>
      </c>
      <c r="S61" t="inlineStr">
        <is>
          <t>4c86a907-aafc-440f-bfef-25ccde6def31</t>
        </is>
      </c>
      <c r="T61">
        <v>0</v>
      </c>
      <c r="U61">
        <v>0</v>
      </c>
      <c r="V61" t="inlineStr">
        <is>
          <t>0.0.2</t>
        </is>
      </c>
      <c r="W61" t="inlineStr">
        <is>
          <t>已废弃</t>
        </is>
      </c>
      <c r="X61"/>
      <c r="Y61" t="inlineStr">
        <is>
          <t>平面美术</t>
        </is>
      </c>
      <c r="Z61"/>
      <c r="AA61"/>
      <c r="AB61"/>
      <c r="AC61"/>
      <c r="AD61" t="inlineStr">
        <is>
          <t>NzUzMjAzNDQ5ODk2NDY2ODQ0NDo0Yzg2YTkwNy1hYWZjLTQ0MGYtYmZlZi0yNWNjZGU2ZGVmMzE6YjQzYjU3MmYxOWQ0MGJhZDI2ODcwNDAxN2I2ZWQ1MGY6MQ==</t>
        </is>
      </c>
      <c r="AE61"/>
    </row>
    <row r="62" ht="25.5" customHeight="1">
      <c r="A62" s="2" t="str">
        <f>=HYPERLINK("https://applink.feishu.cn/client/todo/detail?guid=212391de-1e1b-4757-aa5f-31df647ce767&amp;suite_entity_num=t100032", "撰写AI近战逻辑")</f>
        <v>撰写AI近战逻辑</v>
      </c>
      <c r="B62"/>
      <c r="C62" t="inlineStr">
        <is>
          <t>默认分组</t>
        </is>
      </c>
      <c r="D62" t="inlineStr">
        <is>
          <t>1</t>
        </is>
      </c>
      <c r="E62" t="inlineStr">
        <is>
          <t>或签任务</t>
        </is>
      </c>
      <c r="F62"/>
      <c r="G62" t="inlineStr">
        <is>
          <t>0</t>
        </is>
      </c>
      <c r="H62"/>
      <c r="I62" t="inlineStr">
        <is>
          <t>龚政涛</t>
        </is>
      </c>
      <c r="J62" t="inlineStr">
        <is>
          <t>龚政涛</t>
        </is>
      </c>
      <c r="K62" t="inlineStr">
        <is>
          <t>龚政涛</t>
        </is>
      </c>
      <c r="L62" s="3">
        <v>45538.93965277778</v>
      </c>
      <c r="M62" s="3"/>
      <c r="N62" s="3">
        <v>45542.93655092592</v>
      </c>
      <c r="O62" s="3">
        <v>45541.333333333336</v>
      </c>
      <c r="P62" s="3">
        <v>45548.44398148148</v>
      </c>
      <c r="Q62" s="2" t="str">
        <f>=HYPERLINK("https://applink.feishu.cn/client/todo/task_list?guid=4d92b9af-66d1-4cd7-95d1-4b753a64ca6b", "跃入迷城")</f>
        <v>跃入迷城</v>
      </c>
      <c r="R62" t="inlineStr">
        <is>
          <t>4d92b9af-66d1-4cd7-95d1-4b753a64ca6b</t>
        </is>
      </c>
      <c r="S62" t="inlineStr">
        <is>
          <t>212391de-1e1b-4757-aa5f-31df647ce767</t>
        </is>
      </c>
      <c r="T62">
        <v>0</v>
      </c>
      <c r="U62">
        <v>0</v>
      </c>
      <c r="V62" t="inlineStr">
        <is>
          <t>0.0.2</t>
        </is>
      </c>
      <c r="W62" t="inlineStr">
        <is>
          <t>已完成</t>
        </is>
      </c>
      <c r="X62"/>
      <c r="Y62" t="inlineStr">
        <is>
          <t>操作</t>
        </is>
      </c>
      <c r="Z62"/>
      <c r="AA62"/>
      <c r="AB62"/>
      <c r="AC62"/>
      <c r="AD62" t="inlineStr">
        <is>
          <t>NzUzMjAzNDQ5ODk2NDY2ODQ0NDoyMTIzOTFkZS0xZTFiLTQ3NTctYWE1Zi0zMWRmNjQ3Y2U3Njc6ODdjNzEyN2Q5ZWNhNjZlMDJhZmZjMDA1YTdiMGNhMzQ6MQ==</t>
        </is>
      </c>
      <c r="AE62"/>
    </row>
    <row r="63" ht="25.5" customHeight="1">
      <c r="A63" s="2" t="str">
        <f>=HYPERLINK("https://applink.feishu.cn/client/todo/detail?guid=a63a2313-4f8e-4f67-a33d-24ebc8cc498b&amp;suite_entity_num=t100085", "远程：AI基于和玩家的距离决定移动情况（EQS）")</f>
        <v>远程：AI基于和玩家的距离决定移动情况（EQS）</v>
      </c>
      <c r="B63"/>
      <c r="C63" t="inlineStr">
        <is>
          <t>默认分组</t>
        </is>
      </c>
      <c r="D63" t="inlineStr">
        <is>
          <t>1</t>
        </is>
      </c>
      <c r="E63" t="inlineStr">
        <is>
          <t>或签任务</t>
        </is>
      </c>
      <c r="F63"/>
      <c r="G63" t="inlineStr">
        <is>
          <t>0</t>
        </is>
      </c>
      <c r="H63"/>
      <c r="I63" t="inlineStr">
        <is>
          <t>李少秋</t>
        </is>
      </c>
      <c r="J63" t="inlineStr">
        <is>
          <t>龚政涛,李少秋</t>
        </is>
      </c>
      <c r="K63" t="inlineStr">
        <is>
          <t>龚政涛</t>
        </is>
      </c>
      <c r="L63" s="3">
        <v>45550.68760416667</v>
      </c>
      <c r="M63" s="3">
        <v>45608.333333333336</v>
      </c>
      <c r="N63" s="3">
        <v>45611.67988425926</v>
      </c>
      <c r="O63" s="3">
        <v>45608.333333333336</v>
      </c>
      <c r="P63" s="3">
        <v>45611.67988425926</v>
      </c>
      <c r="Q63" s="2" t="str">
        <f>=HYPERLINK("https://applink.feishu.cn/client/todo/task_list?guid=4d92b9af-66d1-4cd7-95d1-4b753a64ca6b", "跃入迷城")</f>
        <v>跃入迷城</v>
      </c>
      <c r="R63" t="inlineStr">
        <is>
          <t>4d92b9af-66d1-4cd7-95d1-4b753a64ca6b</t>
        </is>
      </c>
      <c r="S63" t="inlineStr">
        <is>
          <t>a63a2313-4f8e-4f67-a33d-24ebc8cc498b</t>
        </is>
      </c>
      <c r="T63">
        <v>0</v>
      </c>
      <c r="U63">
        <v>1</v>
      </c>
      <c r="V63" t="inlineStr">
        <is>
          <t>0.0.3</t>
        </is>
      </c>
      <c r="W63" t="inlineStr">
        <is>
          <t>已完成</t>
        </is>
      </c>
      <c r="X63"/>
      <c r="Y63" t="inlineStr">
        <is>
          <t>AI</t>
        </is>
      </c>
      <c r="Z63" t="inlineStr">
        <is>
          <t>P1 - Bigger the Better</t>
        </is>
      </c>
      <c r="AA63" t="inlineStr">
        <is>
          <t>5e24ead2-1482-4889-9310-40e376d81b28</t>
        </is>
      </c>
      <c r="AB63"/>
      <c r="AC63"/>
      <c r="AD63" t="inlineStr">
        <is>
          <t>NzUzMjAzNDQ5ODk2NDY2ODQ0NDphNjNhMjMxMy00ZjhlLTRmNjctYTMzZC0yNGViYzhjYzQ5OGI6ZGQwMWVlMjg3NTJlMTI0NWE4ZDY3M2JiZmE0M2E4OTE6MQ==</t>
        </is>
      </c>
      <c r="AE63"/>
    </row>
    <row r="64" ht="25.5" customHeight="1">
      <c r="A64" s="2" t="str">
        <f>=HYPERLINK("https://applink.feishu.cn/client/todo/detail?guid=6358e1ae-30aa-4967-9990-890cbd5c867b&amp;suite_entity_num=t100093", "UUID管理")</f>
        <v>UUID管理</v>
      </c>
      <c r="B64"/>
      <c r="C64" t="inlineStr">
        <is>
          <t>默认分组</t>
        </is>
      </c>
      <c r="D64" t="inlineStr">
        <is>
          <t>0</t>
        </is>
      </c>
      <c r="E64" t="inlineStr">
        <is>
          <t>或签任务</t>
        </is>
      </c>
      <c r="F64"/>
      <c r="G64" t="inlineStr">
        <is>
          <t>0</t>
        </is>
      </c>
      <c r="H64"/>
      <c r="I64" t="inlineStr">
        <is>
          <t>Decay</t>
        </is>
      </c>
      <c r="J64" t="inlineStr">
        <is>
          <t>Decay</t>
        </is>
      </c>
      <c r="K64" t="inlineStr">
        <is>
          <t>Decay</t>
        </is>
      </c>
      <c r="L64" s="3">
        <v>45555.091840277775</v>
      </c>
      <c r="M64" s="3"/>
      <c r="N64" s="3"/>
      <c r="O64" s="3"/>
      <c r="P64" s="3">
        <v>45727.473912037036</v>
      </c>
      <c r="Q64" s="2" t="str">
        <f>=HYPERLINK("https://applink.feishu.cn/client/todo/task_list?guid=4d92b9af-66d1-4cd7-95d1-4b753a64ca6b", "跃入迷城")</f>
        <v>跃入迷城</v>
      </c>
      <c r="R64" t="inlineStr">
        <is>
          <t>4d92b9af-66d1-4cd7-95d1-4b753a64ca6b</t>
        </is>
      </c>
      <c r="S64" t="inlineStr">
        <is>
          <t>6358e1ae-30aa-4967-9990-890cbd5c867b</t>
        </is>
      </c>
      <c r="T64">
        <v>0</v>
      </c>
      <c r="U64">
        <v>4</v>
      </c>
      <c r="V64" t="inlineStr">
        <is>
          <t>0.1.0</t>
        </is>
      </c>
      <c r="W64" t="inlineStr">
        <is>
          <t>已拆分</t>
        </is>
      </c>
      <c r="X64"/>
      <c r="Y64" t="inlineStr">
        <is>
          <t>程序底层</t>
        </is>
      </c>
      <c r="Z64" t="inlineStr">
        <is>
          <t>P2 - Nice to Have</t>
        </is>
      </c>
      <c r="AA64"/>
      <c r="AB64"/>
      <c r="AC64"/>
      <c r="AD64" t="inlineStr">
        <is>
          <t>NzUzMjAzNDQ5ODk2NDY2ODQ0NDo2MzU4ZTFhZS0zMGFhLTQ5NjctOTk5MC04OTBjYmQ1Yzg2N2I6MDNhZWQxYjM0NGNkYjkxNWMwZTM1MTQ5MzQ0MzQxMTQ6MQ==</t>
        </is>
      </c>
      <c r="AE64"/>
    </row>
    <row r="65" ht="25.5" customHeight="1">
      <c r="A65" s="2" t="str">
        <f>=HYPERLINK("https://applink.feishu.cn/client/todo/detail?guid=01229674-47e6-4565-89b4-2fb54f86c327&amp;suite_entity_num=t100127", "掉落系统依旧可以存在，但我还是觉得从敌人尸体身上拾取更为合理，因为和奖励机器交互的逻辑保持了一致，减少玩家的学习曲线/成本")</f>
        <v>掉落系统依旧可以存在，但我还是觉得从敌人尸体身上拾取更为合理，因为和奖励机器交互的逻辑保持了一致，减少玩家的学习曲线/成本</v>
      </c>
      <c r="B65"/>
      <c r="C65" t="inlineStr">
        <is>
          <t>默认分组</t>
        </is>
      </c>
      <c r="D65" t="inlineStr">
        <is>
          <t>1</t>
        </is>
      </c>
      <c r="E65" t="inlineStr">
        <is>
          <t>或签任务</t>
        </is>
      </c>
      <c r="F65"/>
      <c r="G65" t="inlineStr">
        <is>
          <t>0</t>
        </is>
      </c>
      <c r="H65"/>
      <c r="I65" t="inlineStr">
        <is>
          <t>Decay</t>
        </is>
      </c>
      <c r="J65" t="inlineStr">
        <is>
          <t>龚政涛,Decay</t>
        </is>
      </c>
      <c r="K65" t="inlineStr">
        <is>
          <t>龚政涛</t>
        </is>
      </c>
      <c r="L65" s="3">
        <v>45558.46162037037</v>
      </c>
      <c r="M65" s="3"/>
      <c r="N65" s="3">
        <v>45572.601064814815</v>
      </c>
      <c r="O65" s="3"/>
      <c r="P65" s="3">
        <v>45572.60115740741</v>
      </c>
      <c r="Q65" s="2" t="str">
        <f>=HYPERLINK("https://applink.feishu.cn/client/todo/task_list?guid=4d92b9af-66d1-4cd7-95d1-4b753a64ca6b", "跃入迷城")</f>
        <v>跃入迷城</v>
      </c>
      <c r="R65" t="inlineStr">
        <is>
          <t>4d92b9af-66d1-4cd7-95d1-4b753a64ca6b</t>
        </is>
      </c>
      <c r="S65" t="inlineStr">
        <is>
          <t>01229674-47e6-4565-89b4-2fb54f86c327</t>
        </is>
      </c>
      <c r="T65">
        <v>0</v>
      </c>
      <c r="U65">
        <v>6</v>
      </c>
      <c r="V65" t="inlineStr">
        <is>
          <t>0.0.2</t>
        </is>
      </c>
      <c r="W65" t="inlineStr">
        <is>
          <t>已完成</t>
        </is>
      </c>
      <c r="X65"/>
      <c r="Y65" t="inlineStr">
        <is>
          <t>操作</t>
        </is>
      </c>
      <c r="Z65"/>
      <c r="AA65"/>
      <c r="AB65"/>
      <c r="AC65"/>
      <c r="AD65" t="inlineStr">
        <is>
          <t>NzUzMjAzNDQ5ODk2NDY2ODQ0NDowMTIyOTY3NC00N2U2LTQ1NjUtODliNC0yZmI1NGY4NmMzMjc6ZThmMjk3Njc1NGNkMDI5NWM2NzFkNWEzNDQzZDk4ZTA6MQ==</t>
        </is>
      </c>
      <c r="AE65"/>
    </row>
    <row r="66" ht="25.5" customHeight="1">
      <c r="A66" s="2" t="str">
        <f>=HYPERLINK("https://applink.feishu.cn/client/todo/detail?guid=1e6e4e4d-d2a9-44fb-b37c-18e5d2d49ac8&amp;suite_entity_num=t100125", "敌人掉落物似乎没有必要？尝试更多的奖励机器（子弹贩卖机、信用金库）而敌人不掉落子弹和信用点")</f>
        <v>敌人掉落物似乎没有必要？尝试更多的奖励机器（子弹贩卖机、信用金库）而敌人不掉落子弹和信用点</v>
      </c>
      <c r="B66"/>
      <c r="C66" t="inlineStr">
        <is>
          <t>默认分组</t>
        </is>
      </c>
      <c r="D66" t="inlineStr">
        <is>
          <t>1</t>
        </is>
      </c>
      <c r="E66" t="inlineStr">
        <is>
          <t>或签任务</t>
        </is>
      </c>
      <c r="F66"/>
      <c r="G66" t="inlineStr">
        <is>
          <t>0</t>
        </is>
      </c>
      <c r="H66"/>
      <c r="I66" t="inlineStr">
        <is>
          <t>苏祺恒,龚政涛</t>
        </is>
      </c>
      <c r="J66" t="inlineStr">
        <is>
          <t>苏祺恒,龚政涛</t>
        </is>
      </c>
      <c r="K66" t="inlineStr">
        <is>
          <t>龚政涛</t>
        </is>
      </c>
      <c r="L66" s="3">
        <v>45558.460185185184</v>
      </c>
      <c r="M66" s="3"/>
      <c r="N66" s="3">
        <v>45631.72078703704</v>
      </c>
      <c r="O66" s="3"/>
      <c r="P66" s="3">
        <v>45631.72079861111</v>
      </c>
      <c r="Q66" s="2" t="str">
        <f>=HYPERLINK("https://applink.feishu.cn/client/todo/task_list?guid=4d92b9af-66d1-4cd7-95d1-4b753a64ca6b", "跃入迷城")</f>
        <v>跃入迷城</v>
      </c>
      <c r="R66" t="inlineStr">
        <is>
          <t>4d92b9af-66d1-4cd7-95d1-4b753a64ca6b</t>
        </is>
      </c>
      <c r="S66" t="inlineStr">
        <is>
          <t>1e6e4e4d-d2a9-44fb-b37c-18e5d2d49ac8</t>
        </is>
      </c>
      <c r="T66">
        <v>0</v>
      </c>
      <c r="U66">
        <v>1</v>
      </c>
      <c r="V66" t="inlineStr">
        <is>
          <t>0.0.3</t>
        </is>
      </c>
      <c r="W66" t="inlineStr">
        <is>
          <t>已废弃</t>
        </is>
      </c>
      <c r="X66"/>
      <c r="Y66" t="inlineStr">
        <is>
          <t>关卡</t>
        </is>
      </c>
      <c r="Z66" t="inlineStr">
        <is>
          <t>P2 - Nice to Have</t>
        </is>
      </c>
      <c r="AA66"/>
      <c r="AB66"/>
      <c r="AC66"/>
      <c r="AD66" t="inlineStr">
        <is>
          <t>NzUzMjAzNDQ5ODk2NDY2ODQ0NDoxZTZlNGU0ZC1kMmE5LTQ0ZmItYjM3Yy0xOGU1ZDJkNDlhYzg6MDZhMjlkMDEyM2Q3NTE4MGMwM2IwNjdhMDM2MzM5ZDE6MQ==</t>
        </is>
      </c>
      <c r="AE66"/>
    </row>
    <row r="67" ht="25.5" customHeight="1">
      <c r="A67" s="2" t="str">
        <f>=HYPERLINK("https://applink.feishu.cn/client/todo/detail?guid=b8534a42-992e-4ee2-aa35-57c577f81cab&amp;suite_entity_num=t100080", "劳旅 -&gt; 浩 - 模糊")</f>
        <v>劳旅 -&gt; 浩 - 模糊</v>
      </c>
      <c r="B67"/>
      <c r="C67" t="inlineStr">
        <is>
          <t>默认分组</t>
        </is>
      </c>
      <c r="D67" t="inlineStr">
        <is>
          <t>1</t>
        </is>
      </c>
      <c r="E67" t="inlineStr">
        <is>
          <t>或签任务</t>
        </is>
      </c>
      <c r="F67"/>
      <c r="G67" t="inlineStr">
        <is>
          <t>0</t>
        </is>
      </c>
      <c r="H67"/>
      <c r="I67" t="inlineStr">
        <is>
          <t>Ke Huang</t>
        </is>
      </c>
      <c r="J67" t="inlineStr">
        <is>
          <t>龚政涛,Ke Huang</t>
        </is>
      </c>
      <c r="K67" t="inlineStr">
        <is>
          <t>龚政涛</t>
        </is>
      </c>
      <c r="L67" s="3">
        <v>45547.964479166665</v>
      </c>
      <c r="M67" s="3"/>
      <c r="N67" s="3">
        <v>45709.45982638889</v>
      </c>
      <c r="O67" s="3"/>
      <c r="P67" s="3">
        <v>45709.45976851852</v>
      </c>
      <c r="Q67" s="2" t="str">
        <f>=HYPERLINK("https://applink.feishu.cn/client/todo/task_list?guid=4d92b9af-66d1-4cd7-95d1-4b753a64ca6b", "跃入迷城")</f>
        <v>跃入迷城</v>
      </c>
      <c r="R67" t="inlineStr">
        <is>
          <t>4d92b9af-66d1-4cd7-95d1-4b753a64ca6b</t>
        </is>
      </c>
      <c r="S67" t="inlineStr">
        <is>
          <t>b8534a42-992e-4ee2-aa35-57c577f81cab</t>
        </is>
      </c>
      <c r="T67">
        <v>0</v>
      </c>
      <c r="U67">
        <v>0</v>
      </c>
      <c r="V67" t="inlineStr">
        <is>
          <t>0.0.2</t>
        </is>
      </c>
      <c r="W67" t="inlineStr">
        <is>
          <t>已废弃</t>
        </is>
      </c>
      <c r="X67"/>
      <c r="Y67" t="inlineStr">
        <is>
          <t>平面美术</t>
        </is>
      </c>
      <c r="Z67" t="inlineStr">
        <is>
          <t>P2 - Nice to Have</t>
        </is>
      </c>
      <c r="AA67"/>
      <c r="AB67"/>
      <c r="AC67"/>
      <c r="AD67" t="inlineStr">
        <is>
          <t>NzUzMjAzNDQ5ODk2NDY2ODQ0NDpiODUzNGE0Mi05OTJlLTRlZTItYWEzNS01N2M1NzdmODFjYWI6YzdjYmE2MTNmNTE4MWU4YjY1MDUxZjY0MDgzNzQ1ZWM6MQ==</t>
        </is>
      </c>
      <c r="AE67"/>
    </row>
    <row r="68" ht="25.5" customHeight="1">
      <c r="A68" s="2" t="str">
        <f>=HYPERLINK("https://applink.feishu.cn/client/todo/detail?guid=104d8b4d-e85f-4732-b4f6-0fdee638a066&amp;suite_entity_num=t100118", "标准化素材文件夹/文档整理")</f>
        <v>标准化素材文件夹/文档整理</v>
      </c>
      <c r="B68"/>
      <c r="C68" t="inlineStr">
        <is>
          <t>默认分组</t>
        </is>
      </c>
      <c r="D68" t="inlineStr">
        <is>
          <t>1</t>
        </is>
      </c>
      <c r="E68" t="inlineStr">
        <is>
          <t>或签任务</t>
        </is>
      </c>
      <c r="F68"/>
      <c r="G68" t="inlineStr">
        <is>
          <t>0</t>
        </is>
      </c>
      <c r="H68"/>
      <c r="I68" t="inlineStr">
        <is>
          <t>龚政涛</t>
        </is>
      </c>
      <c r="J68" t="inlineStr">
        <is>
          <t>龚政涛</t>
        </is>
      </c>
      <c r="K68" t="inlineStr">
        <is>
          <t>龚政涛</t>
        </is>
      </c>
      <c r="L68" s="3">
        <v>45557.97539351852</v>
      </c>
      <c r="M68" s="3"/>
      <c r="N68" s="3">
        <v>45564.98475694445</v>
      </c>
      <c r="O68" s="3">
        <v>45564.333333333336</v>
      </c>
      <c r="P68" s="3">
        <v>45866.69315972222</v>
      </c>
      <c r="Q68" s="2" t="str">
        <f>=HYPERLINK("https://applink.feishu.cn/client/todo/task_list?guid=4d92b9af-66d1-4cd7-95d1-4b753a64ca6b", "跃入迷城")</f>
        <v>跃入迷城</v>
      </c>
      <c r="R68" t="inlineStr">
        <is>
          <t>4d92b9af-66d1-4cd7-95d1-4b753a64ca6b</t>
        </is>
      </c>
      <c r="S68" t="inlineStr">
        <is>
          <t>104d8b4d-e85f-4732-b4f6-0fdee638a066</t>
        </is>
      </c>
      <c r="T68">
        <v>0</v>
      </c>
      <c r="U68">
        <v>1</v>
      </c>
      <c r="V68" t="inlineStr">
        <is>
          <t>0.0.5</t>
        </is>
      </c>
      <c r="W68" t="inlineStr">
        <is>
          <t>工作中</t>
        </is>
      </c>
      <c r="X68" t="inlineStr">
        <is>
          <t>🛠️技术</t>
        </is>
      </c>
      <c r="Y68" t="inlineStr">
        <is>
          <t>项目管理</t>
        </is>
      </c>
      <c r="Z68" t="inlineStr">
        <is>
          <t>P0 - Must (not) Have</t>
        </is>
      </c>
      <c r="AA68"/>
      <c r="AB68"/>
      <c r="AC68"/>
      <c r="AD68" t="inlineStr">
        <is>
          <t>NzUzMjAzNDQ5ODk2NDY2ODQ0NDoxMDRkOGI0ZC1lODVmLTQ3MzItYjRmNi0wZmRlZTYzOGEwNjY6Yzk3NDA3NGIyOTljOThkM2Y1OTdlMzk1ZGZjMmNhNTE6MQ==</t>
        </is>
      </c>
      <c r="AE68"/>
    </row>
    <row r="69" ht="25.5" customHeight="1">
      <c r="A69" s="2" t="str">
        <f>=HYPERLINK("https://applink.feishu.cn/client/todo/detail?guid=ae26e954-aa5d-4e17-a893-621f9ee37f06&amp;suite_entity_num=t100122", "修复战争迷雾穿墙问题")</f>
        <v>修复战争迷雾穿墙问题</v>
      </c>
      <c r="B69"/>
      <c r="C69" t="inlineStr">
        <is>
          <t>默认分组</t>
        </is>
      </c>
      <c r="D69" t="inlineStr">
        <is>
          <t>1</t>
        </is>
      </c>
      <c r="E69" t="inlineStr">
        <is>
          <t>或签任务</t>
        </is>
      </c>
      <c r="F69"/>
      <c r="G69" t="inlineStr">
        <is>
          <t>0</t>
        </is>
      </c>
      <c r="H69"/>
      <c r="I69" t="inlineStr">
        <is>
          <t>成都TA小刘,Decay</t>
        </is>
      </c>
      <c r="J69" t="inlineStr">
        <is>
          <t>龚政涛,成都TA小刘,Decay</t>
        </is>
      </c>
      <c r="K69" t="inlineStr">
        <is>
          <t>龚政涛</t>
        </is>
      </c>
      <c r="L69" s="3">
        <v>45557.98800925926</v>
      </c>
      <c r="M69" s="3">
        <v>45669.333333333336</v>
      </c>
      <c r="N69" s="3">
        <v>45715.7049537037</v>
      </c>
      <c r="O69" s="3">
        <v>45672.333333333336</v>
      </c>
      <c r="P69" s="3">
        <v>45715.705</v>
      </c>
      <c r="Q69" s="2" t="str">
        <f>=HYPERLINK("https://applink.feishu.cn/client/todo/task_list?guid=4d92b9af-66d1-4cd7-95d1-4b753a64ca6b", "跃入迷城")</f>
        <v>跃入迷城</v>
      </c>
      <c r="R69" t="inlineStr">
        <is>
          <t>4d92b9af-66d1-4cd7-95d1-4b753a64ca6b</t>
        </is>
      </c>
      <c r="S69" t="inlineStr">
        <is>
          <t>ae26e954-aa5d-4e17-a893-621f9ee37f06</t>
        </is>
      </c>
      <c r="T69">
        <v>0</v>
      </c>
      <c r="U69">
        <v>2</v>
      </c>
      <c r="V69" t="inlineStr">
        <is>
          <t>0.0.4</t>
        </is>
      </c>
      <c r="W69" t="inlineStr">
        <is>
          <t>已完成</t>
        </is>
      </c>
      <c r="X69"/>
      <c r="Y69" t="inlineStr">
        <is>
          <t>平面美术</t>
        </is>
      </c>
      <c r="Z69" t="inlineStr">
        <is>
          <t>P0 - Must (not) Have</t>
        </is>
      </c>
      <c r="AA69"/>
      <c r="AB69"/>
      <c r="AC69"/>
      <c r="AD69" t="inlineStr">
        <is>
          <t>NzUzMjAzNDQ5ODk2NDY2ODQ0NDphZTI2ZTk1NC1hYTVkLTRlMTctYTg5My02MjFmOWVlMzdmMDY6OWQzZDRjNDc0OWQwYmM4YjNkNzczMTc5Y2VmY2M0M2M6MQ==</t>
        </is>
      </c>
      <c r="AE69"/>
    </row>
    <row r="70" ht="25.5" customHeight="1">
      <c r="A70" s="2" t="str">
        <f>=HYPERLINK("https://applink.feishu.cn/client/todo/detail?guid=5e24ead2-1482-4889-9310-40e376d81b28&amp;suite_entity_num=t100084", "AI在瞄准和移动状态间切换")</f>
        <v>AI在瞄准和移动状态间切换</v>
      </c>
      <c r="B70"/>
      <c r="C70" t="inlineStr">
        <is>
          <t>默认分组</t>
        </is>
      </c>
      <c r="D70" t="inlineStr">
        <is>
          <t>1</t>
        </is>
      </c>
      <c r="E70" t="inlineStr">
        <is>
          <t>或签任务</t>
        </is>
      </c>
      <c r="F70"/>
      <c r="G70" t="inlineStr">
        <is>
          <t>0</t>
        </is>
      </c>
      <c r="H70"/>
      <c r="I70" t="inlineStr">
        <is>
          <t>李少秋</t>
        </is>
      </c>
      <c r="J70" t="inlineStr">
        <is>
          <t>龚政涛,李少秋</t>
        </is>
      </c>
      <c r="K70" t="inlineStr">
        <is>
          <t>龚政涛</t>
        </is>
      </c>
      <c r="L70" s="3">
        <v>45550.68738425926</v>
      </c>
      <c r="M70" s="3">
        <v>45607.333333333336</v>
      </c>
      <c r="N70" s="3">
        <v>45639.611875</v>
      </c>
      <c r="O70" s="3">
        <v>45607.333333333336</v>
      </c>
      <c r="P70" s="3">
        <v>45639.61188657407</v>
      </c>
      <c r="Q70" s="2" t="str">
        <f>=HYPERLINK("https://applink.feishu.cn/client/todo/task_list?guid=4d92b9af-66d1-4cd7-95d1-4b753a64ca6b", "跃入迷城")</f>
        <v>跃入迷城</v>
      </c>
      <c r="R70" t="inlineStr">
        <is>
          <t>4d92b9af-66d1-4cd7-95d1-4b753a64ca6b</t>
        </is>
      </c>
      <c r="S70" t="inlineStr">
        <is>
          <t>5e24ead2-1482-4889-9310-40e376d81b28</t>
        </is>
      </c>
      <c r="T70">
        <v>0</v>
      </c>
      <c r="U70">
        <v>1</v>
      </c>
      <c r="V70" t="inlineStr">
        <is>
          <t>0.0.3</t>
        </is>
      </c>
      <c r="W70" t="inlineStr">
        <is>
          <t>已废弃</t>
        </is>
      </c>
      <c r="X70"/>
      <c r="Y70" t="inlineStr">
        <is>
          <t>AI</t>
        </is>
      </c>
      <c r="Z70" t="inlineStr">
        <is>
          <t>P1 - Bigger the Better</t>
        </is>
      </c>
      <c r="AA70"/>
      <c r="AB70" t="inlineStr">
        <is>
          <t>a63a2313-4f8e-4f67-a33d-24ebc8cc498b</t>
        </is>
      </c>
      <c r="AC70"/>
      <c r="AD70" t="inlineStr">
        <is>
          <t>NzUzMjAzNDQ5ODk2NDY2ODQ0NDo1ZTI0ZWFkMi0xNDgyLTQ4ODktOTMxMC00MGUzNzZkODFiMjg6YWQ4NjBlOGJjNDkyNWNkYzJhYzRhYjU0NmUyZmNmODk6MQ==</t>
        </is>
      </c>
      <c r="AE70"/>
    </row>
    <row r="71" ht="25.5" customHeight="1">
      <c r="A71" s="2" t="str">
        <f>=HYPERLINK("https://applink.feishu.cn/client/todo/detail?guid=19944a41-f843-4f35-bf2d-432bf2261267&amp;suite_entity_num=t100120", "测试继承的敌人")</f>
        <v>测试继承的敌人</v>
      </c>
      <c r="B71"/>
      <c r="C71" t="inlineStr">
        <is>
          <t>默认分组</t>
        </is>
      </c>
      <c r="D71" t="inlineStr">
        <is>
          <t>1</t>
        </is>
      </c>
      <c r="E71" t="inlineStr">
        <is>
          <t>或签任务</t>
        </is>
      </c>
      <c r="F71"/>
      <c r="G71" t="inlineStr">
        <is>
          <t>0</t>
        </is>
      </c>
      <c r="H71"/>
      <c r="I71" t="inlineStr">
        <is>
          <t>龚政涛</t>
        </is>
      </c>
      <c r="J71" t="inlineStr">
        <is>
          <t>龚政涛</t>
        </is>
      </c>
      <c r="K71" t="inlineStr">
        <is>
          <t>龚政涛</t>
        </is>
      </c>
      <c r="L71" s="3">
        <v>45557.97760416667</v>
      </c>
      <c r="M71" s="3"/>
      <c r="N71" s="3">
        <v>45563.004016203704</v>
      </c>
      <c r="O71" s="3">
        <v>45558.333333333336</v>
      </c>
      <c r="P71" s="3">
        <v>45727.4778125</v>
      </c>
      <c r="Q71" s="2" t="str">
        <f>=HYPERLINK("https://applink.feishu.cn/client/todo/task_list?guid=4d92b9af-66d1-4cd7-95d1-4b753a64ca6b", "跃入迷城")</f>
        <v>跃入迷城</v>
      </c>
      <c r="R71" t="inlineStr">
        <is>
          <t>4d92b9af-66d1-4cd7-95d1-4b753a64ca6b</t>
        </is>
      </c>
      <c r="S71" t="inlineStr">
        <is>
          <t>19944a41-f843-4f35-bf2d-432bf2261267</t>
        </is>
      </c>
      <c r="T71">
        <v>0</v>
      </c>
      <c r="U71">
        <v>0</v>
      </c>
      <c r="V71" t="inlineStr">
        <is>
          <t>0.0.2</t>
        </is>
      </c>
      <c r="W71" t="inlineStr">
        <is>
          <t>已完成</t>
        </is>
      </c>
      <c r="X71"/>
      <c r="Y71" t="inlineStr">
        <is>
          <t>操作</t>
        </is>
      </c>
      <c r="Z71" t="inlineStr">
        <is>
          <t>P0 - Must (not) Have</t>
        </is>
      </c>
      <c r="AA71"/>
      <c r="AB71"/>
      <c r="AC71"/>
      <c r="AD71" t="inlineStr">
        <is>
          <t>NzUzMjAzNDQ5ODk2NDY2ODQ0NDoxOTk0NGE0MS1mODQzLTRmMzUtYmYyZC00MzJiZjIyNjEyNjc6NmU2OWFhNDU3NTkyZGM1YmY2OTY0ZTQ2ZDdmZDY0ZDA6MQ==</t>
        </is>
      </c>
      <c r="AE71"/>
    </row>
    <row r="72" ht="25.5" customHeight="1">
      <c r="A72" s="2" t="str">
        <f>=HYPERLINK("https://applink.feishu.cn/client/todo/detail?guid=fc97efdb-c51d-4350-8763-ef5972371298&amp;suite_entity_num=t100121", "尝试创建一个更简单的关卡")</f>
        <v>尝试创建一个更简单的关卡</v>
      </c>
      <c r="B72"/>
      <c r="C72" t="inlineStr">
        <is>
          <t>默认分组</t>
        </is>
      </c>
      <c r="D72" t="inlineStr">
        <is>
          <t>1</t>
        </is>
      </c>
      <c r="E72" t="inlineStr">
        <is>
          <t>或签任务</t>
        </is>
      </c>
      <c r="F72"/>
      <c r="G72" t="inlineStr">
        <is>
          <t>0</t>
        </is>
      </c>
      <c r="H72"/>
      <c r="I72" t="inlineStr">
        <is>
          <t>龚政涛</t>
        </is>
      </c>
      <c r="J72" t="inlineStr">
        <is>
          <t>龚政涛</t>
        </is>
      </c>
      <c r="K72" t="inlineStr">
        <is>
          <t>龚政涛</t>
        </is>
      </c>
      <c r="L72" s="3">
        <v>45557.97777777778</v>
      </c>
      <c r="M72" s="3">
        <v>45558.333333333336</v>
      </c>
      <c r="N72" s="3">
        <v>45563.003958333335</v>
      </c>
      <c r="O72" s="3">
        <v>45558.333333333336</v>
      </c>
      <c r="P72" s="3">
        <v>45727.47788194445</v>
      </c>
      <c r="Q72" s="2" t="str">
        <f>=HYPERLINK("https://applink.feishu.cn/client/todo/task_list?guid=4d92b9af-66d1-4cd7-95d1-4b753a64ca6b", "跃入迷城")</f>
        <v>跃入迷城</v>
      </c>
      <c r="R72" t="inlineStr">
        <is>
          <t>4d92b9af-66d1-4cd7-95d1-4b753a64ca6b</t>
        </is>
      </c>
      <c r="S72" t="inlineStr">
        <is>
          <t>fc97efdb-c51d-4350-8763-ef5972371298</t>
        </is>
      </c>
      <c r="T72">
        <v>0</v>
      </c>
      <c r="U72">
        <v>0</v>
      </c>
      <c r="V72" t="inlineStr">
        <is>
          <t>0.0.2</t>
        </is>
      </c>
      <c r="W72" t="inlineStr">
        <is>
          <t>已废弃</t>
        </is>
      </c>
      <c r="X72"/>
      <c r="Y72" t="inlineStr">
        <is>
          <t>操作</t>
        </is>
      </c>
      <c r="Z72" t="inlineStr">
        <is>
          <t>P0 - Must (not) Have</t>
        </is>
      </c>
      <c r="AA72"/>
      <c r="AB72"/>
      <c r="AC72"/>
      <c r="AD72" t="inlineStr">
        <is>
          <t>NzUzMjAzNDQ5ODk2NDY2ODQ0NDpmYzk3ZWZkYi1jNTFkLTQzNTAtODc2My1lZjU5NzIzNzEyOTg6ZGUwNzYxMWQ5N2VlM2RmNjczMzQ2MzY3ODA0Y2IxZGY6MQ==</t>
        </is>
      </c>
      <c r="AE72"/>
    </row>
    <row r="73" ht="25.5" customHeight="1">
      <c r="A73" s="2" t="str">
        <f>=HYPERLINK("https://applink.feishu.cn/client/todo/detail?guid=fc4a6d1d-0578-4e7f-bbfa-9e2e5cc49f3b&amp;suite_entity_num=t100083", "撰写了一个python脚本，可以严格按照规则生成UUID")</f>
        <v>撰写了一个python脚本，可以严格按照规则生成UUID</v>
      </c>
      <c r="B73"/>
      <c r="C73" t="inlineStr">
        <is>
          <t>默认分组</t>
        </is>
      </c>
      <c r="D73" t="inlineStr">
        <is>
          <t>1</t>
        </is>
      </c>
      <c r="E73" t="inlineStr">
        <is>
          <t>或签任务</t>
        </is>
      </c>
      <c r="F73"/>
      <c r="G73" t="inlineStr">
        <is>
          <t>0</t>
        </is>
      </c>
      <c r="H73"/>
      <c r="I73" t="inlineStr">
        <is>
          <t>龚政涛</t>
        </is>
      </c>
      <c r="J73" t="inlineStr">
        <is>
          <t>龚政涛,Decay</t>
        </is>
      </c>
      <c r="K73" t="inlineStr">
        <is>
          <t>龚政涛</t>
        </is>
      </c>
      <c r="L73" s="3">
        <v>45550.09018518519</v>
      </c>
      <c r="M73" s="3"/>
      <c r="N73" s="3">
        <v>45566.62810185185</v>
      </c>
      <c r="O73" s="3">
        <v>45550.333333333336</v>
      </c>
      <c r="P73" s="3">
        <v>45727.471597222226</v>
      </c>
      <c r="Q73" s="2" t="str">
        <f>=HYPERLINK("https://applink.feishu.cn/client/todo/task_list?guid=4d92b9af-66d1-4cd7-95d1-4b753a64ca6b", "跃入迷城")</f>
        <v>跃入迷城</v>
      </c>
      <c r="R73" t="inlineStr">
        <is>
          <t>4d92b9af-66d1-4cd7-95d1-4b753a64ca6b</t>
        </is>
      </c>
      <c r="S73" t="inlineStr">
        <is>
          <t>fc4a6d1d-0578-4e7f-bbfa-9e2e5cc49f3b</t>
        </is>
      </c>
      <c r="T73">
        <v>0</v>
      </c>
      <c r="U73">
        <v>1</v>
      </c>
      <c r="V73" t="inlineStr">
        <is>
          <t>0.0.2</t>
        </is>
      </c>
      <c r="W73" t="inlineStr">
        <is>
          <t>已完成</t>
        </is>
      </c>
      <c r="X73"/>
      <c r="Y73" t="inlineStr">
        <is>
          <t>项目管理</t>
        </is>
      </c>
      <c r="Z73" t="inlineStr">
        <is>
          <t>P2 - Nice to Have</t>
        </is>
      </c>
      <c r="AA73"/>
      <c r="AB73"/>
      <c r="AC73"/>
      <c r="AD73" t="inlineStr">
        <is>
          <t>NzUzMjAzNDQ5ODk2NDY2ODQ0NDpmYzRhNmQxZC0wNTc4LTRlN2YtYmJmYS05ZTJlNWNjNDlmM2I6OWY4OGI1MGIyMTg0OTIwMWE0ZDU1OTllMTFiNTM2MGI6MQ==</t>
        </is>
      </c>
      <c r="AE73"/>
    </row>
    <row r="74" ht="25.5" customHeight="1">
      <c r="A74" s="2" t="str">
        <f>=HYPERLINK("https://applink.feishu.cn/client/todo/detail?guid=e0673395-426d-4071-a06c-f7d01c34516f&amp;suite_entity_num=t100078", "劳旅 -&gt; 广播")</f>
        <v>劳旅 -&gt; 广播</v>
      </c>
      <c r="B74"/>
      <c r="C74" t="inlineStr">
        <is>
          <t>默认分组</t>
        </is>
      </c>
      <c r="D74" t="inlineStr">
        <is>
          <t>1</t>
        </is>
      </c>
      <c r="E74" t="inlineStr">
        <is>
          <t>或签任务</t>
        </is>
      </c>
      <c r="F74"/>
      <c r="G74" t="inlineStr">
        <is>
          <t>0</t>
        </is>
      </c>
      <c r="H74"/>
      <c r="I74" t="inlineStr">
        <is>
          <t>Ke Huang</t>
        </is>
      </c>
      <c r="J74" t="inlineStr">
        <is>
          <t>龚政涛,Ke Huang</t>
        </is>
      </c>
      <c r="K74" t="inlineStr">
        <is>
          <t>龚政涛</t>
        </is>
      </c>
      <c r="L74" s="3">
        <v>45547.96445601852</v>
      </c>
      <c r="M74" s="3"/>
      <c r="N74" s="3">
        <v>45709.460069444445</v>
      </c>
      <c r="O74" s="3"/>
      <c r="P74" s="3">
        <v>45709.460011574076</v>
      </c>
      <c r="Q74" s="2" t="str">
        <f>=HYPERLINK("https://applink.feishu.cn/client/todo/task_list?guid=4d92b9af-66d1-4cd7-95d1-4b753a64ca6b", "跃入迷城")</f>
        <v>跃入迷城</v>
      </c>
      <c r="R74" t="inlineStr">
        <is>
          <t>4d92b9af-66d1-4cd7-95d1-4b753a64ca6b</t>
        </is>
      </c>
      <c r="S74" t="inlineStr">
        <is>
          <t>e0673395-426d-4071-a06c-f7d01c34516f</t>
        </is>
      </c>
      <c r="T74">
        <v>0</v>
      </c>
      <c r="U74">
        <v>0</v>
      </c>
      <c r="V74" t="inlineStr">
        <is>
          <t>0.0.2</t>
        </is>
      </c>
      <c r="W74" t="inlineStr">
        <is>
          <t>已废弃</t>
        </is>
      </c>
      <c r="X74"/>
      <c r="Y74" t="inlineStr">
        <is>
          <t>平面美术</t>
        </is>
      </c>
      <c r="Z74" t="inlineStr">
        <is>
          <t>P2 - Nice to Have</t>
        </is>
      </c>
      <c r="AA74"/>
      <c r="AB74"/>
      <c r="AC74"/>
      <c r="AD74" t="inlineStr">
        <is>
          <t>NzUzMjAzNDQ5ODk2NDY2ODQ0NDplMDY3MzM5NS00MjZkLTQwNzEtYTA2Yy1mN2QwMWMzNDUxNmY6MWEyYWE4MGZiMGVmZWM2ODJkZGIzOGIzNDM5NGMyNzk6MQ==</t>
        </is>
      </c>
      <c r="AE74"/>
    </row>
    <row r="75" ht="25.5" customHeight="1">
      <c r="A75" s="2" t="str">
        <f>=HYPERLINK("https://applink.feishu.cn/client/todo/detail?guid=cfc5d40f-a75e-4936-a36c-1e924df44f52&amp;suite_entity_num=t100126", "电梯权限在最后一个敌人死后直接给玩家，而非拾取电梯卡获得")</f>
        <v>电梯权限在最后一个敌人死后直接给玩家，而非拾取电梯卡获得</v>
      </c>
      <c r="B75"/>
      <c r="C75" t="inlineStr">
        <is>
          <t>默认分组</t>
        </is>
      </c>
      <c r="D75" t="inlineStr">
        <is>
          <t>1</t>
        </is>
      </c>
      <c r="E75" t="inlineStr">
        <is>
          <t>或签任务</t>
        </is>
      </c>
      <c r="F75"/>
      <c r="G75" t="inlineStr">
        <is>
          <t>0</t>
        </is>
      </c>
      <c r="H75"/>
      <c r="I75" t="inlineStr">
        <is>
          <t>Decay</t>
        </is>
      </c>
      <c r="J75" t="inlineStr">
        <is>
          <t>龚政涛,Decay</t>
        </is>
      </c>
      <c r="K75" t="inlineStr">
        <is>
          <t>龚政涛</t>
        </is>
      </c>
      <c r="L75" s="3">
        <v>45558.46160879629</v>
      </c>
      <c r="M75" s="3"/>
      <c r="N75" s="3">
        <v>45572.57577546296</v>
      </c>
      <c r="O75" s="3"/>
      <c r="P75" s="3">
        <v>45572.57579861111</v>
      </c>
      <c r="Q75" s="2" t="str">
        <f>=HYPERLINK("https://applink.feishu.cn/client/todo/task_list?guid=4d92b9af-66d1-4cd7-95d1-4b753a64ca6b", "跃入迷城")</f>
        <v>跃入迷城</v>
      </c>
      <c r="R75" t="inlineStr">
        <is>
          <t>4d92b9af-66d1-4cd7-95d1-4b753a64ca6b</t>
        </is>
      </c>
      <c r="S75" t="inlineStr">
        <is>
          <t>cfc5d40f-a75e-4936-a36c-1e924df44f52</t>
        </is>
      </c>
      <c r="T75">
        <v>0</v>
      </c>
      <c r="U75">
        <v>5</v>
      </c>
      <c r="V75" t="inlineStr">
        <is>
          <t>0.0.2</t>
        </is>
      </c>
      <c r="W75" t="inlineStr">
        <is>
          <t>已完成</t>
        </is>
      </c>
      <c r="X75"/>
      <c r="Y75" t="inlineStr">
        <is>
          <t>操作</t>
        </is>
      </c>
      <c r="Z75"/>
      <c r="AA75"/>
      <c r="AB75"/>
      <c r="AC75"/>
      <c r="AD75" t="inlineStr">
        <is>
          <t>NzUzMjAzNDQ5ODk2NDY2ODQ0NDpjZmM1ZDQwZi1hNzVlLTQ5MzYtYTM2Yy0xZTkyNGRmNDRmNTI6MTk1MTcwMGYwNzE4NDViNjNiNDc5YmQ0OTEzNmNmNDc6MQ==</t>
        </is>
      </c>
      <c r="AE75"/>
    </row>
    <row r="76" ht="25.5" customHeight="1">
      <c r="A76" s="2" t="str">
        <f>=HYPERLINK("https://applink.feishu.cn/client/todo/detail?guid=e0270770-3368-48c3-adb9-7b9f5a43eea9&amp;suite_entity_num=t100092", "通用：敌人的攻击次数应该是2个输入，分别是攻击次数/持续时长随机范围的上限和下限")</f>
        <v>通用：敌人的攻击次数应该是2个输入，分别是攻击次数/持续时长随机范围的上限和下限</v>
      </c>
      <c r="B76" t="inlineStr">
        <is>
          <t>[Image]这里Duration用于自动武器、Count用于半自动武器</t>
        </is>
      </c>
      <c r="C76" t="inlineStr">
        <is>
          <t>默认分组</t>
        </is>
      </c>
      <c r="D76" t="inlineStr">
        <is>
          <t>1</t>
        </is>
      </c>
      <c r="E76" t="inlineStr">
        <is>
          <t>或签任务</t>
        </is>
      </c>
      <c r="F76"/>
      <c r="G76" t="inlineStr">
        <is>
          <t>0</t>
        </is>
      </c>
      <c r="H76"/>
      <c r="I76" t="inlineStr">
        <is>
          <t>李少秋,Decay</t>
        </is>
      </c>
      <c r="J76" t="inlineStr">
        <is>
          <t>李少秋,龚政涛,Decay</t>
        </is>
      </c>
      <c r="K76" t="inlineStr">
        <is>
          <t>龚政涛</t>
        </is>
      </c>
      <c r="L76" s="3">
        <v>45554.90284722222</v>
      </c>
      <c r="M76" s="3">
        <v>45598.333333333336</v>
      </c>
      <c r="N76" s="3">
        <v>45617.45216435185</v>
      </c>
      <c r="O76" s="3">
        <v>45599.333333333336</v>
      </c>
      <c r="P76" s="3">
        <v>45617.45216435185</v>
      </c>
      <c r="Q76" s="2" t="str">
        <f>=HYPERLINK("https://applink.feishu.cn/client/todo/task_list?guid=4d92b9af-66d1-4cd7-95d1-4b753a64ca6b", "跃入迷城")</f>
        <v>跃入迷城</v>
      </c>
      <c r="R76" t="inlineStr">
        <is>
          <t>4d92b9af-66d1-4cd7-95d1-4b753a64ca6b</t>
        </is>
      </c>
      <c r="S76" t="inlineStr">
        <is>
          <t>e0270770-3368-48c3-adb9-7b9f5a43eea9</t>
        </is>
      </c>
      <c r="T76">
        <v>0</v>
      </c>
      <c r="U76">
        <v>1</v>
      </c>
      <c r="V76" t="inlineStr">
        <is>
          <t>0.0.3</t>
        </is>
      </c>
      <c r="W76" t="inlineStr">
        <is>
          <t>已完成</t>
        </is>
      </c>
      <c r="X76"/>
      <c r="Y76" t="inlineStr">
        <is>
          <t>AI</t>
        </is>
      </c>
      <c r="Z76" t="inlineStr">
        <is>
          <t>P2 - Nice to Have</t>
        </is>
      </c>
      <c r="AA76"/>
      <c r="AB76"/>
      <c r="AC76"/>
      <c r="AD76" t="inlineStr">
        <is>
          <t>NzUzMjAzNDQ5ODk2NDY2ODQ0NDplMDI3MDc3MC0zMzY4LTQ4YzMtYWRiOS03YjlmNWE0M2VlYTk6Y2I4MTlhZTMwYjliMzU5MjY4OWQ0ODJhODJkZDNiZGY6MQ==</t>
        </is>
      </c>
      <c r="AE76"/>
    </row>
    <row r="77" ht="25.5" customHeight="1">
      <c r="A77" s="2" t="str">
        <f>=HYPERLINK("https://applink.feishu.cn/client/todo/detail?guid=813d4ea3-e904-4fa3-a7a2-dd2ce4b31737&amp;suite_entity_num=t100124", "也许尝试多个电梯的设计，回到原点的设计感觉并不理想")</f>
        <v>也许尝试多个电梯的设计，回到原点的设计感觉并不理想</v>
      </c>
      <c r="B77"/>
      <c r="C77" t="inlineStr">
        <is>
          <t>默认分组</t>
        </is>
      </c>
      <c r="D77" t="inlineStr">
        <is>
          <t>1</t>
        </is>
      </c>
      <c r="E77" t="inlineStr">
        <is>
          <t>或签任务</t>
        </is>
      </c>
      <c r="F77"/>
      <c r="G77" t="inlineStr">
        <is>
          <t>0</t>
        </is>
      </c>
      <c r="H77"/>
      <c r="I77" t="inlineStr">
        <is>
          <t>苏祺恒,龚政涛</t>
        </is>
      </c>
      <c r="J77" t="inlineStr">
        <is>
          <t>龚政涛,苏祺恒</t>
        </is>
      </c>
      <c r="K77" t="inlineStr">
        <is>
          <t>龚政涛</t>
        </is>
      </c>
      <c r="L77" s="3">
        <v>45558.45984953704</v>
      </c>
      <c r="M77" s="3"/>
      <c r="N77" s="3">
        <v>45586.45465277778</v>
      </c>
      <c r="O77" s="3"/>
      <c r="P77" s="3">
        <v>45586.45465277778</v>
      </c>
      <c r="Q77" s="2" t="str">
        <f>=HYPERLINK("https://applink.feishu.cn/client/todo/task_list?guid=4d92b9af-66d1-4cd7-95d1-4b753a64ca6b", "跃入迷城")</f>
        <v>跃入迷城</v>
      </c>
      <c r="R77" t="inlineStr">
        <is>
          <t>4d92b9af-66d1-4cd7-95d1-4b753a64ca6b</t>
        </is>
      </c>
      <c r="S77" t="inlineStr">
        <is>
          <t>813d4ea3-e904-4fa3-a7a2-dd2ce4b31737</t>
        </is>
      </c>
      <c r="T77">
        <v>0</v>
      </c>
      <c r="U77">
        <v>1</v>
      </c>
      <c r="V77" t="inlineStr">
        <is>
          <t>0.0.2</t>
        </is>
      </c>
      <c r="W77" t="inlineStr">
        <is>
          <t>已完成</t>
        </is>
      </c>
      <c r="X77"/>
      <c r="Y77" t="inlineStr">
        <is>
          <t>操作</t>
        </is>
      </c>
      <c r="Z77" t="inlineStr">
        <is>
          <t>P0 - Must (not) Have</t>
        </is>
      </c>
      <c r="AA77"/>
      <c r="AB77"/>
      <c r="AC77"/>
      <c r="AD77" t="inlineStr">
        <is>
          <t>NzUzMjAzNDQ5ODk2NDY2ODQ0NDo4MTNkNGVhMy1lOTA0LTRmYTMtYTdhMi1kZDJjZTRiMzE3Mzc6OTIwN2MyMjIxYTc1ZWY2NjhkMTQzNjBmOGUzNmYxNDE6MQ==</t>
        </is>
      </c>
      <c r="AE77"/>
    </row>
    <row r="78" ht="25.5" customHeight="1">
      <c r="A78" s="2" t="str">
        <f>=HYPERLINK("https://applink.feishu.cn/client/todo/detail?guid=5581dd32-81ba-4375-aedb-9fef4b7c0bba&amp;suite_entity_num=t100087", "动态避障")</f>
        <v>动态避障</v>
      </c>
      <c r="B78"/>
      <c r="C78" t="inlineStr">
        <is>
          <t>默认分组</t>
        </is>
      </c>
      <c r="D78" t="inlineStr">
        <is>
          <t>1</t>
        </is>
      </c>
      <c r="E78" t="inlineStr">
        <is>
          <t>或签任务</t>
        </is>
      </c>
      <c r="F78"/>
      <c r="G78" t="inlineStr">
        <is>
          <t>0</t>
        </is>
      </c>
      <c r="H78"/>
      <c r="I78" t="inlineStr">
        <is>
          <t>李少秋</t>
        </is>
      </c>
      <c r="J78" t="inlineStr">
        <is>
          <t>李少秋</t>
        </is>
      </c>
      <c r="K78" t="inlineStr">
        <is>
          <t>李少秋</t>
        </is>
      </c>
      <c r="L78" s="3">
        <v>45550.701273148145</v>
      </c>
      <c r="M78" s="3"/>
      <c r="N78" s="3">
        <v>45612.578310185185</v>
      </c>
      <c r="O78" s="3"/>
      <c r="P78" s="3">
        <v>45727.47142361111</v>
      </c>
      <c r="Q78" s="2" t="str">
        <f>=HYPERLINK("https://applink.feishu.cn/client/todo/task_list?guid=4d92b9af-66d1-4cd7-95d1-4b753a64ca6b", "跃入迷城")</f>
        <v>跃入迷城</v>
      </c>
      <c r="R78" t="inlineStr">
        <is>
          <t>4d92b9af-66d1-4cd7-95d1-4b753a64ca6b</t>
        </is>
      </c>
      <c r="S78" t="inlineStr">
        <is>
          <t>5581dd32-81ba-4375-aedb-9fef4b7c0bba</t>
        </is>
      </c>
      <c r="T78">
        <v>0</v>
      </c>
      <c r="U78">
        <v>0</v>
      </c>
      <c r="V78" t="inlineStr">
        <is>
          <t>0.0.2</t>
        </is>
      </c>
      <c r="W78" t="inlineStr">
        <is>
          <t>已完成</t>
        </is>
      </c>
      <c r="X78"/>
      <c r="Y78" t="inlineStr">
        <is>
          <t>AI</t>
        </is>
      </c>
      <c r="Z78"/>
      <c r="AA78"/>
      <c r="AB78"/>
      <c r="AC78"/>
      <c r="AD78" t="inlineStr">
        <is>
          <t>NzUzMjAzNDQ5ODk2NDY2ODQ0NDo1NTgxZGQzMi04MWJhLTQzNzUtYWVkYi05ZmVmNGI3YzBiYmE6Y2Y5NzJkMmVmMThkNjM3NDRhY2FiYTc4YTFkMjBkNGU6MQ==</t>
        </is>
      </c>
      <c r="AE78"/>
    </row>
    <row r="79" ht="25.5" customHeight="1">
      <c r="A79" s="2" t="str">
        <f>=HYPERLINK("https://applink.feishu.cn/client/todo/detail?guid=9415cba5-1449-4116-adc4-866fe428bc82&amp;suite_entity_num=t100086", "远程：AI在瞄准攻击前判断障碍物决定是否攻击")</f>
        <v>远程：AI在瞄准攻击前判断障碍物决定是否攻击</v>
      </c>
      <c r="B79"/>
      <c r="C79" t="inlineStr">
        <is>
          <t>默认分组</t>
        </is>
      </c>
      <c r="D79" t="inlineStr">
        <is>
          <t>1</t>
        </is>
      </c>
      <c r="E79" t="inlineStr">
        <is>
          <t>或签任务</t>
        </is>
      </c>
      <c r="F79"/>
      <c r="G79" t="inlineStr">
        <is>
          <t>0</t>
        </is>
      </c>
      <c r="H79"/>
      <c r="I79" t="inlineStr">
        <is>
          <t>Decay,龚政涛</t>
        </is>
      </c>
      <c r="J79" t="inlineStr">
        <is>
          <t>龚政涛,李少秋,Decay</t>
        </is>
      </c>
      <c r="K79" t="inlineStr">
        <is>
          <t>龚政涛</t>
        </is>
      </c>
      <c r="L79" s="3">
        <v>45550.687743055554</v>
      </c>
      <c r="M79" s="3"/>
      <c r="N79" s="3">
        <v>45611.68035879629</v>
      </c>
      <c r="O79" s="3"/>
      <c r="P79" s="3">
        <v>45733.70925925926</v>
      </c>
      <c r="Q79" s="2" t="str">
        <f>=HYPERLINK("https://applink.feishu.cn/client/todo/task_list?guid=4d92b9af-66d1-4cd7-95d1-4b753a64ca6b", "跃入迷城")</f>
        <v>跃入迷城</v>
      </c>
      <c r="R79" t="inlineStr">
        <is>
          <t>4d92b9af-66d1-4cd7-95d1-4b753a64ca6b</t>
        </is>
      </c>
      <c r="S79" t="inlineStr">
        <is>
          <t>9415cba5-1449-4116-adc4-866fe428bc82</t>
        </is>
      </c>
      <c r="T79">
        <v>0</v>
      </c>
      <c r="U79">
        <v>3</v>
      </c>
      <c r="V79" t="inlineStr">
        <is>
          <t>0.0.3</t>
        </is>
      </c>
      <c r="W79" t="inlineStr">
        <is>
          <t>已完成</t>
        </is>
      </c>
      <c r="X79"/>
      <c r="Y79" t="inlineStr">
        <is>
          <t>AI</t>
        </is>
      </c>
      <c r="Z79" t="inlineStr">
        <is>
          <t>P0 - Must (not) Have</t>
        </is>
      </c>
      <c r="AA79" t="inlineStr">
        <is>
          <t>c8741210-6a11-4b88-8d20-0fd034d4db08</t>
        </is>
      </c>
      <c r="AB79" t="inlineStr">
        <is>
          <t>33227912-9b90-4312-99e2-afeddd50750d</t>
        </is>
      </c>
      <c r="AC79"/>
      <c r="AD79" t="inlineStr">
        <is>
          <t>NzUzMjAzNDQ5ODk2NDY2ODQ0NDo5NDE1Y2JhNS0xNDQ5LTQxMTYtYWRjNC04NjZmZTQyOGJjODI6NmRjOWE0MDVmOTBiZmMyODU5YzIzMGExZmI4Y2ZiNjU6MQ==</t>
        </is>
      </c>
      <c r="AE79"/>
    </row>
    <row r="80" ht="25.5" customHeight="1">
      <c r="A80" s="2" t="str">
        <f>=HYPERLINK("https://applink.feishu.cn/client/todo/detail?guid=937c8266-1696-4061-9943-ed0c5e2912bf&amp;suite_entity_num=t100079", "插图：https://dikpa4hrtn9.feishu.cn/wiki/TVHDwqiUziiOeYkaluvcE9rdnJf")</f>
        <v>插图：https://dikpa4hrtn9.feishu.cn/wiki/TVHDwqiUziiOeYkaluvcE9rdnJf</v>
      </c>
      <c r="B80"/>
      <c r="C80" t="inlineStr">
        <is>
          <t>默认分组</t>
        </is>
      </c>
      <c r="D80" t="inlineStr">
        <is>
          <t>0</t>
        </is>
      </c>
      <c r="E80" t="inlineStr">
        <is>
          <t>或签任务</t>
        </is>
      </c>
      <c r="F80"/>
      <c r="G80" t="inlineStr">
        <is>
          <t>0</t>
        </is>
      </c>
      <c r="H80">
        <v>0</v>
      </c>
      <c r="I80" t="inlineStr">
        <is>
          <t>Ke Huang</t>
        </is>
      </c>
      <c r="J80" t="inlineStr">
        <is>
          <t>龚政涛,Ke Huang</t>
        </is>
      </c>
      <c r="K80" t="inlineStr">
        <is>
          <t>龚政涛</t>
        </is>
      </c>
      <c r="L80" s="3">
        <v>45547.96445601852</v>
      </c>
      <c r="M80" s="3"/>
      <c r="N80" s="3"/>
      <c r="O80" s="3"/>
      <c r="P80" s="3">
        <v>45901.51850694444</v>
      </c>
      <c r="Q80" s="2" t="str">
        <f>=HYPERLINK("https://applink.feishu.cn/client/todo/task_list?guid=4d92b9af-66d1-4cd7-95d1-4b753a64ca6b", "跃入迷城")</f>
        <v>跃入迷城</v>
      </c>
      <c r="R80" t="inlineStr">
        <is>
          <t>4d92b9af-66d1-4cd7-95d1-4b753a64ca6b</t>
        </is>
      </c>
      <c r="S80" t="inlineStr">
        <is>
          <t>937c8266-1696-4061-9943-ed0c5e2912bf</t>
        </is>
      </c>
      <c r="T80">
        <v>10</v>
      </c>
      <c r="U80">
        <v>0</v>
      </c>
      <c r="V80" t="inlineStr">
        <is>
          <t>0.0.4</t>
        </is>
      </c>
      <c r="W80" t="inlineStr">
        <is>
          <t>已拆分</t>
        </is>
      </c>
      <c r="X80" t="inlineStr">
        <is>
          <t>🎨艺术</t>
        </is>
      </c>
      <c r="Y80" t="inlineStr">
        <is>
          <t>平面美术</t>
        </is>
      </c>
      <c r="Z80" t="inlineStr">
        <is>
          <t>P2 - Nice to Have</t>
        </is>
      </c>
      <c r="AA80"/>
      <c r="AB80"/>
      <c r="AC80"/>
      <c r="AD80" t="inlineStr">
        <is>
          <t>NzUzMjAzNDQ5ODk2NDY2ODQ0NDo5MzdjODI2Ni0xNjk2LTQwNjEtOTk0My1lZDBjNWUyOTEyYmY6OGMyOGY4OWI4NTViZTVkNTY2MGJjMGZmODM4NmQwYzI6MQ==</t>
        </is>
      </c>
      <c r="AE80"/>
    </row>
    <row r="81" ht="25.5" customHeight="1">
      <c r="A81" s="2" t="str">
        <f>=HYPERLINK("https://applink.feishu.cn/client/todo/detail?guid=9e173b1f-4dd7-4017-91aa-aabbaba2d2b4&amp;suite_entity_num=t100081", "劳旅 -&gt; 浩 - 激动")</f>
        <v>劳旅 -&gt; 浩 - 激动</v>
      </c>
      <c r="B81"/>
      <c r="C81" t="inlineStr">
        <is>
          <t>默认分组</t>
        </is>
      </c>
      <c r="D81" t="inlineStr">
        <is>
          <t>1</t>
        </is>
      </c>
      <c r="E81" t="inlineStr">
        <is>
          <t>或签任务</t>
        </is>
      </c>
      <c r="F81"/>
      <c r="G81" t="inlineStr">
        <is>
          <t>0</t>
        </is>
      </c>
      <c r="H81"/>
      <c r="I81" t="inlineStr">
        <is>
          <t>Ke Huang</t>
        </is>
      </c>
      <c r="J81" t="inlineStr">
        <is>
          <t>龚政涛,Ke Huang</t>
        </is>
      </c>
      <c r="K81" t="inlineStr">
        <is>
          <t>龚政涛</t>
        </is>
      </c>
      <c r="L81" s="3">
        <v>45547.96450231481</v>
      </c>
      <c r="M81" s="3"/>
      <c r="N81" s="3">
        <v>45709.459756944445</v>
      </c>
      <c r="O81" s="3"/>
      <c r="P81" s="3">
        <v>45709.459699074076</v>
      </c>
      <c r="Q81" s="2" t="str">
        <f>=HYPERLINK("https://applink.feishu.cn/client/todo/task_list?guid=4d92b9af-66d1-4cd7-95d1-4b753a64ca6b", "跃入迷城")</f>
        <v>跃入迷城</v>
      </c>
      <c r="R81" t="inlineStr">
        <is>
          <t>4d92b9af-66d1-4cd7-95d1-4b753a64ca6b</t>
        </is>
      </c>
      <c r="S81" t="inlineStr">
        <is>
          <t>9e173b1f-4dd7-4017-91aa-aabbaba2d2b4</t>
        </is>
      </c>
      <c r="T81">
        <v>0</v>
      </c>
      <c r="U81">
        <v>0</v>
      </c>
      <c r="V81" t="inlineStr">
        <is>
          <t>0.0.2</t>
        </is>
      </c>
      <c r="W81" t="inlineStr">
        <is>
          <t>已废弃</t>
        </is>
      </c>
      <c r="X81"/>
      <c r="Y81" t="inlineStr">
        <is>
          <t>平面美术</t>
        </is>
      </c>
      <c r="Z81" t="inlineStr">
        <is>
          <t>P2 - Nice to Have</t>
        </is>
      </c>
      <c r="AA81"/>
      <c r="AB81"/>
      <c r="AC81"/>
      <c r="AD81" t="inlineStr">
        <is>
          <t>NzUzMjAzNDQ5ODk2NDY2ODQ0NDo5ZTE3M2IxZi00ZGQ3LTQwMTctOTFhYS1hYWJiYWJhMmQyYjQ6ZDEwZTFkM2Y5ODY1NDg0MDZjZDE5NjE2OWE0YjY0ZGI6MQ==</t>
        </is>
      </c>
      <c r="AE81"/>
    </row>
    <row r="82" ht="25.5" customHeight="1">
      <c r="A82" s="2" t="str">
        <f>=HYPERLINK("https://applink.feishu.cn/client/todo/detail?guid=ff017b99-ab47-4cc1-8915-09a5af68091e&amp;suite_entity_num=t100141", "需要给Level Stream一个Feature，每次玩家切换level时，应该被传送到level内的一个锚点BP，如果锚点BP没有被放置传送到Player Start")</f>
        <v>需要给Level Stream一个Feature，每次玩家切换level时，应该被传送到level内的一个锚点BP，如果锚点BP没有被放置传送到Player Start</v>
      </c>
      <c r="B82"/>
      <c r="C82" t="inlineStr">
        <is>
          <t>默认分组</t>
        </is>
      </c>
      <c r="D82" t="inlineStr">
        <is>
          <t>1</t>
        </is>
      </c>
      <c r="E82" t="inlineStr">
        <is>
          <t>或签任务</t>
        </is>
      </c>
      <c r="F82"/>
      <c r="G82" t="inlineStr">
        <is>
          <t>0</t>
        </is>
      </c>
      <c r="H82"/>
      <c r="I82" t="inlineStr">
        <is>
          <t>Decay</t>
        </is>
      </c>
      <c r="J82" t="inlineStr">
        <is>
          <t>龚政涛,Decay</t>
        </is>
      </c>
      <c r="K82" t="inlineStr">
        <is>
          <t>龚政涛</t>
        </is>
      </c>
      <c r="L82" s="3">
        <v>45567.9528125</v>
      </c>
      <c r="M82" s="3"/>
      <c r="N82" s="3">
        <v>45572.014548611114</v>
      </c>
      <c r="O82" s="3"/>
      <c r="P82" s="3">
        <v>45572.014548611114</v>
      </c>
      <c r="Q82" s="2" t="str">
        <f>=HYPERLINK("https://applink.feishu.cn/client/todo/task_list?guid=4d92b9af-66d1-4cd7-95d1-4b753a64ca6b", "跃入迷城")</f>
        <v>跃入迷城</v>
      </c>
      <c r="R82" t="inlineStr">
        <is>
          <t>4d92b9af-66d1-4cd7-95d1-4b753a64ca6b</t>
        </is>
      </c>
      <c r="S82" t="inlineStr">
        <is>
          <t>ff017b99-ab47-4cc1-8915-09a5af68091e</t>
        </is>
      </c>
      <c r="T82">
        <v>0</v>
      </c>
      <c r="U82">
        <v>8</v>
      </c>
      <c r="V82" t="inlineStr">
        <is>
          <t>0.0.2</t>
        </is>
      </c>
      <c r="W82" t="inlineStr">
        <is>
          <t>已完成</t>
        </is>
      </c>
      <c r="X82"/>
      <c r="Y82" t="inlineStr">
        <is>
          <t>操作</t>
        </is>
      </c>
      <c r="Z82"/>
      <c r="AA82"/>
      <c r="AB82"/>
      <c r="AC82"/>
      <c r="AD82" t="inlineStr">
        <is>
          <t>NzUzMjAzNDQ5ODk2NDY2ODQ0NDpmZjAxN2I5OS1hYjQ3LTRjYzEtODkxNS0wOWE1YWY2ODA5MWU6YzI3NDA0YzM0ZDU5MmM4MzczNDliNWYxYjdiOGNjNGI6MQ==</t>
        </is>
      </c>
      <c r="AE82"/>
    </row>
    <row r="83" ht="25.5" customHeight="1">
      <c r="A83" s="2" t="str">
        <f>=HYPERLINK("https://applink.feishu.cn/client/todo/detail?guid=376c5b57-1da9-4d33-b3fe-e39d4fcc40f1&amp;suite_entity_num=t100143", "在处理关卡相关的功能前，应该先明确切换规则")</f>
        <v>在处理关卡相关的功能前，应该先明确切换规则</v>
      </c>
      <c r="B83"/>
      <c r="C83" t="inlineStr">
        <is>
          <t>默认分组</t>
        </is>
      </c>
      <c r="D83" t="inlineStr">
        <is>
          <t>1</t>
        </is>
      </c>
      <c r="E83" t="inlineStr">
        <is>
          <t>或签任务</t>
        </is>
      </c>
      <c r="F83"/>
      <c r="G83" t="inlineStr">
        <is>
          <t>0</t>
        </is>
      </c>
      <c r="H83"/>
      <c r="I83" t="inlineStr">
        <is>
          <t>苏祺恒,龚政涛</t>
        </is>
      </c>
      <c r="J83" t="inlineStr">
        <is>
          <t>龚政涛,苏祺恒</t>
        </is>
      </c>
      <c r="K83" t="inlineStr">
        <is>
          <t>龚政涛</t>
        </is>
      </c>
      <c r="L83" s="3">
        <v>45570.6515162037</v>
      </c>
      <c r="M83" s="3"/>
      <c r="N83" s="3">
        <v>45576.067291666666</v>
      </c>
      <c r="O83" s="3"/>
      <c r="P83" s="3">
        <v>45727.472766203704</v>
      </c>
      <c r="Q83" s="2" t="str">
        <f>=HYPERLINK("https://applink.feishu.cn/client/todo/task_list?guid=4d92b9af-66d1-4cd7-95d1-4b753a64ca6b", "跃入迷城")</f>
        <v>跃入迷城</v>
      </c>
      <c r="R83" t="inlineStr">
        <is>
          <t>4d92b9af-66d1-4cd7-95d1-4b753a64ca6b</t>
        </is>
      </c>
      <c r="S83" t="inlineStr">
        <is>
          <t>376c5b57-1da9-4d33-b3fe-e39d4fcc40f1</t>
        </is>
      </c>
      <c r="T83">
        <v>0</v>
      </c>
      <c r="U83">
        <v>0</v>
      </c>
      <c r="V83" t="inlineStr">
        <is>
          <t>0.0.4</t>
        </is>
      </c>
      <c r="W83" t="inlineStr">
        <is>
          <t>已完成</t>
        </is>
      </c>
      <c r="X83"/>
      <c r="Y83" t="inlineStr">
        <is>
          <t>操作</t>
        </is>
      </c>
      <c r="Z83" t="inlineStr">
        <is>
          <t>P0 - Must (not) Have</t>
        </is>
      </c>
      <c r="AA83"/>
      <c r="AB83"/>
      <c r="AC83"/>
      <c r="AD83" t="inlineStr">
        <is>
          <t>NzUzMjAzNDQ5ODk2NDY2ODQ0NDozNzZjNWI1Ny0xZGE5LTRkMzMtYjNmZS1lMzlkNGZjYzQwZjE6OGNmMjI5NGFkOGJlNmIwMjg0YzNlNjcyNzhmZjQwN2E6MQ==</t>
        </is>
      </c>
      <c r="AE83"/>
    </row>
    <row r="84" ht="25.5" customHeight="1">
      <c r="A84" s="2" t="str">
        <f>=HYPERLINK("https://applink.feishu.cn/client/todo/detail?guid=23138c4d-4717-43d6-be96-0f721fb6104d&amp;suite_entity_num=t100144", "电梯卡直接给予的功能")</f>
        <v>电梯卡直接给予的功能</v>
      </c>
      <c r="B84"/>
      <c r="C84" t="inlineStr">
        <is>
          <t>默认分组</t>
        </is>
      </c>
      <c r="D84" t="inlineStr">
        <is>
          <t>1</t>
        </is>
      </c>
      <c r="E84" t="inlineStr">
        <is>
          <t>或签任务</t>
        </is>
      </c>
      <c r="F84"/>
      <c r="G84" t="inlineStr">
        <is>
          <t>0</t>
        </is>
      </c>
      <c r="H84"/>
      <c r="I84" t="inlineStr">
        <is>
          <t>Decay</t>
        </is>
      </c>
      <c r="J84" t="inlineStr">
        <is>
          <t>龚政涛,Decay</t>
        </is>
      </c>
      <c r="K84" t="inlineStr">
        <is>
          <t>龚政涛</t>
        </is>
      </c>
      <c r="L84" s="3">
        <v>45570.652337962965</v>
      </c>
      <c r="M84" s="3"/>
      <c r="N84" s="3">
        <v>45571.984398148146</v>
      </c>
      <c r="O84" s="3"/>
      <c r="P84" s="3">
        <v>45571.984398148146</v>
      </c>
      <c r="Q84" s="2" t="str">
        <f>=HYPERLINK("https://applink.feishu.cn/client/todo/task_list?guid=4d92b9af-66d1-4cd7-95d1-4b753a64ca6b", "跃入迷城")</f>
        <v>跃入迷城</v>
      </c>
      <c r="R84" t="inlineStr">
        <is>
          <t>4d92b9af-66d1-4cd7-95d1-4b753a64ca6b</t>
        </is>
      </c>
      <c r="S84" t="inlineStr">
        <is>
          <t>23138c4d-4717-43d6-be96-0f721fb6104d</t>
        </is>
      </c>
      <c r="T84">
        <v>0</v>
      </c>
      <c r="U84">
        <v>1</v>
      </c>
      <c r="V84" t="inlineStr">
        <is>
          <t>0.0.2</t>
        </is>
      </c>
      <c r="W84" t="inlineStr">
        <is>
          <t>已废弃</t>
        </is>
      </c>
      <c r="X84"/>
      <c r="Y84" t="inlineStr">
        <is>
          <t>操作</t>
        </is>
      </c>
      <c r="Z84"/>
      <c r="AA84"/>
      <c r="AB84"/>
      <c r="AC84"/>
      <c r="AD84" t="inlineStr">
        <is>
          <t>NzUzMjAzNDQ5ODk2NDY2ODQ0NDoyMzEzOGM0ZC00NzE3LTQzZDYtYmU5Ni0wZjcyMWZiNjEwNGQ6NmJhMjU5YmMxYWYxYjRlMTUyNzg1ZjNmYjIwOGY4NTc6MQ==</t>
        </is>
      </c>
      <c r="AE84"/>
    </row>
    <row r="85" ht="25.5" customHeight="1">
      <c r="A85" s="2" t="str">
        <f>=HYPERLINK("https://applink.feishu.cn/client/todo/detail?guid=93c9f160-b64e-48f7-ae0e-c4dcd49aa9b4&amp;suite_entity_num=t100149", "建议先移除/屏蔽冲刺")</f>
        <v>建议先移除/屏蔽冲刺</v>
      </c>
      <c r="B85"/>
      <c r="C85" t="inlineStr">
        <is>
          <t>默认分组</t>
        </is>
      </c>
      <c r="D85" t="inlineStr">
        <is>
          <t>1</t>
        </is>
      </c>
      <c r="E85" t="inlineStr">
        <is>
          <t>或签任务</t>
        </is>
      </c>
      <c r="F85"/>
      <c r="G85" t="inlineStr">
        <is>
          <t>0</t>
        </is>
      </c>
      <c r="H85"/>
      <c r="I85" t="inlineStr">
        <is>
          <t>龚政涛,苏祺恒</t>
        </is>
      </c>
      <c r="J85" t="inlineStr">
        <is>
          <t>龚政涛,苏祺恒</t>
        </is>
      </c>
      <c r="K85" t="inlineStr">
        <is>
          <t>龚政涛</t>
        </is>
      </c>
      <c r="L85" s="3">
        <v>45570.6546875</v>
      </c>
      <c r="M85" s="3"/>
      <c r="N85" s="3">
        <v>45595.630833333336</v>
      </c>
      <c r="O85" s="3">
        <v>45595.333333333336</v>
      </c>
      <c r="P85" s="3">
        <v>45595.630844907406</v>
      </c>
      <c r="Q85" s="2" t="str">
        <f>=HYPERLINK("https://applink.feishu.cn/client/todo/task_list?guid=4d92b9af-66d1-4cd7-95d1-4b753a64ca6b", "跃入迷城")</f>
        <v>跃入迷城</v>
      </c>
      <c r="R85" t="inlineStr">
        <is>
          <t>4d92b9af-66d1-4cd7-95d1-4b753a64ca6b</t>
        </is>
      </c>
      <c r="S85" t="inlineStr">
        <is>
          <t>93c9f160-b64e-48f7-ae0e-c4dcd49aa9b4</t>
        </is>
      </c>
      <c r="T85">
        <v>0</v>
      </c>
      <c r="U85">
        <v>1</v>
      </c>
      <c r="V85" t="inlineStr">
        <is>
          <t>0.0.2</t>
        </is>
      </c>
      <c r="W85" t="inlineStr">
        <is>
          <t>已完成</t>
        </is>
      </c>
      <c r="X85"/>
      <c r="Y85" t="inlineStr">
        <is>
          <t>操作</t>
        </is>
      </c>
      <c r="Z85" t="inlineStr">
        <is>
          <t>P2 - Nice to Have</t>
        </is>
      </c>
      <c r="AA85"/>
      <c r="AB85"/>
      <c r="AC85"/>
      <c r="AD85" t="inlineStr">
        <is>
          <t>NzUzMjAzNDQ5ODk2NDY2ODQ0NDo5M2M5ZjE2MC1iNjRlLTQ4ZjctYWUwZS1jNGRjZDQ5YWE5YjQ6YzkzZTllMjRlNDJiMThmMjc1OTg1YjU3MWQwZjA2YTg6MQ==</t>
        </is>
      </c>
      <c r="AE85"/>
    </row>
    <row r="86" ht="25.5" customHeight="1">
      <c r="A86" s="2" t="str">
        <f>=HYPERLINK("https://applink.feishu.cn/client/todo/detail?guid=33227912-9b90-4312-99e2-afeddd50750d&amp;suite_entity_num=t100139", "近战：修复“近战敌人在寻路时会被互相卡位”的问题")</f>
        <v>近战：修复“近战敌人在寻路时会被互相卡位”的问题</v>
      </c>
      <c r="B86" t="inlineStr">
        <is>
          <t>另一个问题是无法判断队友的位置，导致3个近战敌人经常互相卡，建议给所有AI一个eqs权重范围，AI自己身边{100}半径eqs减少{20%}避免互相重叠站位，也可以优化移动时的路径（这个我不确定，寻址会避开队友吗？）</t>
        </is>
      </c>
      <c r="C86" t="inlineStr">
        <is>
          <t>默认分组</t>
        </is>
      </c>
      <c r="D86" t="inlineStr">
        <is>
          <t>1</t>
        </is>
      </c>
      <c r="E86" t="inlineStr">
        <is>
          <t>或签任务</t>
        </is>
      </c>
      <c r="F86"/>
      <c r="G86" t="inlineStr">
        <is>
          <t>0</t>
        </is>
      </c>
      <c r="H86"/>
      <c r="I86" t="inlineStr">
        <is>
          <t>Decay,李少秋</t>
        </is>
      </c>
      <c r="J86" t="inlineStr">
        <is>
          <t>龚政涛,Decay,李少秋</t>
        </is>
      </c>
      <c r="K86" t="inlineStr">
        <is>
          <t>龚政涛</t>
        </is>
      </c>
      <c r="L86" s="3">
        <v>45563.06263888889</v>
      </c>
      <c r="M86" s="3">
        <v>45600.333333333336</v>
      </c>
      <c r="N86" s="3">
        <v>45611.68528935185</v>
      </c>
      <c r="O86" s="3">
        <v>45603.333333333336</v>
      </c>
      <c r="P86" s="3">
        <v>45611.68530092593</v>
      </c>
      <c r="Q86" s="2" t="str">
        <f>=HYPERLINK("https://applink.feishu.cn/client/todo/task_list?guid=4d92b9af-66d1-4cd7-95d1-4b753a64ca6b", "跃入迷城")</f>
        <v>跃入迷城</v>
      </c>
      <c r="R86" t="inlineStr">
        <is>
          <t>4d92b9af-66d1-4cd7-95d1-4b753a64ca6b</t>
        </is>
      </c>
      <c r="S86" t="inlineStr">
        <is>
          <t>33227912-9b90-4312-99e2-afeddd50750d</t>
        </is>
      </c>
      <c r="T86">
        <v>0</v>
      </c>
      <c r="U86">
        <v>2</v>
      </c>
      <c r="V86" t="inlineStr">
        <is>
          <t>0.0.3</t>
        </is>
      </c>
      <c r="W86" t="inlineStr">
        <is>
          <t>已完成</t>
        </is>
      </c>
      <c r="X86"/>
      <c r="Y86" t="inlineStr">
        <is>
          <t>AI</t>
        </is>
      </c>
      <c r="Z86" t="inlineStr">
        <is>
          <t>P0 - Must (not) Have</t>
        </is>
      </c>
      <c r="AA86" t="inlineStr">
        <is>
          <t>9415cba5-1449-4116-adc4-866fe428bc82</t>
        </is>
      </c>
      <c r="AB86"/>
      <c r="AC86"/>
      <c r="AD86" t="inlineStr">
        <is>
          <t>NzUzMjAzNDQ5ODk2NDY2ODQ0NDozMzIyNzkxMi05YjkwLTQzMTItOTllMi1hZmVkZGQ1MDc1MGQ6MWI4NjJiN2NmNTZlNjljMzA1ZjFjZDI4ZWY4MDU2ZjE6MQ==</t>
        </is>
      </c>
      <c r="AE86"/>
    </row>
    <row r="87" ht="25.5" customHeight="1">
      <c r="A87" s="2" t="str">
        <f>=HYPERLINK("https://applink.feishu.cn/client/todo/detail?guid=850d3f5f-7629-486b-8604-d3de16e77ff2&amp;suite_entity_num=t100123", "现有的关卡复杂度过高，考虑优先以玩家体验为目标设计更精简的关卡")</f>
        <v>现有的关卡复杂度过高，考虑优先以玩家体验为目标设计更精简的关卡</v>
      </c>
      <c r="B87"/>
      <c r="C87" t="inlineStr">
        <is>
          <t>默认分组</t>
        </is>
      </c>
      <c r="D87" t="inlineStr">
        <is>
          <t>1</t>
        </is>
      </c>
      <c r="E87" t="inlineStr">
        <is>
          <t>或签任务</t>
        </is>
      </c>
      <c r="F87"/>
      <c r="G87" t="inlineStr">
        <is>
          <t>0</t>
        </is>
      </c>
      <c r="H87"/>
      <c r="I87" t="inlineStr">
        <is>
          <t>苏祺恒,龚政涛</t>
        </is>
      </c>
      <c r="J87" t="inlineStr">
        <is>
          <t>龚政涛,苏祺恒</t>
        </is>
      </c>
      <c r="K87" t="inlineStr">
        <is>
          <t>龚政涛</t>
        </is>
      </c>
      <c r="L87" s="3">
        <v>45558.45983796296</v>
      </c>
      <c r="M87" s="3"/>
      <c r="N87" s="3">
        <v>45586.455358796295</v>
      </c>
      <c r="O87" s="3"/>
      <c r="P87" s="3">
        <v>45586.455358796295</v>
      </c>
      <c r="Q87" s="2" t="str">
        <f>=HYPERLINK("https://applink.feishu.cn/client/todo/task_list?guid=4d92b9af-66d1-4cd7-95d1-4b753a64ca6b", "跃入迷城")</f>
        <v>跃入迷城</v>
      </c>
      <c r="R87" t="inlineStr">
        <is>
          <t>4d92b9af-66d1-4cd7-95d1-4b753a64ca6b</t>
        </is>
      </c>
      <c r="S87" t="inlineStr">
        <is>
          <t>850d3f5f-7629-486b-8604-d3de16e77ff2</t>
        </is>
      </c>
      <c r="T87">
        <v>0</v>
      </c>
      <c r="U87">
        <v>1</v>
      </c>
      <c r="V87" t="inlineStr">
        <is>
          <t>0.0.2</t>
        </is>
      </c>
      <c r="W87" t="inlineStr">
        <is>
          <t>已废弃</t>
        </is>
      </c>
      <c r="X87"/>
      <c r="Y87" t="inlineStr">
        <is>
          <t>操作</t>
        </is>
      </c>
      <c r="Z87" t="inlineStr">
        <is>
          <t>P0 - Must (not) Have</t>
        </is>
      </c>
      <c r="AA87"/>
      <c r="AB87"/>
      <c r="AC87"/>
      <c r="AD87" t="inlineStr">
        <is>
          <t>NzUzMjAzNDQ5ODk2NDY2ODQ0NDo4NTBkM2Y1Zi03NjI5LTQ4NmItODYwNC1kM2RlMTZlNzdmZjI6MjUzNTU5ZWMwNGVkZjhiNDZmMGJhZDI2NDYzYzczYTM6MQ==</t>
        </is>
      </c>
      <c r="AE87"/>
    </row>
    <row r="88" ht="25.5" customHeight="1">
      <c r="A88" s="2" t="str">
        <f>=HYPERLINK("https://applink.feishu.cn/client/todo/detail?guid=8956636d-c94f-4a9c-b8fd-97c78d4df7fb&amp;suite_entity_num=t100142", "通用：修复AI敌人的伤害、听力、死亡广播未生效的问题")</f>
        <v>通用：修复AI敌人的伤害、听力、死亡广播未生效的问题</v>
      </c>
      <c r="B88"/>
      <c r="C88" t="inlineStr">
        <is>
          <t>默认分组</t>
        </is>
      </c>
      <c r="D88" t="inlineStr">
        <is>
          <t>1</t>
        </is>
      </c>
      <c r="E88" t="inlineStr">
        <is>
          <t>或签任务</t>
        </is>
      </c>
      <c r="F88"/>
      <c r="G88" t="inlineStr">
        <is>
          <t>0</t>
        </is>
      </c>
      <c r="H88"/>
      <c r="I88" t="inlineStr">
        <is>
          <t>李少秋</t>
        </is>
      </c>
      <c r="J88" t="inlineStr">
        <is>
          <t>李少秋,龚政涛</t>
        </is>
      </c>
      <c r="K88" t="inlineStr">
        <is>
          <t>龚政涛</t>
        </is>
      </c>
      <c r="L88" s="3">
        <v>45568.941458333335</v>
      </c>
      <c r="M88" s="3">
        <v>45593.333333333336</v>
      </c>
      <c r="N88" s="3">
        <v>45603.65751157407</v>
      </c>
      <c r="O88" s="3">
        <v>45597.333333333336</v>
      </c>
      <c r="P88" s="3">
        <v>45603.65752314815</v>
      </c>
      <c r="Q88" s="2" t="str">
        <f>=HYPERLINK("https://applink.feishu.cn/client/todo/task_list?guid=4d92b9af-66d1-4cd7-95d1-4b753a64ca6b", "跃入迷城")</f>
        <v>跃入迷城</v>
      </c>
      <c r="R88" t="inlineStr">
        <is>
          <t>4d92b9af-66d1-4cd7-95d1-4b753a64ca6b</t>
        </is>
      </c>
      <c r="S88" t="inlineStr">
        <is>
          <t>8956636d-c94f-4a9c-b8fd-97c78d4df7fb</t>
        </is>
      </c>
      <c r="T88">
        <v>0</v>
      </c>
      <c r="U88">
        <v>1</v>
      </c>
      <c r="V88" t="inlineStr">
        <is>
          <t>0.0.3</t>
        </is>
      </c>
      <c r="W88" t="inlineStr">
        <is>
          <t>已完成</t>
        </is>
      </c>
      <c r="X88"/>
      <c r="Y88" t="inlineStr">
        <is>
          <t>AI</t>
        </is>
      </c>
      <c r="Z88" t="inlineStr">
        <is>
          <t>P0 - Must (not) Have</t>
        </is>
      </c>
      <c r="AA88"/>
      <c r="AB88"/>
      <c r="AC88"/>
      <c r="AD88" t="inlineStr">
        <is>
          <t>NzUzMjAzNDQ5ODk2NDY2ODQ0NDo4OTU2NjM2ZC1jOTRmLTRhOWMtYjhmZC05N2M3OGQ0ZGY3ZmI6NTEwNGYzNWJhZjZmMTA5NzUxYjc4YTU2ODExYzgzOTI6MQ==</t>
        </is>
      </c>
      <c r="AE88"/>
    </row>
    <row r="89" ht="25.5" customHeight="1">
      <c r="A89" s="2" t="str">
        <f>=HYPERLINK("https://applink.feishu.cn/client/todo/detail?guid=a61fc4e5-f8f7-47ea-bf00-db89a59a1e5e&amp;suite_entity_num=t100147", "关卡锁定后，所有奖励应该无法访问")</f>
        <v>关卡锁定后，所有奖励应该无法访问</v>
      </c>
      <c r="B89"/>
      <c r="C89" t="inlineStr">
        <is>
          <t>默认分组</t>
        </is>
      </c>
      <c r="D89" t="inlineStr">
        <is>
          <t>1</t>
        </is>
      </c>
      <c r="E89" t="inlineStr">
        <is>
          <t>或签任务</t>
        </is>
      </c>
      <c r="F89"/>
      <c r="G89" t="inlineStr">
        <is>
          <t>0</t>
        </is>
      </c>
      <c r="H89"/>
      <c r="I89" t="inlineStr">
        <is>
          <t>Decay</t>
        </is>
      </c>
      <c r="J89" t="inlineStr">
        <is>
          <t>龚政涛,Decay</t>
        </is>
      </c>
      <c r="K89" t="inlineStr">
        <is>
          <t>龚政涛</t>
        </is>
      </c>
      <c r="L89" s="3">
        <v>45570.653136574074</v>
      </c>
      <c r="M89" s="3">
        <v>45621.333333333336</v>
      </c>
      <c r="N89" s="3">
        <v>45622.72519675926</v>
      </c>
      <c r="O89" s="3">
        <v>45622.333333333336</v>
      </c>
      <c r="P89" s="3">
        <v>45622.72519675926</v>
      </c>
      <c r="Q89" s="2" t="str">
        <f>=HYPERLINK("https://applink.feishu.cn/client/todo/task_list?guid=4d92b9af-66d1-4cd7-95d1-4b753a64ca6b", "跃入迷城")</f>
        <v>跃入迷城</v>
      </c>
      <c r="R89" t="inlineStr">
        <is>
          <t>4d92b9af-66d1-4cd7-95d1-4b753a64ca6b</t>
        </is>
      </c>
      <c r="S89" t="inlineStr">
        <is>
          <t>a61fc4e5-f8f7-47ea-bf00-db89a59a1e5e</t>
        </is>
      </c>
      <c r="T89">
        <v>0</v>
      </c>
      <c r="U89">
        <v>12</v>
      </c>
      <c r="V89" t="inlineStr">
        <is>
          <t>0.0.3</t>
        </is>
      </c>
      <c r="W89" t="inlineStr">
        <is>
          <t>已完成</t>
        </is>
      </c>
      <c r="X89"/>
      <c r="Y89" t="inlineStr">
        <is>
          <t>关卡</t>
        </is>
      </c>
      <c r="Z89" t="inlineStr">
        <is>
          <t>P0 - Must (not) Have</t>
        </is>
      </c>
      <c r="AA89"/>
      <c r="AB89" t="inlineStr">
        <is>
          <t>3a1ab4a5-d9de-4b77-bf64-43576de2c81e</t>
        </is>
      </c>
      <c r="AC89"/>
      <c r="AD89" t="inlineStr">
        <is>
          <t>NzUzMjAzNDQ5ODk2NDY2ODQ0NDphNjFmYzRlNS1mOGY3LTQ3ZWEtYmYwMC1kYjg5YTU5YTFlNWU6OThjMWIyYzU4MTdjN2VmZWI4MDBhMzFmNTk2ZWQwZGU6MQ==</t>
        </is>
      </c>
      <c r="AE89"/>
    </row>
    <row r="90" ht="25.5" customHeight="1">
      <c r="A90" s="2" t="str">
        <f>=HYPERLINK("https://applink.feishu.cn/client/todo/detail?guid=fb11afcc-26c6-4099-8256-8f4bcda9dd09&amp;suite_entity_num=t100133", "死亡后的敌人不应该渲染透视雷达效果")</f>
        <v>死亡后的敌人不应该渲染透视雷达效果</v>
      </c>
      <c r="B90"/>
      <c r="C90" t="inlineStr">
        <is>
          <t>默认分组</t>
        </is>
      </c>
      <c r="D90" t="inlineStr">
        <is>
          <t>1</t>
        </is>
      </c>
      <c r="E90" t="inlineStr">
        <is>
          <t>或签任务</t>
        </is>
      </c>
      <c r="F90"/>
      <c r="G90" t="inlineStr">
        <is>
          <t>0</t>
        </is>
      </c>
      <c r="H90"/>
      <c r="I90" t="inlineStr">
        <is>
          <t>Decay</t>
        </is>
      </c>
      <c r="J90" t="inlineStr">
        <is>
          <t>龚政涛,Decay</t>
        </is>
      </c>
      <c r="K90" t="inlineStr">
        <is>
          <t>龚政涛</t>
        </is>
      </c>
      <c r="L90" s="3">
        <v>45563.00564814815</v>
      </c>
      <c r="M90" s="3"/>
      <c r="N90" s="3">
        <v>45571.9922337963</v>
      </c>
      <c r="O90" s="3"/>
      <c r="P90" s="3">
        <v>45571.9922337963</v>
      </c>
      <c r="Q90" s="2" t="str">
        <f>=HYPERLINK("https://applink.feishu.cn/client/todo/task_list?guid=4d92b9af-66d1-4cd7-95d1-4b753a64ca6b", "跃入迷城")</f>
        <v>跃入迷城</v>
      </c>
      <c r="R90" t="inlineStr">
        <is>
          <t>4d92b9af-66d1-4cd7-95d1-4b753a64ca6b</t>
        </is>
      </c>
      <c r="S90" t="inlineStr">
        <is>
          <t>fb11afcc-26c6-4099-8256-8f4bcda9dd09</t>
        </is>
      </c>
      <c r="T90">
        <v>0</v>
      </c>
      <c r="U90">
        <v>1</v>
      </c>
      <c r="V90" t="inlineStr">
        <is>
          <t>0.0.2</t>
        </is>
      </c>
      <c r="W90" t="inlineStr">
        <is>
          <t>已完成</t>
        </is>
      </c>
      <c r="X90"/>
      <c r="Y90" t="inlineStr">
        <is>
          <t>操作</t>
        </is>
      </c>
      <c r="Z90"/>
      <c r="AA90"/>
      <c r="AB90"/>
      <c r="AC90"/>
      <c r="AD90" t="inlineStr">
        <is>
          <t>NzUzMjAzNDQ5ODk2NDY2ODQ0NDpmYjExYWZjYy0yNmM2LTQwOTktODI1Ni04ZjRiY2RhOWRkMDk6ODFmNzVhOTM0Njk3Y2JjOWYyMTNjNGU5Zjg1NjMwZjg6MQ==</t>
        </is>
      </c>
      <c r="AE90"/>
    </row>
    <row r="91" ht="25.5" customHeight="1">
      <c r="A91" s="2" t="str">
        <f>=HYPERLINK("https://applink.feishu.cn/client/todo/detail?guid=c8741210-6a11-4b88-8d20-0fd034d4db08&amp;suite_entity_num=t100135", "远程：修复AI弹道偏右的问题")</f>
        <v>远程：修复AI弹道偏右的问题</v>
      </c>
      <c r="B91"/>
      <c r="C91" t="inlineStr">
        <is>
          <t>默认分组</t>
        </is>
      </c>
      <c r="D91" t="inlineStr">
        <is>
          <t>1</t>
        </is>
      </c>
      <c r="E91" t="inlineStr">
        <is>
          <t>或签任务</t>
        </is>
      </c>
      <c r="F91"/>
      <c r="G91" t="inlineStr">
        <is>
          <t>0</t>
        </is>
      </c>
      <c r="H91"/>
      <c r="I91" t="inlineStr">
        <is>
          <t>李少秋,龚政涛,Decay</t>
        </is>
      </c>
      <c r="J91" t="inlineStr">
        <is>
          <t>龚政涛,李少秋,Decay</t>
        </is>
      </c>
      <c r="K91" t="inlineStr">
        <is>
          <t>龚政涛</t>
        </is>
      </c>
      <c r="L91" s="3">
        <v>45563.06056712963</v>
      </c>
      <c r="M91" s="3">
        <v>45600.333333333336</v>
      </c>
      <c r="N91" s="3">
        <v>45610.57469907407</v>
      </c>
      <c r="O91" s="3">
        <v>45603.333333333336</v>
      </c>
      <c r="P91" s="3">
        <v>45610.57469907407</v>
      </c>
      <c r="Q91" s="2" t="str">
        <f>=HYPERLINK("https://applink.feishu.cn/client/todo/task_list?guid=4d92b9af-66d1-4cd7-95d1-4b753a64ca6b", "跃入迷城")</f>
        <v>跃入迷城</v>
      </c>
      <c r="R91" t="inlineStr">
        <is>
          <t>4d92b9af-66d1-4cd7-95d1-4b753a64ca6b</t>
        </is>
      </c>
      <c r="S91" t="inlineStr">
        <is>
          <t>c8741210-6a11-4b88-8d20-0fd034d4db08</t>
        </is>
      </c>
      <c r="T91">
        <v>0</v>
      </c>
      <c r="U91">
        <v>1</v>
      </c>
      <c r="V91" t="inlineStr">
        <is>
          <t>0.0.3</t>
        </is>
      </c>
      <c r="W91" t="inlineStr">
        <is>
          <t>工作中</t>
        </is>
      </c>
      <c r="X91"/>
      <c r="Y91" t="inlineStr">
        <is>
          <t>AI</t>
        </is>
      </c>
      <c r="Z91" t="inlineStr">
        <is>
          <t>P0 - Must (not) Have</t>
        </is>
      </c>
      <c r="AA91"/>
      <c r="AB91" t="inlineStr">
        <is>
          <t>9415cba5-1449-4116-adc4-866fe428bc82</t>
        </is>
      </c>
      <c r="AC91"/>
      <c r="AD91" t="inlineStr">
        <is>
          <t>NzUzMjAzNDQ5ODk2NDY2ODQ0NDpjODc0MTIxMC02YTExLTRiODgtOGQyMC0wZmQwMzRkNGRiMDg6ZDYwYjRiNmNkOGE0ZjBjNWM2NWUxMDNkOTM2M2Q3ZGY6MQ==</t>
        </is>
      </c>
      <c r="AE91"/>
    </row>
    <row r="92" ht="25.5" customHeight="1">
      <c r="A92" s="2" t="str">
        <f>=HYPERLINK("https://applink.feishu.cn/client/todo/detail?guid=40183634-f012-4d1b-9010-c6e424669c97&amp;suite_entity_num=t100165", "切换关卡时战争迷雾会穿帮")</f>
        <v>切换关卡时战争迷雾会穿帮</v>
      </c>
      <c r="B92"/>
      <c r="C92" t="inlineStr">
        <is>
          <t>默认分组</t>
        </is>
      </c>
      <c r="D92" t="inlineStr">
        <is>
          <t>1</t>
        </is>
      </c>
      <c r="E92" t="inlineStr">
        <is>
          <t>或签任务</t>
        </is>
      </c>
      <c r="F92"/>
      <c r="G92" t="inlineStr">
        <is>
          <t>0</t>
        </is>
      </c>
      <c r="H92"/>
      <c r="I92" t="inlineStr">
        <is>
          <t>Decay</t>
        </is>
      </c>
      <c r="J92" t="inlineStr">
        <is>
          <t>龚政涛,Decay</t>
        </is>
      </c>
      <c r="K92" t="inlineStr">
        <is>
          <t>龚政涛</t>
        </is>
      </c>
      <c r="L92" s="3">
        <v>45572.015069444446</v>
      </c>
      <c r="M92" s="3"/>
      <c r="N92" s="3">
        <v>45595.62851851852</v>
      </c>
      <c r="O92" s="3">
        <v>45587.333333333336</v>
      </c>
      <c r="P92" s="3">
        <v>45595.628530092596</v>
      </c>
      <c r="Q92" s="2" t="str">
        <f>=HYPERLINK("https://applink.feishu.cn/client/todo/task_list?guid=4d92b9af-66d1-4cd7-95d1-4b753a64ca6b", "跃入迷城")</f>
        <v>跃入迷城</v>
      </c>
      <c r="R92" t="inlineStr">
        <is>
          <t>4d92b9af-66d1-4cd7-95d1-4b753a64ca6b</t>
        </is>
      </c>
      <c r="S92" t="inlineStr">
        <is>
          <t>40183634-f012-4d1b-9010-c6e424669c97</t>
        </is>
      </c>
      <c r="T92">
        <v>0</v>
      </c>
      <c r="U92">
        <v>5</v>
      </c>
      <c r="V92" t="inlineStr">
        <is>
          <t>0.0.2</t>
        </is>
      </c>
      <c r="W92" t="inlineStr">
        <is>
          <t>已完成</t>
        </is>
      </c>
      <c r="X92"/>
      <c r="Y92" t="inlineStr">
        <is>
          <t>操作</t>
        </is>
      </c>
      <c r="Z92" t="inlineStr">
        <is>
          <t>P0 - Must (not) Have</t>
        </is>
      </c>
      <c r="AA92"/>
      <c r="AB92"/>
      <c r="AC92"/>
      <c r="AD92" t="inlineStr">
        <is>
          <t>NzUzMjAzNDQ5ODk2NDY2ODQ0NDo0MDE4MzYzNC1mMDEyLTRkMWItOTAxMC1jNmU0MjQ2NjljOTc6ODcyNjAzOWFjMDYxMmQwZDZlZTU0MzZmOTY1ZTc1Mjk6MQ==</t>
        </is>
      </c>
      <c r="AE92"/>
    </row>
    <row r="93" ht="25.5" customHeight="1">
      <c r="A93" s="2" t="str">
        <f>=HYPERLINK("https://applink.feishu.cn/client/todo/detail?guid=4a8aced3-d639-4d9e-8d18-b92f36a61b9c&amp;suite_entity_num=t100146", "信用点系统")</f>
        <v>信用点系统</v>
      </c>
      <c r="B93"/>
      <c r="C93" t="inlineStr">
        <is>
          <t>默认分组</t>
        </is>
      </c>
      <c r="D93" t="inlineStr">
        <is>
          <t>1</t>
        </is>
      </c>
      <c r="E93" t="inlineStr">
        <is>
          <t>或签任务</t>
        </is>
      </c>
      <c r="F93"/>
      <c r="G93" t="inlineStr">
        <is>
          <t>0</t>
        </is>
      </c>
      <c r="H93"/>
      <c r="I93" t="inlineStr">
        <is>
          <t>Decay</t>
        </is>
      </c>
      <c r="J93" t="inlineStr">
        <is>
          <t>苏祺恒,龚政涛,Decay</t>
        </is>
      </c>
      <c r="K93" t="inlineStr">
        <is>
          <t>龚政涛</t>
        </is>
      </c>
      <c r="L93" s="3">
        <v>45570.65273148148</v>
      </c>
      <c r="M93" s="3"/>
      <c r="N93" s="3">
        <v>45595.62863425926</v>
      </c>
      <c r="O93" s="3">
        <v>45594.333333333336</v>
      </c>
      <c r="P93" s="3">
        <v>45595.628657407404</v>
      </c>
      <c r="Q93" s="2" t="str">
        <f>=HYPERLINK("https://applink.feishu.cn/client/todo/task_list?guid=4d92b9af-66d1-4cd7-95d1-4b753a64ca6b", "跃入迷城")</f>
        <v>跃入迷城</v>
      </c>
      <c r="R93" t="inlineStr">
        <is>
          <t>4d92b9af-66d1-4cd7-95d1-4b753a64ca6b</t>
        </is>
      </c>
      <c r="S93" t="inlineStr">
        <is>
          <t>4a8aced3-d639-4d9e-8d18-b92f36a61b9c</t>
        </is>
      </c>
      <c r="T93">
        <v>0</v>
      </c>
      <c r="U93">
        <v>4</v>
      </c>
      <c r="V93" t="inlineStr">
        <is>
          <t>0.0.2</t>
        </is>
      </c>
      <c r="W93" t="inlineStr">
        <is>
          <t>已完成</t>
        </is>
      </c>
      <c r="X93"/>
      <c r="Y93" t="inlineStr">
        <is>
          <t>操作</t>
        </is>
      </c>
      <c r="Z93" t="inlineStr">
        <is>
          <t>P0 - Must (not) Have</t>
        </is>
      </c>
      <c r="AA93"/>
      <c r="AB93"/>
      <c r="AC93"/>
      <c r="AD93" t="inlineStr">
        <is>
          <t>NzUzMjAzNDQ5ODk2NDY2ODQ0NDo0YThhY2VkMy1kNjM5LTRkOWUtOGQxOC1iOTJmMzZhNjFiOWM6ZTdlNTJmOGIzOGFjMTc2Nzg0NjQ4YWUwMjdhZGYwMmU6MQ==</t>
        </is>
      </c>
      <c r="AE93"/>
    </row>
    <row r="94" ht="25.5" customHeight="1">
      <c r="A94" s="2" t="str">
        <f>=HYPERLINK("https://applink.feishu.cn/client/todo/detail?guid=9083d7b8-1dc7-4dde-b0e0-f66f2664b83a&amp;suite_entity_num=t100138", "近战：敌人增加移动 -&gt; 等待逻辑，类似远程敌人")</f>
        <v>近战：敌人增加移动 -&gt; 等待逻辑，类似远程敌人</v>
      </c>
      <c r="B94"/>
      <c r="C94" t="inlineStr">
        <is>
          <t>默认分组</t>
        </is>
      </c>
      <c r="D94" t="inlineStr">
        <is>
          <t>1</t>
        </is>
      </c>
      <c r="E94" t="inlineStr">
        <is>
          <t>或签任务</t>
        </is>
      </c>
      <c r="F94"/>
      <c r="G94" t="inlineStr">
        <is>
          <t>0</t>
        </is>
      </c>
      <c r="H94"/>
      <c r="I94" t="inlineStr">
        <is>
          <t>李少秋</t>
        </is>
      </c>
      <c r="J94" t="inlineStr">
        <is>
          <t>龚政涛,李少秋</t>
        </is>
      </c>
      <c r="K94" t="inlineStr">
        <is>
          <t>龚政涛</t>
        </is>
      </c>
      <c r="L94" s="3">
        <v>45563.062210648146</v>
      </c>
      <c r="M94" s="3"/>
      <c r="N94" s="3">
        <v>45611.697916666664</v>
      </c>
      <c r="O94" s="3"/>
      <c r="P94" s="3">
        <v>45611.69793981482</v>
      </c>
      <c r="Q94" s="2" t="str">
        <f>=HYPERLINK("https://applink.feishu.cn/client/todo/task_list?guid=4d92b9af-66d1-4cd7-95d1-4b753a64ca6b", "跃入迷城")</f>
        <v>跃入迷城</v>
      </c>
      <c r="R94" t="inlineStr">
        <is>
          <t>4d92b9af-66d1-4cd7-95d1-4b753a64ca6b</t>
        </is>
      </c>
      <c r="S94" t="inlineStr">
        <is>
          <t>9083d7b8-1dc7-4dde-b0e0-f66f2664b83a</t>
        </is>
      </c>
      <c r="T94">
        <v>0</v>
      </c>
      <c r="U94">
        <v>0</v>
      </c>
      <c r="V94" t="inlineStr">
        <is>
          <t>0.0.3</t>
        </is>
      </c>
      <c r="W94" t="inlineStr">
        <is>
          <t>已完成</t>
        </is>
      </c>
      <c r="X94"/>
      <c r="Y94" t="inlineStr">
        <is>
          <t>AI</t>
        </is>
      </c>
      <c r="Z94" t="inlineStr">
        <is>
          <t>P2 - Nice to Have</t>
        </is>
      </c>
      <c r="AA94"/>
      <c r="AB94"/>
      <c r="AC94"/>
      <c r="AD94" t="inlineStr">
        <is>
          <t>NzUzMjAzNDQ5ODk2NDY2ODQ0NDo5MDgzZDdiOC0xZGM3LTRkZGUtYjBlMC1mNjZmMjY2NGI4M2E6YmUzM2RiYTAxYzU1YWJlMmQxYzlhZTE2ZjEyOTZhOTE6MQ==</t>
        </is>
      </c>
      <c r="AE94"/>
    </row>
    <row r="95" ht="25.5" customHeight="1">
      <c r="A95" s="2" t="str">
        <f>=HYPERLINK("https://applink.feishu.cn/client/todo/detail?guid=4a6001a4-fb45-4c58-9f6a-084eab1b09e4&amp;suite_entity_num=t100148", "翻滚应该忽略Character的碰撞体积")</f>
        <v>翻滚应该忽略Character的碰撞体积</v>
      </c>
      <c r="B95"/>
      <c r="C95" t="inlineStr">
        <is>
          <t>默认分组</t>
        </is>
      </c>
      <c r="D95" t="inlineStr">
        <is>
          <t>1</t>
        </is>
      </c>
      <c r="E95" t="inlineStr">
        <is>
          <t>或签任务</t>
        </is>
      </c>
      <c r="F95"/>
      <c r="G95" t="inlineStr">
        <is>
          <t>0</t>
        </is>
      </c>
      <c r="H95"/>
      <c r="I95" t="inlineStr">
        <is>
          <t>Decay</t>
        </is>
      </c>
      <c r="J95" t="inlineStr">
        <is>
          <t>龚政涛,Decay</t>
        </is>
      </c>
      <c r="K95" t="inlineStr">
        <is>
          <t>龚政涛</t>
        </is>
      </c>
      <c r="L95" s="3">
        <v>45570.65454861111</v>
      </c>
      <c r="M95" s="3"/>
      <c r="N95" s="3">
        <v>45571.980462962965</v>
      </c>
      <c r="O95" s="3"/>
      <c r="P95" s="3">
        <v>45576.062627314815</v>
      </c>
      <c r="Q95" s="2" t="str">
        <f>=HYPERLINK("https://applink.feishu.cn/client/todo/task_list?guid=4d92b9af-66d1-4cd7-95d1-4b753a64ca6b", "跃入迷城")</f>
        <v>跃入迷城</v>
      </c>
      <c r="R95" t="inlineStr">
        <is>
          <t>4d92b9af-66d1-4cd7-95d1-4b753a64ca6b</t>
        </is>
      </c>
      <c r="S95" t="inlineStr">
        <is>
          <t>4a6001a4-fb45-4c58-9f6a-084eab1b09e4</t>
        </is>
      </c>
      <c r="T95">
        <v>0</v>
      </c>
      <c r="U95">
        <v>1</v>
      </c>
      <c r="V95" t="inlineStr">
        <is>
          <t>0.0.2</t>
        </is>
      </c>
      <c r="W95" t="inlineStr">
        <is>
          <t>已废弃</t>
        </is>
      </c>
      <c r="X95"/>
      <c r="Y95" t="inlineStr">
        <is>
          <t>操作</t>
        </is>
      </c>
      <c r="Z95"/>
      <c r="AA95"/>
      <c r="AB95"/>
      <c r="AC95"/>
      <c r="AD95" t="inlineStr">
        <is>
          <t>NzUzMjAzNDQ5ODk2NDY2ODQ0NDo0YTYwMDFhNC1mYjQ1LTRjNTgtOWY2YS0wODRlYWIxYjA5ZTQ6OGQ4MTdmNjA2ZWZhZDkxMmZiNzEwZWQwZWI0ZDJiNjc6MQ==</t>
        </is>
      </c>
      <c r="AE95"/>
    </row>
    <row r="96" ht="25.5" customHeight="1">
      <c r="A96" s="2" t="str">
        <f>=HYPERLINK("https://applink.feishu.cn/client/todo/detail?guid=3a1ab4a5-d9de-4b77-bf64-43576de2c81e&amp;suite_entity_num=t100166", "敌人掉落物应该跟随敌人BP走，在每个BP内手工配表")</f>
        <v>敌人掉落物应该跟随敌人BP走，在每个BP内手工配表</v>
      </c>
      <c r="B96" t="inlineStr">
        <is>
          <t>- 掉落物表结构应该如下：
- 掉落物
- 掉落概率（百分比，1~100）
- 掉落量下限
- 掉落量上限
- 每个凋落物单独计算掉落概率，因此掉落概率总和可以&lt;或&gt;100%
- 如果随机确认掉落，则在掉落量下限和上限之间随机一个数值生成掉落物</t>
        </is>
      </c>
      <c r="C96" t="inlineStr">
        <is>
          <t>默认分组</t>
        </is>
      </c>
      <c r="D96" t="inlineStr">
        <is>
          <t>1</t>
        </is>
      </c>
      <c r="E96" t="inlineStr">
        <is>
          <t>或签任务</t>
        </is>
      </c>
      <c r="F96"/>
      <c r="G96" t="inlineStr">
        <is>
          <t>0</t>
        </is>
      </c>
      <c r="H96"/>
      <c r="I96" t="inlineStr">
        <is>
          <t>Decay</t>
        </is>
      </c>
      <c r="J96" t="inlineStr">
        <is>
          <t>龚政涛</t>
        </is>
      </c>
      <c r="K96" t="inlineStr">
        <is>
          <t>龚政涛</t>
        </is>
      </c>
      <c r="L96" s="3">
        <v>45572.58520833333</v>
      </c>
      <c r="M96" s="3"/>
      <c r="N96" s="3">
        <v>45719.52681712963</v>
      </c>
      <c r="O96" s="3">
        <v>45633.333333333336</v>
      </c>
      <c r="P96" s="3">
        <v>45719.52681712963</v>
      </c>
      <c r="Q96" s="2" t="str">
        <f>=HYPERLINK("https://applink.feishu.cn/client/todo/task_list?guid=4d92b9af-66d1-4cd7-95d1-4b753a64ca6b", "跃入迷城")</f>
        <v>跃入迷城</v>
      </c>
      <c r="R96" t="inlineStr">
        <is>
          <t>4d92b9af-66d1-4cd7-95d1-4b753a64ca6b</t>
        </is>
      </c>
      <c r="S96" t="inlineStr">
        <is>
          <t>3a1ab4a5-d9de-4b77-bf64-43576de2c81e</t>
        </is>
      </c>
      <c r="T96">
        <v>0</v>
      </c>
      <c r="U96">
        <v>1</v>
      </c>
      <c r="V96" t="inlineStr">
        <is>
          <t>0.0.3</t>
        </is>
      </c>
      <c r="W96" t="inlineStr">
        <is>
          <t>已完成</t>
        </is>
      </c>
      <c r="X96"/>
      <c r="Y96" t="inlineStr">
        <is>
          <t>关卡</t>
        </is>
      </c>
      <c r="Z96" t="inlineStr">
        <is>
          <t>P0 - Must (not) Have</t>
        </is>
      </c>
      <c r="AA96" t="inlineStr">
        <is>
          <t>a61fc4e5-f8f7-47ea-bf00-db89a59a1e5e</t>
        </is>
      </c>
      <c r="AB96"/>
      <c r="AC96"/>
      <c r="AD96" t="inlineStr">
        <is>
          <t>NzUzMjAzNDQ5ODk2NDY2ODQ0NDozYTFhYjRhNS1kOWRlLTRiNzctYmY2NC00MzU3NmRlMmM4MWU6ZGJhNzk2MDc0NzVmOTQxMWRkNzljNjUxOWM0M2U4NjE6MQ==</t>
        </is>
      </c>
      <c r="AE96"/>
    </row>
    <row r="97" ht="25.5" customHeight="1">
      <c r="A97" s="2" t="str">
        <f>=HYPERLINK("https://applink.feishu.cn/client/todo/detail?guid=dbed2503-b79e-4cec-957f-f12a6f694242&amp;suite_entity_num=t100137", "远程：敌人增加动作逻辑，瞄准后移动")</f>
        <v>远程：敌人增加动作逻辑，瞄准后移动</v>
      </c>
      <c r="B97" t="inlineStr">
        <is>
          <t>远程敌人追加一个eqs权重规则：玩家身边{300}半径eqs减少{50%}，这样结合前面的攻击 -&gt; 移动逻辑，在玩家接近远程敌人时，远程敌人如果触发攻击则原地攻击，如果触发移动则会尝试离开玩家
- 关于这个，不确定optimized attack distance如何实现，如果远程敌人倾向于保持optimized attack distance，那应该不需要这层eqs逻辑？</t>
        </is>
      </c>
      <c r="C97" t="inlineStr">
        <is>
          <t>默认分组</t>
        </is>
      </c>
      <c r="D97" t="inlineStr">
        <is>
          <t>1</t>
        </is>
      </c>
      <c r="E97" t="inlineStr">
        <is>
          <t>或签任务</t>
        </is>
      </c>
      <c r="F97"/>
      <c r="G97" t="inlineStr">
        <is>
          <t>0</t>
        </is>
      </c>
      <c r="H97"/>
      <c r="I97" t="inlineStr">
        <is>
          <t>龚政涛</t>
        </is>
      </c>
      <c r="J97" t="inlineStr">
        <is>
          <t>李少秋,龚政涛</t>
        </is>
      </c>
      <c r="K97" t="inlineStr">
        <is>
          <t>龚政涛</t>
        </is>
      </c>
      <c r="L97" s="3">
        <v>45563.060891203706</v>
      </c>
      <c r="M97" s="3">
        <v>45600.333333333336</v>
      </c>
      <c r="N97" s="3">
        <v>45610.57467592593</v>
      </c>
      <c r="O97" s="3">
        <v>45603.333333333336</v>
      </c>
      <c r="P97" s="3">
        <v>45733.70936342593</v>
      </c>
      <c r="Q97" s="2" t="str">
        <f>=HYPERLINK("https://applink.feishu.cn/client/todo/task_list?guid=4d92b9af-66d1-4cd7-95d1-4b753a64ca6b", "跃入迷城")</f>
        <v>跃入迷城</v>
      </c>
      <c r="R97" t="inlineStr">
        <is>
          <t>4d92b9af-66d1-4cd7-95d1-4b753a64ca6b</t>
        </is>
      </c>
      <c r="S97" t="inlineStr">
        <is>
          <t>dbed2503-b79e-4cec-957f-f12a6f694242</t>
        </is>
      </c>
      <c r="T97">
        <v>0</v>
      </c>
      <c r="U97">
        <v>0</v>
      </c>
      <c r="V97" t="inlineStr">
        <is>
          <t>0.0.3</t>
        </is>
      </c>
      <c r="W97" t="inlineStr">
        <is>
          <t>已完成</t>
        </is>
      </c>
      <c r="X97"/>
      <c r="Y97" t="inlineStr">
        <is>
          <t>AI</t>
        </is>
      </c>
      <c r="Z97" t="inlineStr">
        <is>
          <t>P2 - Nice to Have</t>
        </is>
      </c>
      <c r="AA97"/>
      <c r="AB97"/>
      <c r="AC97"/>
      <c r="AD97" t="inlineStr">
        <is>
          <t>NzUzMjAzNDQ5ODk2NDY2ODQ0NDpkYmVkMjUwMy1iNzllLTRjZWMtOTU3Zi1mMTJhNmY2OTQyNDI6ZDM3Y2RhNzhkM2JlZDc3YjQ5YzRiNzM5MzI0OWEwMzg6MQ==</t>
        </is>
      </c>
      <c r="AE97"/>
    </row>
    <row r="98" ht="25.5" customHeight="1">
      <c r="A98" s="2" t="str">
        <f>=HYPERLINK("https://applink.feishu.cn/client/todo/detail?guid=133beb8a-b088-4ee5-937a-c68ae500c715&amp;suite_entity_num=t100145", "从尸体拾取的系统")</f>
        <v>从尸体拾取的系统</v>
      </c>
      <c r="B98"/>
      <c r="C98" t="inlineStr">
        <is>
          <t>默认分组</t>
        </is>
      </c>
      <c r="D98" t="inlineStr">
        <is>
          <t>1</t>
        </is>
      </c>
      <c r="E98" t="inlineStr">
        <is>
          <t>或签任务</t>
        </is>
      </c>
      <c r="F98"/>
      <c r="G98" t="inlineStr">
        <is>
          <t>0</t>
        </is>
      </c>
      <c r="H98"/>
      <c r="I98" t="inlineStr">
        <is>
          <t>Decay</t>
        </is>
      </c>
      <c r="J98" t="inlineStr">
        <is>
          <t>龚政涛,Decay</t>
        </is>
      </c>
      <c r="K98" t="inlineStr">
        <is>
          <t>龚政涛</t>
        </is>
      </c>
      <c r="L98" s="3">
        <v>45570.652349537035</v>
      </c>
      <c r="M98" s="3"/>
      <c r="N98" s="3">
        <v>45571.98159722222</v>
      </c>
      <c r="O98" s="3"/>
      <c r="P98" s="3">
        <v>45571.9816087963</v>
      </c>
      <c r="Q98" s="2" t="str">
        <f>=HYPERLINK("https://applink.feishu.cn/client/todo/task_list?guid=4d92b9af-66d1-4cd7-95d1-4b753a64ca6b", "跃入迷城")</f>
        <v>跃入迷城</v>
      </c>
      <c r="R98" t="inlineStr">
        <is>
          <t>4d92b9af-66d1-4cd7-95d1-4b753a64ca6b</t>
        </is>
      </c>
      <c r="S98" t="inlineStr">
        <is>
          <t>133beb8a-b088-4ee5-937a-c68ae500c715</t>
        </is>
      </c>
      <c r="T98">
        <v>0</v>
      </c>
      <c r="U98">
        <v>1</v>
      </c>
      <c r="V98" t="inlineStr">
        <is>
          <t>0.0.2</t>
        </is>
      </c>
      <c r="W98" t="inlineStr">
        <is>
          <t>已废弃</t>
        </is>
      </c>
      <c r="X98"/>
      <c r="Y98" t="inlineStr">
        <is>
          <t>操作</t>
        </is>
      </c>
      <c r="Z98"/>
      <c r="AA98"/>
      <c r="AB98"/>
      <c r="AC98"/>
      <c r="AD98" t="inlineStr">
        <is>
          <t>NzUzMjAzNDQ5ODk2NDY2ODQ0NDoxMzNiZWI4YS1iMDg4LTRlZTUtOTM3YS1jNjhhZTUwMGM3MTU6ZjEzOTQ5ODQxNzA3MmU3MjRiMjc1ZTQzZjAwN2ZkZTU6MQ==</t>
        </is>
      </c>
      <c r="AE98"/>
    </row>
    <row r="99" ht="25.5" customHeight="1">
      <c r="A99" s="2" t="str">
        <f>=HYPERLINK("https://applink.feishu.cn/client/todo/detail?guid=83f38cc4-5b6b-4564-9f4c-b628c2f195e8&amp;suite_entity_num=t100140", "[图片]还有个诡异的bug，我现在的门的box是无视projectile的collision的，但子弹还是会被“开着的”门吸收掉")</f>
        <v>[图片]还有个诡异的bug，我现在的门的box是无视projectile的collision的，但子弹还是会被“开着的”门吸收掉</v>
      </c>
      <c r="B99"/>
      <c r="C99" t="inlineStr">
        <is>
          <t>默认分组</t>
        </is>
      </c>
      <c r="D99" t="inlineStr">
        <is>
          <t>1</t>
        </is>
      </c>
      <c r="E99" t="inlineStr">
        <is>
          <t>或签任务</t>
        </is>
      </c>
      <c r="F99"/>
      <c r="G99" t="inlineStr">
        <is>
          <t>0</t>
        </is>
      </c>
      <c r="H99"/>
      <c r="I99" t="inlineStr">
        <is>
          <t>Decay</t>
        </is>
      </c>
      <c r="J99" t="inlineStr">
        <is>
          <t>龚政涛,Decay</t>
        </is>
      </c>
      <c r="K99" t="inlineStr">
        <is>
          <t>龚政涛</t>
        </is>
      </c>
      <c r="L99" s="3">
        <v>45566.607303240744</v>
      </c>
      <c r="M99" s="3"/>
      <c r="N99" s="3">
        <v>45571.99186342592</v>
      </c>
      <c r="O99" s="3"/>
      <c r="P99" s="3">
        <v>45571.991875</v>
      </c>
      <c r="Q99" s="2" t="str">
        <f>=HYPERLINK("https://applink.feishu.cn/client/todo/task_list?guid=4d92b9af-66d1-4cd7-95d1-4b753a64ca6b", "跃入迷城")</f>
        <v>跃入迷城</v>
      </c>
      <c r="R99" t="inlineStr">
        <is>
          <t>4d92b9af-66d1-4cd7-95d1-4b753a64ca6b</t>
        </is>
      </c>
      <c r="S99" t="inlineStr">
        <is>
          <t>83f38cc4-5b6b-4564-9f4c-b628c2f195e8</t>
        </is>
      </c>
      <c r="T99">
        <v>0</v>
      </c>
      <c r="U99">
        <v>1</v>
      </c>
      <c r="V99" t="inlineStr">
        <is>
          <t>0.0.2</t>
        </is>
      </c>
      <c r="W99" t="inlineStr">
        <is>
          <t>已完成</t>
        </is>
      </c>
      <c r="X99"/>
      <c r="Y99" t="inlineStr">
        <is>
          <t>操作</t>
        </is>
      </c>
      <c r="Z99"/>
      <c r="AA99"/>
      <c r="AB99"/>
      <c r="AC99"/>
      <c r="AD99" t="inlineStr">
        <is>
          <t>NzUzMjAzNDQ5ODk2NDY2ODQ0NDo4M2YzOGNjNC01YjZiLTQ1NjQtOWY0Yy1iNjI4YzJmMTk1ZTg6NGVmZDg1Zjc4NDQ2MWQxZWQ5NGU4MDM4YmI5MGY4YjU6MQ==</t>
        </is>
      </c>
      <c r="AE99"/>
    </row>
    <row r="100" ht="25.5" customHeight="1">
      <c r="A100" s="2" t="str">
        <f>=HYPERLINK("https://applink.feishu.cn/client/todo/detail?guid=58eb5cf8-f905-4024-a1b8-ce30e5e13b63&amp;suite_entity_num=t100167", "切换到lyra动画")</f>
        <v>切换到lyra动画</v>
      </c>
      <c r="B100"/>
      <c r="C100" t="inlineStr">
        <is>
          <t>默认分组</t>
        </is>
      </c>
      <c r="D100" t="inlineStr">
        <is>
          <t>1</t>
        </is>
      </c>
      <c r="E100" t="inlineStr">
        <is>
          <t>或签任务</t>
        </is>
      </c>
      <c r="F100"/>
      <c r="G100" t="inlineStr">
        <is>
          <t>0</t>
        </is>
      </c>
      <c r="H100"/>
      <c r="I100" t="inlineStr">
        <is>
          <t>Decay</t>
        </is>
      </c>
      <c r="J100" t="inlineStr">
        <is>
          <t>Decay,龚政涛</t>
        </is>
      </c>
      <c r="K100" t="inlineStr">
        <is>
          <t>龚政涛</t>
        </is>
      </c>
      <c r="L100" s="3">
        <v>45576.052453703705</v>
      </c>
      <c r="M100" s="3">
        <v>45593.333333333336</v>
      </c>
      <c r="N100" s="3">
        <v>45614.467824074076</v>
      </c>
      <c r="O100" s="3">
        <v>45603.333333333336</v>
      </c>
      <c r="P100" s="3">
        <v>45614.467835648145</v>
      </c>
      <c r="Q100" s="2" t="str">
        <f>=HYPERLINK("https://applink.feishu.cn/client/todo/task_list?guid=4d92b9af-66d1-4cd7-95d1-4b753a64ca6b", "跃入迷城")</f>
        <v>跃入迷城</v>
      </c>
      <c r="R100" t="inlineStr">
        <is>
          <t>4d92b9af-66d1-4cd7-95d1-4b753a64ca6b</t>
        </is>
      </c>
      <c r="S100" t="inlineStr">
        <is>
          <t>58eb5cf8-f905-4024-a1b8-ce30e5e13b63</t>
        </is>
      </c>
      <c r="T100">
        <v>0</v>
      </c>
      <c r="U100">
        <v>3</v>
      </c>
      <c r="V100" t="inlineStr">
        <is>
          <t>0.0.3</t>
        </is>
      </c>
      <c r="W100" t="inlineStr">
        <is>
          <t>已完成</t>
        </is>
      </c>
      <c r="X100"/>
      <c r="Y100" t="inlineStr">
        <is>
          <t>动画</t>
        </is>
      </c>
      <c r="Z100" t="inlineStr">
        <is>
          <t>P1 - Bigger the Better</t>
        </is>
      </c>
      <c r="AA100"/>
      <c r="AB100" t="inlineStr">
        <is>
          <t>15822456-b614-4909-8985-0469652690ea</t>
        </is>
      </c>
      <c r="AC100"/>
      <c r="AD100" t="inlineStr">
        <is>
          <t>NzUzMjAzNDQ5ODk2NDY2ODQ0NDo1OGViNWNmOC1mOTA1LTQwMjQtYTFiOC1jZTMwZTVlMTNiNjM6MzI0MzMzNTc1NzliYmJlY2NkNzEwYTBkNzRhMmQyZjQ6MQ==</t>
        </is>
      </c>
      <c r="AE100"/>
    </row>
    <row r="101" ht="25.5" customHeight="1">
      <c r="A101" s="2" t="str">
        <f>=HYPERLINK("https://applink.feishu.cn/client/todo/detail?guid=fcc7fe80-1f78-43c7-9a33-dcd5ad5c05e8&amp;suite_entity_num=t100203", "修复散弹枪逻辑：{1}发子弹消耗可以发出{N}发伤害弹丸")</f>
        <v>修复散弹枪逻辑：{1}发子弹消耗可以发出{N}发伤害弹丸</v>
      </c>
      <c r="B101"/>
      <c r="C101" t="inlineStr">
        <is>
          <t>默认分组</t>
        </is>
      </c>
      <c r="D101" t="inlineStr">
        <is>
          <t>1</t>
        </is>
      </c>
      <c r="E101" t="inlineStr">
        <is>
          <t>或签任务</t>
        </is>
      </c>
      <c r="F101"/>
      <c r="G101" t="inlineStr">
        <is>
          <t>0</t>
        </is>
      </c>
      <c r="H101"/>
      <c r="I101" t="inlineStr">
        <is>
          <t>Decay</t>
        </is>
      </c>
      <c r="J101" t="inlineStr">
        <is>
          <t>龚政涛,Decay</t>
        </is>
      </c>
      <c r="K101" t="inlineStr">
        <is>
          <t>龚政涛</t>
        </is>
      </c>
      <c r="L101" s="3">
        <v>45586.60561342593</v>
      </c>
      <c r="M101" s="3">
        <v>45621.333333333336</v>
      </c>
      <c r="N101" s="3">
        <v>45622.658159722225</v>
      </c>
      <c r="O101" s="3">
        <v>45622.333333333336</v>
      </c>
      <c r="P101" s="3">
        <v>45622.658159722225</v>
      </c>
      <c r="Q101" s="2" t="str">
        <f>=HYPERLINK("https://applink.feishu.cn/client/todo/task_list?guid=4d92b9af-66d1-4cd7-95d1-4b753a64ca6b", "跃入迷城")</f>
        <v>跃入迷城</v>
      </c>
      <c r="R101" t="inlineStr">
        <is>
          <t>4d92b9af-66d1-4cd7-95d1-4b753a64ca6b</t>
        </is>
      </c>
      <c r="S101" t="inlineStr">
        <is>
          <t>fcc7fe80-1f78-43c7-9a33-dcd5ad5c05e8</t>
        </is>
      </c>
      <c r="T101">
        <v>0</v>
      </c>
      <c r="U101">
        <v>1</v>
      </c>
      <c r="V101" t="inlineStr">
        <is>
          <t>0.0.3</t>
        </is>
      </c>
      <c r="W101" t="inlineStr">
        <is>
          <t>已完成</t>
        </is>
      </c>
      <c r="X101"/>
      <c r="Y101" t="inlineStr">
        <is>
          <t>装备</t>
        </is>
      </c>
      <c r="Z101" t="inlineStr">
        <is>
          <t>P0 - Must (not) Have</t>
        </is>
      </c>
      <c r="AA101"/>
      <c r="AB101"/>
      <c r="AC101"/>
      <c r="AD101" t="inlineStr">
        <is>
          <t>NzUzMjAzNDQ5ODk2NDY2ODQ0NDpmY2M3ZmU4MC0xZjc4LTQzYzctOWEzMy1kY2Q1YWQ1YzA1ZTg6NWMxMmQxZjM0NjQ5MDNjNTkyMGZiM2FkNDA1MzJkYmM6MQ==</t>
        </is>
      </c>
      <c r="AE101"/>
    </row>
    <row r="102" ht="25.5" customHeight="1">
      <c r="A102" s="2" t="str">
        <f>=HYPERLINK("https://applink.feishu.cn/client/todo/detail?guid=c9ee1548-1d28-435f-9abd-6446bfc05b90&amp;suite_entity_num=t100202", "战争迷雾灰色层进行抽色：只保留黑白通道")</f>
        <v>战争迷雾灰色层进行抽色：只保留黑白通道</v>
      </c>
      <c r="B102"/>
      <c r="C102" t="inlineStr">
        <is>
          <t>默认分组</t>
        </is>
      </c>
      <c r="D102" t="inlineStr">
        <is>
          <t>1</t>
        </is>
      </c>
      <c r="E102" t="inlineStr">
        <is>
          <t>或签任务</t>
        </is>
      </c>
      <c r="F102"/>
      <c r="G102" t="inlineStr">
        <is>
          <t>0</t>
        </is>
      </c>
      <c r="H102"/>
      <c r="I102" t="inlineStr">
        <is>
          <t>Decay</t>
        </is>
      </c>
      <c r="J102" t="inlineStr">
        <is>
          <t>龚政涛,Decay</t>
        </is>
      </c>
      <c r="K102" t="inlineStr">
        <is>
          <t>龚政涛</t>
        </is>
      </c>
      <c r="L102" s="3">
        <v>45586.571863425925</v>
      </c>
      <c r="M102" s="3">
        <v>45622.333333333336</v>
      </c>
      <c r="N102" s="3">
        <v>45623.591527777775</v>
      </c>
      <c r="O102" s="3">
        <v>45623.333333333336</v>
      </c>
      <c r="P102" s="3">
        <v>45623.59153935185</v>
      </c>
      <c r="Q102" s="2" t="str">
        <f>=HYPERLINK("https://applink.feishu.cn/client/todo/task_list?guid=4d92b9af-66d1-4cd7-95d1-4b753a64ca6b", "跃入迷城")</f>
        <v>跃入迷城</v>
      </c>
      <c r="R102" t="inlineStr">
        <is>
          <t>4d92b9af-66d1-4cd7-95d1-4b753a64ca6b</t>
        </is>
      </c>
      <c r="S102" t="inlineStr">
        <is>
          <t>c9ee1548-1d28-435f-9abd-6446bfc05b90</t>
        </is>
      </c>
      <c r="T102">
        <v>0</v>
      </c>
      <c r="U102">
        <v>2</v>
      </c>
      <c r="V102" t="inlineStr">
        <is>
          <t>0.0.3</t>
        </is>
      </c>
      <c r="W102" t="inlineStr">
        <is>
          <t>已完成</t>
        </is>
      </c>
      <c r="X102"/>
      <c r="Y102" t="inlineStr">
        <is>
          <t>镜头</t>
        </is>
      </c>
      <c r="Z102" t="inlineStr">
        <is>
          <t>P2 - Nice to Have</t>
        </is>
      </c>
      <c r="AA102"/>
      <c r="AB102"/>
      <c r="AC102"/>
      <c r="AD102" t="inlineStr">
        <is>
          <t>NzUzMjAzNDQ5ODk2NDY2ODQ0NDpjOWVlMTU0OC0xZDI4LTQzNWYtOWFiZC02NDQ2YmZjMDViOTA6NTdmZjNiZWMyMTBlM2M1ZjU5MGY3ZGRhOTkxMzEzMGI6MQ==</t>
        </is>
      </c>
      <c r="AE102"/>
    </row>
    <row r="103" ht="25.5" customHeight="1">
      <c r="A103" s="2" t="str">
        <f>=HYPERLINK("https://applink.feishu.cn/client/todo/detail?guid=75122199-7db5-4299-8429-cacb2dd9cc2e&amp;suite_entity_num=t100198", "Arena")</f>
        <v>Arena</v>
      </c>
      <c r="B103"/>
      <c r="C103" t="inlineStr">
        <is>
          <t>默认分组</t>
        </is>
      </c>
      <c r="D103" t="inlineStr">
        <is>
          <t>1</t>
        </is>
      </c>
      <c r="E103" t="inlineStr">
        <is>
          <t>或签任务</t>
        </is>
      </c>
      <c r="F103"/>
      <c r="G103" t="inlineStr">
        <is>
          <t>0</t>
        </is>
      </c>
      <c r="H103"/>
      <c r="I103" t="inlineStr">
        <is>
          <t>Decay</t>
        </is>
      </c>
      <c r="J103" t="inlineStr">
        <is>
          <t>Decay,龚政涛</t>
        </is>
      </c>
      <c r="K103" t="inlineStr">
        <is>
          <t>Decay</t>
        </is>
      </c>
      <c r="L103" s="3">
        <v>45583.644733796296</v>
      </c>
      <c r="M103" s="3"/>
      <c r="N103" s="3">
        <v>45595.62793981482</v>
      </c>
      <c r="O103" s="3">
        <v>45594.333333333336</v>
      </c>
      <c r="P103" s="3">
        <v>45595.62793981482</v>
      </c>
      <c r="Q103" s="2" t="str">
        <f>=HYPERLINK("https://applink.feishu.cn/client/todo/task_list?guid=4d92b9af-66d1-4cd7-95d1-4b753a64ca6b", "跃入迷城")</f>
        <v>跃入迷城</v>
      </c>
      <c r="R103" t="inlineStr">
        <is>
          <t>4d92b9af-66d1-4cd7-95d1-4b753a64ca6b</t>
        </is>
      </c>
      <c r="S103" t="inlineStr">
        <is>
          <t>75122199-7db5-4299-8429-cacb2dd9cc2e</t>
        </is>
      </c>
      <c r="T103">
        <v>0</v>
      </c>
      <c r="U103">
        <v>1</v>
      </c>
      <c r="V103" t="inlineStr">
        <is>
          <t>0.0.2</t>
        </is>
      </c>
      <c r="W103" t="inlineStr">
        <is>
          <t>已完成</t>
        </is>
      </c>
      <c r="X103"/>
      <c r="Y103" t="inlineStr">
        <is>
          <t>操作</t>
        </is>
      </c>
      <c r="Z103" t="inlineStr">
        <is>
          <t>P1 - Bigger the Better</t>
        </is>
      </c>
      <c r="AA103"/>
      <c r="AB103"/>
      <c r="AC103"/>
      <c r="AD103" t="inlineStr">
        <is>
          <t>NzUzMjAzNDQ5ODk2NDY2ODQ0NDo3NTEyMjE5OS03ZGI1LTQyOTktODQyOS1jYWNiMmRkOWNjMmU6ZDc5N2QyODAzNTNiNzdhODg5NGM4YmRlMzAzYTc3ZGE6MQ==</t>
        </is>
      </c>
      <c r="AE103"/>
    </row>
    <row r="104" ht="25.5" customHeight="1">
      <c r="A104" s="2" t="str">
        <f>=HYPERLINK("https://applink.feishu.cn/client/todo/detail?guid=9b3492df-147f-425f-9317-a68d633e43ef&amp;suite_entity_num=t100181", "劳旅 - 远程普通 &lt; 敌人机能")</f>
        <v>劳旅 - 远程普通 &lt; 敌人机能</v>
      </c>
      <c r="B104"/>
      <c r="C104" t="inlineStr">
        <is>
          <t>默认分组</t>
        </is>
      </c>
      <c r="D104" t="inlineStr">
        <is>
          <t>1</t>
        </is>
      </c>
      <c r="E104" t="inlineStr">
        <is>
          <t>或签任务</t>
        </is>
      </c>
      <c r="F104"/>
      <c r="G104" t="inlineStr">
        <is>
          <t>0</t>
        </is>
      </c>
      <c r="H104"/>
      <c r="I104"/>
      <c r="J104" t="inlineStr">
        <is>
          <t>龚政涛</t>
        </is>
      </c>
      <c r="K104" t="inlineStr">
        <is>
          <t>龚政涛</t>
        </is>
      </c>
      <c r="L104" s="3">
        <v>45576.068402777775</v>
      </c>
      <c r="M104" s="3"/>
      <c r="N104" s="3">
        <v>45727.472604166665</v>
      </c>
      <c r="O104" s="3"/>
      <c r="P104" s="3">
        <v>45727.47258101852</v>
      </c>
      <c r="Q104" s="2" t="str">
        <f>=HYPERLINK("https://applink.feishu.cn/client/todo/task_list?guid=4d92b9af-66d1-4cd7-95d1-4b753a64ca6b", "跃入迷城")</f>
        <v>跃入迷城</v>
      </c>
      <c r="R104" t="inlineStr">
        <is>
          <t>4d92b9af-66d1-4cd7-95d1-4b753a64ca6b</t>
        </is>
      </c>
      <c r="S104" t="inlineStr">
        <is>
          <t>9b3492df-147f-425f-9317-a68d633e43ef</t>
        </is>
      </c>
      <c r="T104">
        <v>0</v>
      </c>
      <c r="U104">
        <v>0</v>
      </c>
      <c r="V104" t="inlineStr">
        <is>
          <t>0.0.4</t>
        </is>
      </c>
      <c r="W104" t="inlineStr">
        <is>
          <t>已废弃</t>
        </is>
      </c>
      <c r="X104"/>
      <c r="Y104" t="inlineStr">
        <is>
          <t>操作</t>
        </is>
      </c>
      <c r="Z104"/>
      <c r="AA104"/>
      <c r="AB104"/>
      <c r="AC104" t="inlineStr">
        <is>
          <t>1241485d-3167-4305-8db5-481b32ffdcf8</t>
        </is>
      </c>
      <c r="AD104" t="inlineStr">
        <is>
          <t>NzUzMjAzNDQ5ODk2NDY2ODQ0NDo5YjM0OTJkZi0xNDdmLTQyNWYtOTMxNy1hNjhkNjMzZTQzZWY6NzQxOWJjNzIzOTk0Y2E4NjkyZmZhMGM2NjBjMzhlMWE6MQ==</t>
        </is>
      </c>
      <c r="AE104"/>
    </row>
    <row r="105" ht="25.5" customHeight="1">
      <c r="A105" s="2" t="str">
        <f>=HYPERLINK("https://applink.feishu.cn/client/todo/detail?guid=de8e897f-0ec6-40d9-84b1-102b6cc89c9a&amp;suite_entity_num=t100201", "修复不自然的持枪动画")</f>
        <v>修复不自然的持枪动画</v>
      </c>
      <c r="B105" t="inlineStr">
        <is>
          <t>增加IK来解决持枪问题，详见：</t>
        </is>
      </c>
      <c r="C105" t="inlineStr">
        <is>
          <t>默认分组</t>
        </is>
      </c>
      <c r="D105" t="inlineStr">
        <is>
          <t>1</t>
        </is>
      </c>
      <c r="E105" t="inlineStr">
        <is>
          <t>或签任务</t>
        </is>
      </c>
      <c r="F105"/>
      <c r="G105" t="inlineStr">
        <is>
          <t>0</t>
        </is>
      </c>
      <c r="H105"/>
      <c r="I105" t="inlineStr">
        <is>
          <t>Decay</t>
        </is>
      </c>
      <c r="J105" t="inlineStr">
        <is>
          <t>龚政涛,Decay</t>
        </is>
      </c>
      <c r="K105" t="inlineStr">
        <is>
          <t>龚政涛</t>
        </is>
      </c>
      <c r="L105" s="3">
        <v>45586.57144675926</v>
      </c>
      <c r="M105" s="3"/>
      <c r="N105" s="3">
        <v>45651.624074074076</v>
      </c>
      <c r="O105" s="3"/>
      <c r="P105" s="3">
        <v>45651.62405092592</v>
      </c>
      <c r="Q105" s="2" t="str">
        <f>=HYPERLINK("https://applink.feishu.cn/client/todo/task_list?guid=4d92b9af-66d1-4cd7-95d1-4b753a64ca6b", "跃入迷城")</f>
        <v>跃入迷城</v>
      </c>
      <c r="R105" t="inlineStr">
        <is>
          <t>4d92b9af-66d1-4cd7-95d1-4b753a64ca6b</t>
        </is>
      </c>
      <c r="S105" t="inlineStr">
        <is>
          <t>de8e897f-0ec6-40d9-84b1-102b6cc89c9a</t>
        </is>
      </c>
      <c r="T105">
        <v>0</v>
      </c>
      <c r="U105">
        <v>0</v>
      </c>
      <c r="V105" t="inlineStr">
        <is>
          <t>0.0.3</t>
        </is>
      </c>
      <c r="W105" t="inlineStr">
        <is>
          <t>已完成</t>
        </is>
      </c>
      <c r="X105"/>
      <c r="Y105" t="inlineStr">
        <is>
          <t>动画</t>
        </is>
      </c>
      <c r="Z105" t="inlineStr">
        <is>
          <t>P2 - Nice to Have</t>
        </is>
      </c>
      <c r="AA105"/>
      <c r="AB105"/>
      <c r="AC105"/>
      <c r="AD105" t="inlineStr">
        <is>
          <t>NzUzMjAzNDQ5ODk2NDY2ODQ0NDpkZThlODk3Zi0wZWM2LTQwZDktODRiMS0xMDJiNmNjODljOWE6ODg1NjU4NjlmNzlmZTA5YmNhOGM1NWQ5MGYwM2RjMjk6MQ==</t>
        </is>
      </c>
      <c r="AE105"/>
    </row>
    <row r="106" ht="25.5" customHeight="1">
      <c r="A106" s="2" t="str">
        <f>=HYPERLINK("https://applink.feishu.cn/client/todo/detail?guid=49436bc7-7021-4715-8e7c-a7228be45db1&amp;suite_entity_num=t100199", "修复翻滚：诡异的动画衔接")</f>
        <v>修复翻滚：诡异的动画衔接</v>
      </c>
      <c r="B106"/>
      <c r="C106" t="inlineStr">
        <is>
          <t>默认分组</t>
        </is>
      </c>
      <c r="D106" t="inlineStr">
        <is>
          <t>1</t>
        </is>
      </c>
      <c r="E106" t="inlineStr">
        <is>
          <t>或签任务</t>
        </is>
      </c>
      <c r="F106"/>
      <c r="G106" t="inlineStr">
        <is>
          <t>0</t>
        </is>
      </c>
      <c r="H106"/>
      <c r="I106"/>
      <c r="J106" t="inlineStr">
        <is>
          <t>龚政涛</t>
        </is>
      </c>
      <c r="K106" t="inlineStr">
        <is>
          <t>龚政涛</t>
        </is>
      </c>
      <c r="L106" s="3">
        <v>45586.57126157408</v>
      </c>
      <c r="M106" s="3"/>
      <c r="N106" s="3">
        <v>45631.72184027778</v>
      </c>
      <c r="O106" s="3"/>
      <c r="P106" s="3">
        <v>45631.72184027778</v>
      </c>
      <c r="Q106" s="2" t="str">
        <f>=HYPERLINK("https://applink.feishu.cn/client/todo/task_list?guid=4d92b9af-66d1-4cd7-95d1-4b753a64ca6b", "跃入迷城")</f>
        <v>跃入迷城</v>
      </c>
      <c r="R106" t="inlineStr">
        <is>
          <t>4d92b9af-66d1-4cd7-95d1-4b753a64ca6b</t>
        </is>
      </c>
      <c r="S106" t="inlineStr">
        <is>
          <t>49436bc7-7021-4715-8e7c-a7228be45db1</t>
        </is>
      </c>
      <c r="T106">
        <v>0</v>
      </c>
      <c r="U106">
        <v>1</v>
      </c>
      <c r="V106" t="inlineStr">
        <is>
          <t>0.0.3</t>
        </is>
      </c>
      <c r="W106" t="inlineStr">
        <is>
          <t>已废弃</t>
        </is>
      </c>
      <c r="X106"/>
      <c r="Y106" t="inlineStr">
        <is>
          <t>动画</t>
        </is>
      </c>
      <c r="Z106" t="inlineStr">
        <is>
          <t>P0 - Must (not) Have</t>
        </is>
      </c>
      <c r="AA106"/>
      <c r="AB106"/>
      <c r="AC106"/>
      <c r="AD106" t="inlineStr">
        <is>
          <t>NzUzMjAzNDQ5ODk2NDY2ODQ0NDo0OTQzNmJjNy03MDIxLTQ3MTUtOGU3Yy1hNzIyOGJlNDVkYjE6M2E3NWMxZTQzMDk0MmEyODJkMTk1NTZiYzJiYWIzN2U6MQ==</t>
        </is>
      </c>
      <c r="AE106"/>
    </row>
    <row r="107" ht="25.5" customHeight="1">
      <c r="A107" s="2" t="str">
        <f>=HYPERLINK("https://applink.feishu.cn/client/todo/detail?guid=7b3f2007-2af8-4b41-8f13-4a12f9d37634&amp;suite_entity_num=t100169", "翻滚时有时候尽管在平地，但会触发蹲伏 &lt; 翻滚")</f>
        <v>翻滚时有时候尽管在平地，但会触发蹲伏 &lt; 翻滚</v>
      </c>
      <c r="B107"/>
      <c r="C107" t="inlineStr">
        <is>
          <t>默认分组</t>
        </is>
      </c>
      <c r="D107" t="inlineStr">
        <is>
          <t>1</t>
        </is>
      </c>
      <c r="E107" t="inlineStr">
        <is>
          <t>或签任务</t>
        </is>
      </c>
      <c r="F107"/>
      <c r="G107" t="inlineStr">
        <is>
          <t>0</t>
        </is>
      </c>
      <c r="H107"/>
      <c r="I107" t="inlineStr">
        <is>
          <t>Decay</t>
        </is>
      </c>
      <c r="J107" t="inlineStr">
        <is>
          <t>Decay,龚政涛</t>
        </is>
      </c>
      <c r="K107" t="inlineStr">
        <is>
          <t>龚政涛</t>
        </is>
      </c>
      <c r="L107" s="3">
        <v>45576.05987268518</v>
      </c>
      <c r="M107" s="3"/>
      <c r="N107" s="3">
        <v>45727.47342592593</v>
      </c>
      <c r="O107" s="3"/>
      <c r="P107" s="3">
        <v>45727.47341435185</v>
      </c>
      <c r="Q107" s="2" t="str">
        <f>=HYPERLINK("https://applink.feishu.cn/client/todo/task_list?guid=4d92b9af-66d1-4cd7-95d1-4b753a64ca6b", "跃入迷城")</f>
        <v>跃入迷城</v>
      </c>
      <c r="R107" t="inlineStr">
        <is>
          <t>4d92b9af-66d1-4cd7-95d1-4b753a64ca6b</t>
        </is>
      </c>
      <c r="S107" t="inlineStr">
        <is>
          <t>7b3f2007-2af8-4b41-8f13-4a12f9d37634</t>
        </is>
      </c>
      <c r="T107">
        <v>0</v>
      </c>
      <c r="U107">
        <v>0</v>
      </c>
      <c r="V107" t="inlineStr">
        <is>
          <t>0.0.4</t>
        </is>
      </c>
      <c r="W107" t="inlineStr">
        <is>
          <t>已完成</t>
        </is>
      </c>
      <c r="X107"/>
      <c r="Y107" t="inlineStr">
        <is>
          <t>操作</t>
        </is>
      </c>
      <c r="Z107" t="inlineStr">
        <is>
          <t>P0 - Must (not) Have</t>
        </is>
      </c>
      <c r="AA107"/>
      <c r="AB107"/>
      <c r="AC107" t="inlineStr">
        <is>
          <t>93f6c3ff-1746-4771-a05d-cfc905ac63e6</t>
        </is>
      </c>
      <c r="AD107" t="inlineStr">
        <is>
          <t>NzUzMjAzNDQ5ODk2NDY2ODQ0NDo3YjNmMjAwNy0yYWY4LTRiNDEtOGYxMy00YTEyZjlkMzc2MzQ6ZDg4OTE2ZTNkNTVjMzNhMjlmN2FjYWIzNmMxNjIyZjQ6MQ==</t>
        </is>
      </c>
      <c r="AE107"/>
    </row>
    <row r="108" ht="25.5" customHeight="1">
      <c r="A108" s="2" t="str">
        <f>=HYPERLINK("https://applink.feishu.cn/client/todo/detail?guid=f8130725-bcc5-4e5e-a8c7-b29537ccb149&amp;suite_entity_num=t100170", "翻滚动画衔接不畅，尤其在结束位置，并且手中的武器rigging也很有偏移问题 &lt; 翻滚")</f>
        <v>翻滚动画衔接不畅，尤其在结束位置，并且手中的武器rigging也很有偏移问题 &lt; 翻滚</v>
      </c>
      <c r="B108"/>
      <c r="C108" t="inlineStr">
        <is>
          <t>默认分组</t>
        </is>
      </c>
      <c r="D108" t="inlineStr">
        <is>
          <t>0</t>
        </is>
      </c>
      <c r="E108" t="inlineStr">
        <is>
          <t>或签任务</t>
        </is>
      </c>
      <c r="F108"/>
      <c r="G108" t="inlineStr">
        <is>
          <t>0</t>
        </is>
      </c>
      <c r="H108"/>
      <c r="I108" t="inlineStr">
        <is>
          <t>Decay</t>
        </is>
      </c>
      <c r="J108" t="inlineStr">
        <is>
          <t>龚政涛,Decay</t>
        </is>
      </c>
      <c r="K108" t="inlineStr">
        <is>
          <t>龚政涛</t>
        </is>
      </c>
      <c r="L108" s="3">
        <v>45576.06025462963</v>
      </c>
      <c r="M108" s="3"/>
      <c r="N108" s="3"/>
      <c r="O108" s="3"/>
      <c r="P108" s="3">
        <v>45586.44216435185</v>
      </c>
      <c r="Q108" s="2" t="str">
        <f>=HYPERLINK("https://applink.feishu.cn/client/todo/task_list?guid=4d92b9af-66d1-4cd7-95d1-4b753a64ca6b", "跃入迷城")</f>
        <v>跃入迷城</v>
      </c>
      <c r="R108" t="inlineStr">
        <is>
          <t>4d92b9af-66d1-4cd7-95d1-4b753a64ca6b</t>
        </is>
      </c>
      <c r="S108" t="inlineStr">
        <is>
          <t>f8130725-bcc5-4e5e-a8c7-b29537ccb149</t>
        </is>
      </c>
      <c r="T108">
        <v>0</v>
      </c>
      <c r="U108">
        <v>0</v>
      </c>
      <c r="V108" t="inlineStr">
        <is>
          <t>0.1.0</t>
        </is>
      </c>
      <c r="W108" t="inlineStr">
        <is>
          <t>未开始</t>
        </is>
      </c>
      <c r="X108"/>
      <c r="Y108" t="inlineStr">
        <is>
          <t>程序底层</t>
        </is>
      </c>
      <c r="Z108" t="inlineStr">
        <is>
          <t>P0 - Must (not) Have</t>
        </is>
      </c>
      <c r="AA108"/>
      <c r="AB108"/>
      <c r="AC108" t="inlineStr">
        <is>
          <t>93f6c3ff-1746-4771-a05d-cfc905ac63e6</t>
        </is>
      </c>
      <c r="AD108" t="inlineStr">
        <is>
          <t>NzUzMjAzNDQ5ODk2NDY2ODQ0NDpmODEzMDcyNS1iY2M1LTRlNWUtYThjNy1iMjk1MzdjY2IxNDk6MjdlNzUzOWE4ODUzNDcwZTRhODllODk5MGI5MjhmMjM6MQ==</t>
        </is>
      </c>
      <c r="AE108"/>
    </row>
    <row r="109" ht="25.5" customHeight="1">
      <c r="A109" s="2" t="str">
        <f>=HYPERLINK("https://applink.feishu.cn/client/todo/detail?guid=15822456-b614-4909-8985-0469652690ea&amp;suite_entity_num=t100200", "修复不自然的转身动作")</f>
        <v>修复不自然的转身动作</v>
      </c>
      <c r="B109" t="inlineStr">
        <is>
          <t>增加上下半身混合</t>
        </is>
      </c>
      <c r="C109" t="inlineStr">
        <is>
          <t>默认分组</t>
        </is>
      </c>
      <c r="D109" t="inlineStr">
        <is>
          <t>1</t>
        </is>
      </c>
      <c r="E109" t="inlineStr">
        <is>
          <t>或签任务</t>
        </is>
      </c>
      <c r="F109"/>
      <c r="G109" t="inlineStr">
        <is>
          <t>0</t>
        </is>
      </c>
      <c r="H109"/>
      <c r="I109" t="inlineStr">
        <is>
          <t>Decay</t>
        </is>
      </c>
      <c r="J109" t="inlineStr">
        <is>
          <t>Decay,龚政涛</t>
        </is>
      </c>
      <c r="K109" t="inlineStr">
        <is>
          <t>龚政涛</t>
        </is>
      </c>
      <c r="L109" s="3">
        <v>45586.571377314816</v>
      </c>
      <c r="M109" s="3">
        <v>45604.333333333336</v>
      </c>
      <c r="N109" s="3">
        <v>45618.59210648148</v>
      </c>
      <c r="O109" s="3">
        <v>45614.333333333336</v>
      </c>
      <c r="P109" s="3">
        <v>45618.59211805555</v>
      </c>
      <c r="Q109" s="2" t="str">
        <f>=HYPERLINK("https://applink.feishu.cn/client/todo/task_list?guid=4d92b9af-66d1-4cd7-95d1-4b753a64ca6b", "跃入迷城")</f>
        <v>跃入迷城</v>
      </c>
      <c r="R109" t="inlineStr">
        <is>
          <t>4d92b9af-66d1-4cd7-95d1-4b753a64ca6b</t>
        </is>
      </c>
      <c r="S109" t="inlineStr">
        <is>
          <t>15822456-b614-4909-8985-0469652690ea</t>
        </is>
      </c>
      <c r="T109">
        <v>0</v>
      </c>
      <c r="U109">
        <v>0</v>
      </c>
      <c r="V109" t="inlineStr">
        <is>
          <t>0.0.3</t>
        </is>
      </c>
      <c r="W109" t="inlineStr">
        <is>
          <t>已完成</t>
        </is>
      </c>
      <c r="X109"/>
      <c r="Y109" t="inlineStr">
        <is>
          <t>动画</t>
        </is>
      </c>
      <c r="Z109" t="inlineStr">
        <is>
          <t>P1 - Bigger the Better</t>
        </is>
      </c>
      <c r="AA109" t="inlineStr">
        <is>
          <t>58eb5cf8-f905-4024-a1b8-ce30e5e13b63</t>
        </is>
      </c>
      <c r="AB109"/>
      <c r="AC109"/>
      <c r="AD109" t="inlineStr">
        <is>
          <t>NzUzMjAzNDQ5ODk2NDY2ODQ0NDoxNTgyMjQ1Ni1iNjE0LTQ5MDktODk4NS0wNDY5NjUyNjkwZWE6MjMwYTczNGIxODAwNzMyOTgxMzZlYzhlNDA1MzhhOTI6MQ==</t>
        </is>
      </c>
      <c r="AE109"/>
    </row>
    <row r="110" ht="25.5" customHeight="1">
      <c r="A110" s="2" t="str">
        <f>=HYPERLINK("https://applink.feishu.cn/client/todo/detail?guid=0172faca-1eef-4273-801a-717e5a6f12f9&amp;suite_entity_num=t100197", "CommonUI迁移")</f>
        <v>CommonUI迁移</v>
      </c>
      <c r="B110"/>
      <c r="C110" t="inlineStr">
        <is>
          <t>默认分组</t>
        </is>
      </c>
      <c r="D110" t="inlineStr">
        <is>
          <t>1</t>
        </is>
      </c>
      <c r="E110" t="inlineStr">
        <is>
          <t>或签任务</t>
        </is>
      </c>
      <c r="F110"/>
      <c r="G110" t="inlineStr">
        <is>
          <t>0</t>
        </is>
      </c>
      <c r="H110"/>
      <c r="I110" t="inlineStr">
        <is>
          <t>Decay</t>
        </is>
      </c>
      <c r="J110" t="inlineStr">
        <is>
          <t>Decay,龚政涛</t>
        </is>
      </c>
      <c r="K110" t="inlineStr">
        <is>
          <t>Decay</t>
        </is>
      </c>
      <c r="L110" s="3">
        <v>45583.64234953704</v>
      </c>
      <c r="M110" s="3"/>
      <c r="N110" s="3">
        <v>45586.61962962963</v>
      </c>
      <c r="O110" s="3"/>
      <c r="P110" s="3">
        <v>45586.6196412037</v>
      </c>
      <c r="Q110" s="2" t="str">
        <f>=HYPERLINK("https://applink.feishu.cn/client/todo/task_list?guid=4d92b9af-66d1-4cd7-95d1-4b753a64ca6b", "跃入迷城")</f>
        <v>跃入迷城</v>
      </c>
      <c r="R110" t="inlineStr">
        <is>
          <t>4d92b9af-66d1-4cd7-95d1-4b753a64ca6b</t>
        </is>
      </c>
      <c r="S110" t="inlineStr">
        <is>
          <t>0172faca-1eef-4273-801a-717e5a6f12f9</t>
        </is>
      </c>
      <c r="T110">
        <v>0</v>
      </c>
      <c r="U110">
        <v>2</v>
      </c>
      <c r="V110" t="inlineStr">
        <is>
          <t>0.0.2</t>
        </is>
      </c>
      <c r="W110" t="inlineStr">
        <is>
          <t>已完成</t>
        </is>
      </c>
      <c r="X110"/>
      <c r="Y110" t="inlineStr">
        <is>
          <t>程序底层</t>
        </is>
      </c>
      <c r="Z110" t="inlineStr">
        <is>
          <t>P0 - Must (not) Have</t>
        </is>
      </c>
      <c r="AA110"/>
      <c r="AB110"/>
      <c r="AC110"/>
      <c r="AD110" t="inlineStr">
        <is>
          <t>NzUzMjAzNDQ5ODk2NDY2ODQ0NDowMTcyZmFjYS0xZWVmLTQyNzMtODAxYS03MTdlNWE2ZjEyZjk6ZGQ1OGZlZTg0ODMzMWU1YWVkZDQ0OWVlNjZjOTEzYWE6MQ==</t>
        </is>
      </c>
      <c r="AE110"/>
    </row>
    <row r="111" ht="25.5" customHeight="1">
      <c r="A111" s="2" t="str">
        <f>=HYPERLINK("https://applink.feishu.cn/client/todo/detail?guid=34c2eb8d-cd2d-4d47-94aa-536e1e941800&amp;suite_entity_num=t100205", "参考其他俯视角游戏的翻滚（以及冲刺）")</f>
        <v>参考其他俯视角游戏的翻滚（以及冲刺）</v>
      </c>
      <c r="B111"/>
      <c r="C111" t="inlineStr">
        <is>
          <t>默认分组</t>
        </is>
      </c>
      <c r="D111" t="inlineStr">
        <is>
          <t>1</t>
        </is>
      </c>
      <c r="E111" t="inlineStr">
        <is>
          <t>或签任务</t>
        </is>
      </c>
      <c r="F111"/>
      <c r="G111" t="inlineStr">
        <is>
          <t>0</t>
        </is>
      </c>
      <c r="H111"/>
      <c r="I111" t="inlineStr">
        <is>
          <t>龚政涛</t>
        </is>
      </c>
      <c r="J111" t="inlineStr">
        <is>
          <t>龚政涛</t>
        </is>
      </c>
      <c r="K111" t="inlineStr">
        <is>
          <t>龚政涛</t>
        </is>
      </c>
      <c r="L111" s="3">
        <v>45586.61200231482</v>
      </c>
      <c r="M111" s="3"/>
      <c r="N111" s="3">
        <v>45594.689305555556</v>
      </c>
      <c r="O111" s="3">
        <v>45587.333333333336</v>
      </c>
      <c r="P111" s="3">
        <v>45594.68934027778</v>
      </c>
      <c r="Q111" s="2" t="str">
        <f>=HYPERLINK("https://applink.feishu.cn/client/todo/task_list?guid=4d92b9af-66d1-4cd7-95d1-4b753a64ca6b", "跃入迷城")</f>
        <v>跃入迷城</v>
      </c>
      <c r="R111" t="inlineStr">
        <is>
          <t>4d92b9af-66d1-4cd7-95d1-4b753a64ca6b</t>
        </is>
      </c>
      <c r="S111" t="inlineStr">
        <is>
          <t>34c2eb8d-cd2d-4d47-94aa-536e1e941800</t>
        </is>
      </c>
      <c r="T111">
        <v>0</v>
      </c>
      <c r="U111">
        <v>1</v>
      </c>
      <c r="V111" t="inlineStr">
        <is>
          <t>0.0.3</t>
        </is>
      </c>
      <c r="W111" t="inlineStr">
        <is>
          <t>已完成</t>
        </is>
      </c>
      <c r="X111"/>
      <c r="Y111" t="inlineStr">
        <is>
          <t>操作</t>
        </is>
      </c>
      <c r="Z111" t="inlineStr">
        <is>
          <t>P0 - Must (not) Have</t>
        </is>
      </c>
      <c r="AA111"/>
      <c r="AB111"/>
      <c r="AC111"/>
      <c r="AD111" t="inlineStr">
        <is>
          <t>NzUzMjAzNDQ5ODk2NDY2ODQ0NDozNGMyZWI4ZC1jZDJkLTRkNDctOTRhYS01MzZlMWU5NDE4MDA6OWRiYTA1Y2U0MDhlY2ZhZWM0YWRlMWYyNmU5MGU5MTg6MQ==</t>
        </is>
      </c>
      <c r="AE111"/>
    </row>
    <row r="112" ht="25.5" customHeight="1">
      <c r="A112" s="2" t="str">
        <f>=HYPERLINK("https://applink.feishu.cn/client/todo/detail?guid=d7d3b2ea-1618-4920-a5c4-050bf0499e2a&amp;suite_entity_num=t100180", "劳旅 - 近战普通 &lt; 敌人机能")</f>
        <v>劳旅 - 近战普通 &lt; 敌人机能</v>
      </c>
      <c r="B112"/>
      <c r="C112" t="inlineStr">
        <is>
          <t>默认分组</t>
        </is>
      </c>
      <c r="D112" t="inlineStr">
        <is>
          <t>1</t>
        </is>
      </c>
      <c r="E112" t="inlineStr">
        <is>
          <t>或签任务</t>
        </is>
      </c>
      <c r="F112"/>
      <c r="G112" t="inlineStr">
        <is>
          <t>0</t>
        </is>
      </c>
      <c r="H112"/>
      <c r="I112"/>
      <c r="J112" t="inlineStr">
        <is>
          <t>龚政涛</t>
        </is>
      </c>
      <c r="K112" t="inlineStr">
        <is>
          <t>龚政涛</t>
        </is>
      </c>
      <c r="L112" s="3">
        <v>45576.06831018518</v>
      </c>
      <c r="M112" s="3"/>
      <c r="N112" s="3">
        <v>45727.47237268519</v>
      </c>
      <c r="O112" s="3"/>
      <c r="P112" s="3">
        <v>45727.472349537034</v>
      </c>
      <c r="Q112" s="2" t="str">
        <f>=HYPERLINK("https://applink.feishu.cn/client/todo/task_list?guid=4d92b9af-66d1-4cd7-95d1-4b753a64ca6b", "跃入迷城")</f>
        <v>跃入迷城</v>
      </c>
      <c r="R112" t="inlineStr">
        <is>
          <t>4d92b9af-66d1-4cd7-95d1-4b753a64ca6b</t>
        </is>
      </c>
      <c r="S112" t="inlineStr">
        <is>
          <t>d7d3b2ea-1618-4920-a5c4-050bf0499e2a</t>
        </is>
      </c>
      <c r="T112">
        <v>0</v>
      </c>
      <c r="U112">
        <v>0</v>
      </c>
      <c r="V112" t="inlineStr">
        <is>
          <t>0.0.4</t>
        </is>
      </c>
      <c r="W112" t="inlineStr">
        <is>
          <t>已废弃</t>
        </is>
      </c>
      <c r="X112"/>
      <c r="Y112" t="inlineStr">
        <is>
          <t>操作</t>
        </is>
      </c>
      <c r="Z112"/>
      <c r="AA112"/>
      <c r="AB112"/>
      <c r="AC112" t="inlineStr">
        <is>
          <t>1241485d-3167-4305-8db5-481b32ffdcf8</t>
        </is>
      </c>
      <c r="AD112" t="inlineStr">
        <is>
          <t>NzUzMjAzNDQ5ODk2NDY2ODQ0NDpkN2QzYjJlYS0xNjE4LTQ5MjAtYTVjNC0wNTBiZjA0OTllMmE6ODJkMzhjNGU1NDAwNmVjZWE0ZTQxYWFkZDIwY2ZlY2U6MQ==</t>
        </is>
      </c>
      <c r="AE112"/>
    </row>
    <row r="113" ht="25.5" customHeight="1">
      <c r="A113" s="2" t="str">
        <f>=HYPERLINK("https://applink.feishu.cn/client/todo/detail?guid=c6411907-150b-4518-9015-fa7660a60b0b&amp;suite_entity_num=t100268", "武器无需切换，按下对应按键自动触发攻击")</f>
        <v>武器无需切换，按下对应按键自动触发攻击</v>
      </c>
      <c r="B113"/>
      <c r="C113" t="inlineStr">
        <is>
          <t>默认分组</t>
        </is>
      </c>
      <c r="D113" t="inlineStr">
        <is>
          <t>1</t>
        </is>
      </c>
      <c r="E113" t="inlineStr">
        <is>
          <t>或签任务</t>
        </is>
      </c>
      <c r="F113"/>
      <c r="G113" t="inlineStr">
        <is>
          <t>0</t>
        </is>
      </c>
      <c r="H113"/>
      <c r="I113" t="inlineStr">
        <is>
          <t>Decay</t>
        </is>
      </c>
      <c r="J113" t="inlineStr">
        <is>
          <t>龚政涛,Decay</t>
        </is>
      </c>
      <c r="K113" t="inlineStr">
        <is>
          <t>龚政涛</t>
        </is>
      </c>
      <c r="L113" s="3">
        <v>45611.658634259256</v>
      </c>
      <c r="M113" s="3"/>
      <c r="N113" s="3">
        <v>45611.6593287037</v>
      </c>
      <c r="O113" s="3"/>
      <c r="P113" s="3">
        <v>45611.6593287037</v>
      </c>
      <c r="Q113" s="2" t="str">
        <f>=HYPERLINK("https://applink.feishu.cn/client/todo/task_list?guid=4d92b9af-66d1-4cd7-95d1-4b753a64ca6b", "跃入迷城")</f>
        <v>跃入迷城</v>
      </c>
      <c r="R113" t="inlineStr">
        <is>
          <t>4d92b9af-66d1-4cd7-95d1-4b753a64ca6b</t>
        </is>
      </c>
      <c r="S113" t="inlineStr">
        <is>
          <t>c6411907-150b-4518-9015-fa7660a60b0b</t>
        </is>
      </c>
      <c r="T113">
        <v>0</v>
      </c>
      <c r="U113">
        <v>0</v>
      </c>
      <c r="V113" t="inlineStr">
        <is>
          <t>0.0.3</t>
        </is>
      </c>
      <c r="W113" t="inlineStr">
        <is>
          <t>已完成</t>
        </is>
      </c>
      <c r="X113"/>
      <c r="Y113" t="inlineStr">
        <is>
          <t>操作</t>
        </is>
      </c>
      <c r="Z113" t="inlineStr">
        <is>
          <t>P2 - Nice to Have</t>
        </is>
      </c>
      <c r="AA113"/>
      <c r="AB113"/>
      <c r="AC113"/>
      <c r="AD113" t="inlineStr">
        <is>
          <t>NzUzMjAzNDQ5ODk2NDY2ODQ0NDpjNjQxMTkwNy0xNTBiLTQ1MTgtOTAxNS1mYTc2NjBhNjBiMGI6OTIwZGQxMTc0Mjk2NzExMjQ3YTk1NmJjYmNmNmIwYTE6MQ==</t>
        </is>
      </c>
      <c r="AE113"/>
    </row>
    <row r="114" ht="25.5" customHeight="1">
      <c r="A114" s="2" t="str">
        <f>=HYPERLINK("https://applink.feishu.cn/client/todo/detail?guid=bf92e215-1276-40d7-af1d-891757094165&amp;suite_entity_num=t100279", "BTT_GetOptoLocation，用于非战斗、有视野的“战术移动”选址")</f>
        <v>BTT_GetOptoLocation，用于非战斗、有视野的“战术移动”选址</v>
      </c>
      <c r="B114"/>
      <c r="C114" t="inlineStr">
        <is>
          <t>默认分组</t>
        </is>
      </c>
      <c r="D114" t="inlineStr">
        <is>
          <t>1</t>
        </is>
      </c>
      <c r="E114" t="inlineStr">
        <is>
          <t>或签任务</t>
        </is>
      </c>
      <c r="F114"/>
      <c r="G114" t="inlineStr">
        <is>
          <t>0</t>
        </is>
      </c>
      <c r="H114"/>
      <c r="I114" t="inlineStr">
        <is>
          <t>李少秋</t>
        </is>
      </c>
      <c r="J114" t="inlineStr">
        <is>
          <t>龚政涛,李少秋</t>
        </is>
      </c>
      <c r="K114" t="inlineStr">
        <is>
          <t>龚政涛</t>
        </is>
      </c>
      <c r="L114" s="3">
        <v>45614.50914351852</v>
      </c>
      <c r="M114" s="3"/>
      <c r="N114" s="3">
        <v>45617.45228009259</v>
      </c>
      <c r="O114" s="3"/>
      <c r="P114" s="3">
        <v>45733.70945601852</v>
      </c>
      <c r="Q114" s="2" t="str">
        <f>=HYPERLINK("https://applink.feishu.cn/client/todo/task_list?guid=4d92b9af-66d1-4cd7-95d1-4b753a64ca6b", "跃入迷城")</f>
        <v>跃入迷城</v>
      </c>
      <c r="R114" t="inlineStr">
        <is>
          <t>4d92b9af-66d1-4cd7-95d1-4b753a64ca6b</t>
        </is>
      </c>
      <c r="S114" t="inlineStr">
        <is>
          <t>bf92e215-1276-40d7-af1d-891757094165</t>
        </is>
      </c>
      <c r="T114">
        <v>0</v>
      </c>
      <c r="U114">
        <v>0</v>
      </c>
      <c r="V114" t="inlineStr">
        <is>
          <t>0.0.3</t>
        </is>
      </c>
      <c r="W114" t="inlineStr">
        <is>
          <t>已完成</t>
        </is>
      </c>
      <c r="X114"/>
      <c r="Y114" t="inlineStr">
        <is>
          <t>AI</t>
        </is>
      </c>
      <c r="Z114" t="inlineStr">
        <is>
          <t>P1 - Bigger the Better</t>
        </is>
      </c>
      <c r="AA114"/>
      <c r="AB114"/>
      <c r="AC114"/>
      <c r="AD114" t="inlineStr">
        <is>
          <t>NzUzMjAzNDQ5ODk2NDY2ODQ0NDpiZjkyZTIxNS0xMjc2LTQwZDctYWYxZC04OTE3NTcwOTQxNjU6ZGI5YjljMjRjN2U3NjFjZWRjN2Q0MzI2ZTE1NjUwOTE6MQ==</t>
        </is>
      </c>
      <c r="AE114"/>
    </row>
    <row r="115" ht="25.5" customHeight="1">
      <c r="A115" s="2" t="str">
        <f>=HYPERLINK("https://applink.feishu.cn/client/todo/detail?guid=c758cfe2-92ba-4f69-81e7-e5ea50e2bf82&amp;suite_entity_num=t100277", "[131]的IsInDistance永远触发（这是个FALSE条件，意味着下面的TASK永远不会运行）无论我是否开启SquareDistance")</f>
        <v>[131]的IsInDistance永远触发（这是个FALSE条件，意味着下面的TASK永远不会运行）无论我是否开启SquareDistance</v>
      </c>
      <c r="B115"/>
      <c r="C115" t="inlineStr">
        <is>
          <t>默认分组</t>
        </is>
      </c>
      <c r="D115" t="inlineStr">
        <is>
          <t>1</t>
        </is>
      </c>
      <c r="E115" t="inlineStr">
        <is>
          <t>或签任务</t>
        </is>
      </c>
      <c r="F115"/>
      <c r="G115" t="inlineStr">
        <is>
          <t>0</t>
        </is>
      </c>
      <c r="H115"/>
      <c r="I115" t="inlineStr">
        <is>
          <t>李少秋</t>
        </is>
      </c>
      <c r="J115" t="inlineStr">
        <is>
          <t>龚政涛,李少秋</t>
        </is>
      </c>
      <c r="K115" t="inlineStr">
        <is>
          <t>龚政涛</t>
        </is>
      </c>
      <c r="L115" s="3">
        <v>45614.507002314815</v>
      </c>
      <c r="M115" s="3"/>
      <c r="N115" s="3">
        <v>45614.657060185185</v>
      </c>
      <c r="O115" s="3"/>
      <c r="P115" s="3">
        <v>45614.65744212963</v>
      </c>
      <c r="Q115" s="2" t="str">
        <f>=HYPERLINK("https://applink.feishu.cn/client/todo/task_list?guid=4d92b9af-66d1-4cd7-95d1-4b753a64ca6b", "跃入迷城")</f>
        <v>跃入迷城</v>
      </c>
      <c r="R115" t="inlineStr">
        <is>
          <t>4d92b9af-66d1-4cd7-95d1-4b753a64ca6b</t>
        </is>
      </c>
      <c r="S115" t="inlineStr">
        <is>
          <t>c758cfe2-92ba-4f69-81e7-e5ea50e2bf82</t>
        </is>
      </c>
      <c r="T115">
        <v>0</v>
      </c>
      <c r="U115">
        <v>1</v>
      </c>
      <c r="V115" t="inlineStr">
        <is>
          <t>0.0.3</t>
        </is>
      </c>
      <c r="W115" t="inlineStr">
        <is>
          <t>已废弃</t>
        </is>
      </c>
      <c r="X115"/>
      <c r="Y115" t="inlineStr">
        <is>
          <t>AI</t>
        </is>
      </c>
      <c r="Z115" t="inlineStr">
        <is>
          <t>P0 - Must (not) Have</t>
        </is>
      </c>
      <c r="AA115"/>
      <c r="AB115"/>
      <c r="AC115"/>
      <c r="AD115" t="inlineStr">
        <is>
          <t>NzUzMjAzNDQ5ODk2NDY2ODQ0NDpjNzU4Y2ZlMi05MmJhLTRmNjktODFlNy1lNWVhNTBlMmJmODI6NmIzZjE1NmY1ZmYxYmZkYTUzZGM1ZThhMmRlNmM4YTM6MQ==</t>
        </is>
      </c>
      <c r="AE115"/>
    </row>
    <row r="116" ht="25.5" customHeight="1">
      <c r="A116" s="2" t="str">
        <f>=HYPERLINK("https://applink.feishu.cn/client/todo/detail?guid=3d408555-3c4a-43a2-8fc3-972b4a0b850b&amp;suite_entity_num=t100275", "构建硬直系统")</f>
        <v>构建硬直系统</v>
      </c>
      <c r="B116"/>
      <c r="C116" t="inlineStr">
        <is>
          <t>默认分组</t>
        </is>
      </c>
      <c r="D116" t="inlineStr">
        <is>
          <t>1</t>
        </is>
      </c>
      <c r="E116" t="inlineStr">
        <is>
          <t>或签任务</t>
        </is>
      </c>
      <c r="F116"/>
      <c r="G116" t="inlineStr">
        <is>
          <t>0</t>
        </is>
      </c>
      <c r="H116"/>
      <c r="I116" t="inlineStr">
        <is>
          <t>Decay</t>
        </is>
      </c>
      <c r="J116" t="inlineStr">
        <is>
          <t>龚政涛,Decay</t>
        </is>
      </c>
      <c r="K116" t="inlineStr">
        <is>
          <t>龚政涛</t>
        </is>
      </c>
      <c r="L116" s="3">
        <v>45614.47928240741</v>
      </c>
      <c r="M116" s="3">
        <v>45623.333333333336</v>
      </c>
      <c r="N116" s="3">
        <v>45630.63851851852</v>
      </c>
      <c r="O116" s="3">
        <v>45630.333333333336</v>
      </c>
      <c r="P116" s="3">
        <v>45630.63853009259</v>
      </c>
      <c r="Q116" s="2" t="str">
        <f>=HYPERLINK("https://applink.feishu.cn/client/todo/task_list?guid=4d92b9af-66d1-4cd7-95d1-4b753a64ca6b", "跃入迷城")</f>
        <v>跃入迷城</v>
      </c>
      <c r="R116" t="inlineStr">
        <is>
          <t>4d92b9af-66d1-4cd7-95d1-4b753a64ca6b</t>
        </is>
      </c>
      <c r="S116" t="inlineStr">
        <is>
          <t>3d408555-3c4a-43a2-8fc3-972b4a0b850b</t>
        </is>
      </c>
      <c r="T116">
        <v>0</v>
      </c>
      <c r="U116">
        <v>1</v>
      </c>
      <c r="V116" t="inlineStr">
        <is>
          <t>0.0.3</t>
        </is>
      </c>
      <c r="W116" t="inlineStr">
        <is>
          <t>已完成</t>
        </is>
      </c>
      <c r="X116"/>
      <c r="Y116" t="inlineStr">
        <is>
          <t>角色</t>
        </is>
      </c>
      <c r="Z116" t="inlineStr">
        <is>
          <t>P1 - Bigger the Better</t>
        </is>
      </c>
      <c r="AA116"/>
      <c r="AB116"/>
      <c r="AC116"/>
      <c r="AD116" t="inlineStr">
        <is>
          <t>NzUzMjAzNDQ5ODk2NDY2ODQ0NDozZDQwODU1NS0zYzRhLTQzYTItOGZjMy05NzJiNGEwYjg1MGI6Y2UwY2YxMWMzZGQ1YjJhYTE2ZDUxOWUwZGNiMmY0ZjI6MQ==</t>
        </is>
      </c>
      <c r="AE116"/>
    </row>
    <row r="117" ht="25.5" customHeight="1">
      <c r="A117" s="2" t="str">
        <f>=HYPERLINK("https://applink.feishu.cn/client/todo/detail?guid=310fdaf0-7f26-455d-b233-0dc043007ca6&amp;suite_entity_num=t100243", "先实现“受到攻击后打断当前动作，在{X}秒内播放受击动画，然后恢复控制”")</f>
        <v>先实现“受到攻击后打断当前动作，在{X}秒内播放受击动画，然后恢复控制”</v>
      </c>
      <c r="B117"/>
      <c r="C117" t="inlineStr">
        <is>
          <t>默认分组</t>
        </is>
      </c>
      <c r="D117" t="inlineStr">
        <is>
          <t>1</t>
        </is>
      </c>
      <c r="E117" t="inlineStr">
        <is>
          <t>或签任务</t>
        </is>
      </c>
      <c r="F117"/>
      <c r="G117" t="inlineStr">
        <is>
          <t>0</t>
        </is>
      </c>
      <c r="H117"/>
      <c r="I117" t="inlineStr">
        <is>
          <t>Decay</t>
        </is>
      </c>
      <c r="J117" t="inlineStr">
        <is>
          <t>龚政涛,Decay</t>
        </is>
      </c>
      <c r="K117" t="inlineStr">
        <is>
          <t>龚政涛</t>
        </is>
      </c>
      <c r="L117" s="3">
        <v>45595.60885416667</v>
      </c>
      <c r="M117" s="3">
        <v>45630.333333333336</v>
      </c>
      <c r="N117" s="3">
        <v>45630.63849537037</v>
      </c>
      <c r="O117" s="3">
        <v>45630.333333333336</v>
      </c>
      <c r="P117" s="3">
        <v>45630.63851851852</v>
      </c>
      <c r="Q117" s="2" t="str">
        <f>=HYPERLINK("https://applink.feishu.cn/client/todo/task_list?guid=4d92b9af-66d1-4cd7-95d1-4b753a64ca6b", "跃入迷城")</f>
        <v>跃入迷城</v>
      </c>
      <c r="R117" t="inlineStr">
        <is>
          <t>4d92b9af-66d1-4cd7-95d1-4b753a64ca6b</t>
        </is>
      </c>
      <c r="S117" t="inlineStr">
        <is>
          <t>310fdaf0-7f26-455d-b233-0dc043007ca6</t>
        </is>
      </c>
      <c r="T117">
        <v>0</v>
      </c>
      <c r="U117">
        <v>0</v>
      </c>
      <c r="V117" t="inlineStr">
        <is>
          <t>0.0.3</t>
        </is>
      </c>
      <c r="W117" t="inlineStr">
        <is>
          <t>已完成</t>
        </is>
      </c>
      <c r="X117"/>
      <c r="Y117" t="inlineStr">
        <is>
          <t>角色</t>
        </is>
      </c>
      <c r="Z117" t="inlineStr">
        <is>
          <t>P0 - Must (not) Have</t>
        </is>
      </c>
      <c r="AA117"/>
      <c r="AB117"/>
      <c r="AC117"/>
      <c r="AD117" t="inlineStr">
        <is>
          <t>NzUzMjAzNDQ5ODk2NDY2ODQ0NDozMTBmZGFmMC03ZjI2LTQ1NWQtYjIzMy0wZGMwNDMwMDdjYTY6ZmJiM2NjMjEzOTI1ZjJjMDk5MDAxZDE2MWI4NjY4NzQ6MQ==</t>
        </is>
      </c>
      <c r="AE117"/>
    </row>
    <row r="118" ht="25.5" customHeight="1">
      <c r="A118" s="2" t="str">
        <f>=HYPERLINK("https://applink.feishu.cn/client/todo/detail?guid=efe88d5f-a407-41fc-a6e6-92ed093b6f01&amp;suite_entity_num=t100281", "BTService_SetMoveSpeed")</f>
        <v>BTService_SetMoveSpeed</v>
      </c>
      <c r="B118"/>
      <c r="C118" t="inlineStr">
        <is>
          <t>默认分组</t>
        </is>
      </c>
      <c r="D118" t="inlineStr">
        <is>
          <t>1</t>
        </is>
      </c>
      <c r="E118" t="inlineStr">
        <is>
          <t>或签任务</t>
        </is>
      </c>
      <c r="F118"/>
      <c r="G118" t="inlineStr">
        <is>
          <t>0</t>
        </is>
      </c>
      <c r="H118"/>
      <c r="I118" t="inlineStr">
        <is>
          <t>李少秋</t>
        </is>
      </c>
      <c r="J118" t="inlineStr">
        <is>
          <t>龚政涛,李少秋</t>
        </is>
      </c>
      <c r="K118" t="inlineStr">
        <is>
          <t>龚政涛</t>
        </is>
      </c>
      <c r="L118" s="3">
        <v>45614.50916666666</v>
      </c>
      <c r="M118" s="3">
        <v>45623.333333333336</v>
      </c>
      <c r="N118" s="3">
        <v>45622.68587962963</v>
      </c>
      <c r="O118" s="3">
        <v>45625.333333333336</v>
      </c>
      <c r="P118" s="3">
        <v>45622.68586805555</v>
      </c>
      <c r="Q118" s="2" t="str">
        <f>=HYPERLINK("https://applink.feishu.cn/client/todo/task_list?guid=4d92b9af-66d1-4cd7-95d1-4b753a64ca6b", "跃入迷城")</f>
        <v>跃入迷城</v>
      </c>
      <c r="R118" t="inlineStr">
        <is>
          <t>4d92b9af-66d1-4cd7-95d1-4b753a64ca6b</t>
        </is>
      </c>
      <c r="S118" t="inlineStr">
        <is>
          <t>efe88d5f-a407-41fc-a6e6-92ed093b6f01</t>
        </is>
      </c>
      <c r="T118">
        <v>0</v>
      </c>
      <c r="U118">
        <v>0</v>
      </c>
      <c r="V118" t="inlineStr">
        <is>
          <t>0.0.3</t>
        </is>
      </c>
      <c r="W118" t="inlineStr">
        <is>
          <t>已完成</t>
        </is>
      </c>
      <c r="X118"/>
      <c r="Y118" t="inlineStr">
        <is>
          <t>AI</t>
        </is>
      </c>
      <c r="Z118" t="inlineStr">
        <is>
          <t>P2 - Nice to Have</t>
        </is>
      </c>
      <c r="AA118"/>
      <c r="AB118"/>
      <c r="AC118"/>
      <c r="AD118" t="inlineStr">
        <is>
          <t>NzUzMjAzNDQ5ODk2NDY2ODQ0NDplZmU4OGQ1Zi1hNDA3LTQxZmMtYTZlNi05MmVkMDkzYjZmMDE6YjYyZWYzNDdlZTViNTYyYTIyNWY1ZGNjNzgxNDIwYTI6MQ==</t>
        </is>
      </c>
      <c r="AE118"/>
    </row>
    <row r="119" ht="25.5" customHeight="1">
      <c r="A119" s="2" t="str">
        <f>=HYPERLINK("https://applink.feishu.cn/client/todo/detail?guid=837861bc-41d4-4b5c-ad54-880856fb78c6&amp;suite_entity_num=t100207", "远程武器的子弹散布回落应该只在一个完整的攻击循环结束后生效（而不是always一边涨一边跌）")</f>
        <v>远程武器的子弹散布回落应该只在一个完整的攻击循环结束后生效（而不是always一边涨一边跌）</v>
      </c>
      <c r="B119"/>
      <c r="C119" t="inlineStr">
        <is>
          <t>默认分组</t>
        </is>
      </c>
      <c r="D119" t="inlineStr">
        <is>
          <t>1</t>
        </is>
      </c>
      <c r="E119" t="inlineStr">
        <is>
          <t>或签任务</t>
        </is>
      </c>
      <c r="F119"/>
      <c r="G119" t="inlineStr">
        <is>
          <t>0</t>
        </is>
      </c>
      <c r="H119"/>
      <c r="I119" t="inlineStr">
        <is>
          <t>Decay</t>
        </is>
      </c>
      <c r="J119" t="inlineStr">
        <is>
          <t>龚政涛,Decay</t>
        </is>
      </c>
      <c r="K119" t="inlineStr">
        <is>
          <t>龚政涛</t>
        </is>
      </c>
      <c r="L119" s="3">
        <v>45586.62457175926</v>
      </c>
      <c r="M119" s="3"/>
      <c r="N119" s="3">
        <v>45730.596284722225</v>
      </c>
      <c r="O119" s="3">
        <v>45656.333333333336</v>
      </c>
      <c r="P119" s="3">
        <v>45868.03706018518</v>
      </c>
      <c r="Q119" s="2" t="str">
        <f>=HYPERLINK("https://applink.feishu.cn/client/todo/task_list?guid=4d92b9af-66d1-4cd7-95d1-4b753a64ca6b", "跃入迷城")</f>
        <v>跃入迷城</v>
      </c>
      <c r="R119" t="inlineStr">
        <is>
          <t>4d92b9af-66d1-4cd7-95d1-4b753a64ca6b</t>
        </is>
      </c>
      <c r="S119" t="inlineStr">
        <is>
          <t>837861bc-41d4-4b5c-ad54-880856fb78c6</t>
        </is>
      </c>
      <c r="T119">
        <v>0</v>
      </c>
      <c r="U119">
        <v>2</v>
      </c>
      <c r="V119" t="inlineStr">
        <is>
          <t>0.0.5</t>
        </is>
      </c>
      <c r="W119" t="inlineStr">
        <is>
          <t>已完成</t>
        </is>
      </c>
      <c r="X119" t="inlineStr">
        <is>
          <t>🎮玩法</t>
        </is>
      </c>
      <c r="Y119" t="inlineStr">
        <is>
          <t>操作</t>
        </is>
      </c>
      <c r="Z119" t="inlineStr">
        <is>
          <t>P1 - Bigger the Better</t>
        </is>
      </c>
      <c r="AA119"/>
      <c r="AB119"/>
      <c r="AC119"/>
      <c r="AD119" t="inlineStr">
        <is>
          <t>NzUzMjAzNDQ5ODk2NDY2ODQ0NDo4Mzc4NjFiYy00MWQ0LTRiNWMtYWQ1NC04ODA4NTZmYjc4YzY6MzQ2YjA4NTdmZjYyYzZiZmFiMDgyYzVhMjhlNzE4MjQ6MQ==</t>
        </is>
      </c>
      <c r="AE119"/>
    </row>
    <row r="120" ht="25.5" customHeight="1">
      <c r="A120" s="2" t="str">
        <f>=HYPERLINK("https://applink.feishu.cn/client/todo/detail?guid=30c96f59-5eac-4451-8eae-40ce8b3f91b7&amp;suite_entity_num=t100204", "尝试在翻滚期间取消镜头锁定")</f>
        <v>尝试在翻滚期间取消镜头锁定</v>
      </c>
      <c r="B120"/>
      <c r="C120" t="inlineStr">
        <is>
          <t>默认分组</t>
        </is>
      </c>
      <c r="D120" t="inlineStr">
        <is>
          <t>1</t>
        </is>
      </c>
      <c r="E120" t="inlineStr">
        <is>
          <t>或签任务</t>
        </is>
      </c>
      <c r="F120"/>
      <c r="G120" t="inlineStr">
        <is>
          <t>0</t>
        </is>
      </c>
      <c r="H120"/>
      <c r="I120" t="inlineStr">
        <is>
          <t>Decay</t>
        </is>
      </c>
      <c r="J120" t="inlineStr">
        <is>
          <t>龚政涛,Decay</t>
        </is>
      </c>
      <c r="K120" t="inlineStr">
        <is>
          <t>龚政涛</t>
        </is>
      </c>
      <c r="L120" s="3">
        <v>45586.61199074074</v>
      </c>
      <c r="M120" s="3"/>
      <c r="N120" s="3">
        <v>45608.484814814816</v>
      </c>
      <c r="O120" s="3">
        <v>45607.333333333336</v>
      </c>
      <c r="P120" s="3">
        <v>45608.484930555554</v>
      </c>
      <c r="Q120" s="2" t="str">
        <f>=HYPERLINK("https://applink.feishu.cn/client/todo/task_list?guid=4d92b9af-66d1-4cd7-95d1-4b753a64ca6b", "跃入迷城")</f>
        <v>跃入迷城</v>
      </c>
      <c r="R120" t="inlineStr">
        <is>
          <t>4d92b9af-66d1-4cd7-95d1-4b753a64ca6b</t>
        </is>
      </c>
      <c r="S120" t="inlineStr">
        <is>
          <t>30c96f59-5eac-4451-8eae-40ce8b3f91b7</t>
        </is>
      </c>
      <c r="T120">
        <v>0</v>
      </c>
      <c r="U120">
        <v>1</v>
      </c>
      <c r="V120" t="inlineStr">
        <is>
          <t>0.0.3</t>
        </is>
      </c>
      <c r="W120" t="inlineStr">
        <is>
          <t>已完成</t>
        </is>
      </c>
      <c r="X120"/>
      <c r="Y120" t="inlineStr">
        <is>
          <t>镜头</t>
        </is>
      </c>
      <c r="Z120" t="inlineStr">
        <is>
          <t>P1 - Bigger the Better</t>
        </is>
      </c>
      <c r="AA120" t="inlineStr">
        <is>
          <t>37031620-b9d9-4e61-bfac-a2529d86d8de</t>
        </is>
      </c>
      <c r="AB120" t="inlineStr">
        <is>
          <t>550f5a8e-65e4-48cc-b158-b3b8f1c6907e</t>
        </is>
      </c>
      <c r="AC120"/>
      <c r="AD120" t="inlineStr">
        <is>
          <t>NzUzMjAzNDQ5ODk2NDY2ODQ0NDozMGM5NmY1OS01ZWFjLTQ0NTEtOGVhZS00MGNlOGIzZjkxYjc6Nzg0ZDgzMWI4MzU5YjQwODA3YTc0NTFkOTdjODQxNjU6MQ==</t>
        </is>
      </c>
      <c r="AE120"/>
    </row>
    <row r="121" ht="25.5" customHeight="1">
      <c r="A121" s="2" t="str">
        <f>=HYPERLINK("https://applink.feishu.cn/client/todo/detail?guid=b81d8e8d-6069-4ddd-a09e-9f9f0d6ab868&amp;suite_entity_num=t100247", "需要一份比较简单的AI功能文档，说明各个模块的作用以及便于策划修改数值")</f>
        <v>需要一份比较简单的AI功能文档，说明各个模块的作用以及便于策划修改数值</v>
      </c>
      <c r="B121"/>
      <c r="C121" t="inlineStr">
        <is>
          <t>默认分组</t>
        </is>
      </c>
      <c r="D121" t="inlineStr">
        <is>
          <t>1</t>
        </is>
      </c>
      <c r="E121" t="inlineStr">
        <is>
          <t>或签任务</t>
        </is>
      </c>
      <c r="F121"/>
      <c r="G121" t="inlineStr">
        <is>
          <t>0</t>
        </is>
      </c>
      <c r="H121"/>
      <c r="I121" t="inlineStr">
        <is>
          <t>李少秋</t>
        </is>
      </c>
      <c r="J121" t="inlineStr">
        <is>
          <t>龚政涛,李少秋</t>
        </is>
      </c>
      <c r="K121" t="inlineStr">
        <is>
          <t>龚政涛</t>
        </is>
      </c>
      <c r="L121" s="3">
        <v>45596.60582175926</v>
      </c>
      <c r="M121" s="3">
        <v>45596.333333333336</v>
      </c>
      <c r="N121" s="3">
        <v>45603.65756944445</v>
      </c>
      <c r="O121" s="3">
        <v>45598.333333333336</v>
      </c>
      <c r="P121" s="3">
        <v>45603.65758101852</v>
      </c>
      <c r="Q121" s="2" t="str">
        <f>=HYPERLINK("https://applink.feishu.cn/client/todo/task_list?guid=4d92b9af-66d1-4cd7-95d1-4b753a64ca6b", "跃入迷城")</f>
        <v>跃入迷城</v>
      </c>
      <c r="R121" t="inlineStr">
        <is>
          <t>4d92b9af-66d1-4cd7-95d1-4b753a64ca6b</t>
        </is>
      </c>
      <c r="S121" t="inlineStr">
        <is>
          <t>b81d8e8d-6069-4ddd-a09e-9f9f0d6ab868</t>
        </is>
      </c>
      <c r="T121">
        <v>0</v>
      </c>
      <c r="U121">
        <v>0</v>
      </c>
      <c r="V121" t="inlineStr">
        <is>
          <t>0.0.3</t>
        </is>
      </c>
      <c r="W121" t="inlineStr">
        <is>
          <t>已完成</t>
        </is>
      </c>
      <c r="X121"/>
      <c r="Y121" t="inlineStr">
        <is>
          <t>AI</t>
        </is>
      </c>
      <c r="Z121" t="inlineStr">
        <is>
          <t>P2 - Nice to Have</t>
        </is>
      </c>
      <c r="AA121"/>
      <c r="AB121"/>
      <c r="AC121"/>
      <c r="AD121" t="inlineStr">
        <is>
          <t>NzUzMjAzNDQ5ODk2NDY2ODQ0NDpiODFkOGU4ZC02MDY5LTRkZGQtYTA5ZS05ZjlmMGQ2YWI4Njg6ZjA2MzVmY2NmMGNkZTljZDIxZWE4ZWQxMTBkMjdlOTE6MQ==</t>
        </is>
      </c>
      <c r="AE121"/>
    </row>
    <row r="122" ht="25.5" customHeight="1">
      <c r="A122" s="2" t="str">
        <f>=HYPERLINK("https://applink.feishu.cn/client/todo/detail?guid=8c12367f-9466-499c-9fac-a145678a14e9&amp;suite_entity_num=t100262", "翻滚方向以键盘优先，其次是鼠标指针方向，再次是角色面朝方向")</f>
        <v>翻滚方向以键盘优先，其次是鼠标指针方向，再次是角色面朝方向</v>
      </c>
      <c r="B122"/>
      <c r="C122" t="inlineStr">
        <is>
          <t>默认分组</t>
        </is>
      </c>
      <c r="D122" t="inlineStr">
        <is>
          <t>1</t>
        </is>
      </c>
      <c r="E122" t="inlineStr">
        <is>
          <t>或签任务</t>
        </is>
      </c>
      <c r="F122"/>
      <c r="G122" t="inlineStr">
        <is>
          <t>0</t>
        </is>
      </c>
      <c r="H122"/>
      <c r="I122" t="inlineStr">
        <is>
          <t>Decay</t>
        </is>
      </c>
      <c r="J122" t="inlineStr">
        <is>
          <t>龚政涛,Decay</t>
        </is>
      </c>
      <c r="K122" t="inlineStr">
        <is>
          <t>龚政涛</t>
        </is>
      </c>
      <c r="L122" s="3">
        <v>45608.485810185186</v>
      </c>
      <c r="M122" s="3"/>
      <c r="N122" s="3">
        <v>45709.446377314816</v>
      </c>
      <c r="O122" s="3"/>
      <c r="P122" s="3">
        <v>45709.44646990741</v>
      </c>
      <c r="Q122" s="2" t="str">
        <f>=HYPERLINK("https://applink.feishu.cn/client/todo/task_list?guid=4d92b9af-66d1-4cd7-95d1-4b753a64ca6b", "跃入迷城")</f>
        <v>跃入迷城</v>
      </c>
      <c r="R122" t="inlineStr">
        <is>
          <t>4d92b9af-66d1-4cd7-95d1-4b753a64ca6b</t>
        </is>
      </c>
      <c r="S122" t="inlineStr">
        <is>
          <t>8c12367f-9466-499c-9fac-a145678a14e9</t>
        </is>
      </c>
      <c r="T122">
        <v>0</v>
      </c>
      <c r="U122">
        <v>3</v>
      </c>
      <c r="V122" t="inlineStr">
        <is>
          <t>0.0.3</t>
        </is>
      </c>
      <c r="W122" t="inlineStr">
        <is>
          <t>已完成</t>
        </is>
      </c>
      <c r="X122"/>
      <c r="Y122" t="inlineStr">
        <is>
          <t>操作</t>
        </is>
      </c>
      <c r="Z122" t="inlineStr">
        <is>
          <t>P1 - Bigger the Better</t>
        </is>
      </c>
      <c r="AA122"/>
      <c r="AB122"/>
      <c r="AC122"/>
      <c r="AD122" t="inlineStr">
        <is>
          <t>NzUzMjAzNDQ5ODk2NDY2ODQ0NDo4YzEyMzY3Zi05NDY2LTQ5OWMtOWZhYy1hMTQ1Njc4YTE0ZTk6NTQxZjMyNjU5MGNlZDNhZGYzMmZiZTFmYmJlNjdhYjM6MQ==</t>
        </is>
      </c>
      <c r="AE122"/>
    </row>
    <row r="123" ht="25.5" customHeight="1">
      <c r="A123" s="2" t="str">
        <f>=HYPERLINK("https://applink.feishu.cn/client/todo/detail?guid=550f5a8e-65e4-48cc-b158-b3b8f1c6907e&amp;suite_entity_num=t100241", "在翻滚时增加一个镜头位移延迟")</f>
        <v>在翻滚时增加一个镜头位移延迟</v>
      </c>
      <c r="B123"/>
      <c r="C123" t="inlineStr">
        <is>
          <t>默认分组</t>
        </is>
      </c>
      <c r="D123" t="inlineStr">
        <is>
          <t>1</t>
        </is>
      </c>
      <c r="E123" t="inlineStr">
        <is>
          <t>或签任务</t>
        </is>
      </c>
      <c r="F123"/>
      <c r="G123" t="inlineStr">
        <is>
          <t>0</t>
        </is>
      </c>
      <c r="H123"/>
      <c r="I123" t="inlineStr">
        <is>
          <t>Decay</t>
        </is>
      </c>
      <c r="J123" t="inlineStr">
        <is>
          <t>龚政涛,Decay</t>
        </is>
      </c>
      <c r="K123" t="inlineStr">
        <is>
          <t>龚政涛</t>
        </is>
      </c>
      <c r="L123" s="3">
        <v>45594.684386574074</v>
      </c>
      <c r="M123" s="3">
        <v>45608.333333333336</v>
      </c>
      <c r="N123" s="3">
        <v>45614.46869212963</v>
      </c>
      <c r="O123" s="3">
        <v>45608.333333333336</v>
      </c>
      <c r="P123" s="3">
        <v>45614.468726851854</v>
      </c>
      <c r="Q123" s="2" t="str">
        <f>=HYPERLINK("https://applink.feishu.cn/client/todo/task_list?guid=4d92b9af-66d1-4cd7-95d1-4b753a64ca6b", "跃入迷城")</f>
        <v>跃入迷城</v>
      </c>
      <c r="R123" t="inlineStr">
        <is>
          <t>4d92b9af-66d1-4cd7-95d1-4b753a64ca6b</t>
        </is>
      </c>
      <c r="S123" t="inlineStr">
        <is>
          <t>550f5a8e-65e4-48cc-b158-b3b8f1c6907e</t>
        </is>
      </c>
      <c r="T123">
        <v>0</v>
      </c>
      <c r="U123">
        <v>2</v>
      </c>
      <c r="V123" t="inlineStr">
        <is>
          <t>0.0.3</t>
        </is>
      </c>
      <c r="W123" t="inlineStr">
        <is>
          <t>已废弃</t>
        </is>
      </c>
      <c r="X123"/>
      <c r="Y123" t="inlineStr">
        <is>
          <t>镜头</t>
        </is>
      </c>
      <c r="Z123" t="inlineStr">
        <is>
          <t>P1 - Bigger the Better</t>
        </is>
      </c>
      <c r="AA123" t="inlineStr">
        <is>
          <t>30c96f59-5eac-4451-8eae-40ce8b3f91b7</t>
        </is>
      </c>
      <c r="AB123"/>
      <c r="AC123"/>
      <c r="AD123" t="inlineStr">
        <is>
          <t>NzUzMjAzNDQ5ODk2NDY2ODQ0NDo1NTBmNWE4ZS02NWU0LTQ4Y2MtYjE1OC1iM2I4ZjFjNjkwN2U6MDUzNjRlZTBiODI5YTgzZTM4ODVkZjExMzcyZjJlNTA6MQ==</t>
        </is>
      </c>
      <c r="AE123"/>
    </row>
    <row r="124" ht="25.5" customHeight="1">
      <c r="A124" s="2" t="str">
        <f>=HYPERLINK("https://applink.feishu.cn/client/todo/detail?guid=acf47932-f63a-4291-a56e-e212373f2071&amp;suite_entity_num=t100269", "副手武器（近战）攻击完以后，会维持在近战武器在手的状态，这个时候玩家如果按下[R]应该要能切回主手武器换子弹")</f>
        <v>副手武器（近战）攻击完以后，会维持在近战武器在手的状态，这个时候玩家如果按下[R]应该要能切回主手武器换子弹</v>
      </c>
      <c r="B124"/>
      <c r="C124" t="inlineStr">
        <is>
          <t>默认分组</t>
        </is>
      </c>
      <c r="D124" t="inlineStr">
        <is>
          <t>1</t>
        </is>
      </c>
      <c r="E124" t="inlineStr">
        <is>
          <t>或签任务</t>
        </is>
      </c>
      <c r="F124"/>
      <c r="G124" t="inlineStr">
        <is>
          <t>0</t>
        </is>
      </c>
      <c r="H124"/>
      <c r="I124" t="inlineStr">
        <is>
          <t>Decay</t>
        </is>
      </c>
      <c r="J124" t="inlineStr">
        <is>
          <t>龚政涛,Decay</t>
        </is>
      </c>
      <c r="K124" t="inlineStr">
        <is>
          <t>龚政涛</t>
        </is>
      </c>
      <c r="L124" s="3">
        <v>45611.65991898148</v>
      </c>
      <c r="M124" s="3">
        <v>45624.333333333336</v>
      </c>
      <c r="N124" s="3">
        <v>45636.757199074076</v>
      </c>
      <c r="O124" s="3">
        <v>45624.333333333336</v>
      </c>
      <c r="P124" s="3">
        <v>45636.757199074076</v>
      </c>
      <c r="Q124" s="2" t="str">
        <f>=HYPERLINK("https://applink.feishu.cn/client/todo/task_list?guid=4d92b9af-66d1-4cd7-95d1-4b753a64ca6b", "跃入迷城")</f>
        <v>跃入迷城</v>
      </c>
      <c r="R124" t="inlineStr">
        <is>
          <t>4d92b9af-66d1-4cd7-95d1-4b753a64ca6b</t>
        </is>
      </c>
      <c r="S124" t="inlineStr">
        <is>
          <t>acf47932-f63a-4291-a56e-e212373f2071</t>
        </is>
      </c>
      <c r="T124">
        <v>0</v>
      </c>
      <c r="U124">
        <v>1</v>
      </c>
      <c r="V124" t="inlineStr">
        <is>
          <t>0.0.3</t>
        </is>
      </c>
      <c r="W124" t="inlineStr">
        <is>
          <t>已废弃</t>
        </is>
      </c>
      <c r="X124"/>
      <c r="Y124" t="inlineStr">
        <is>
          <t>操作</t>
        </is>
      </c>
      <c r="Z124" t="inlineStr">
        <is>
          <t>P2 - Nice to Have</t>
        </is>
      </c>
      <c r="AA124"/>
      <c r="AB124"/>
      <c r="AC124"/>
      <c r="AD124" t="inlineStr">
        <is>
          <t>NzUzMjAzNDQ5ODk2NDY2ODQ0NDphY2Y0NzkzMi1mNjNhLTQyOTEtYTU2ZS1lMjEyMzczZjIwNzE6YmQzM2VlM2Q3NGQxMjI2NGQ0ZjU4YzM4ODljYmY3MGE6MQ==</t>
        </is>
      </c>
      <c r="AE124"/>
    </row>
    <row r="125" ht="25.5" customHeight="1">
      <c r="A125" s="2" t="str">
        <f>=HYPERLINK("https://applink.feishu.cn/client/todo/detail?guid=03507192-8bde-46ee-b8c3-c413c00990aa&amp;suite_entity_num=t100208", "打包v0.0.2")</f>
        <v>打包v0.0.2</v>
      </c>
      <c r="B125"/>
      <c r="C125" t="inlineStr">
        <is>
          <t>默认分组</t>
        </is>
      </c>
      <c r="D125" t="inlineStr">
        <is>
          <t>1</t>
        </is>
      </c>
      <c r="E125" t="inlineStr">
        <is>
          <t>或签任务</t>
        </is>
      </c>
      <c r="F125"/>
      <c r="G125" t="inlineStr">
        <is>
          <t>0</t>
        </is>
      </c>
      <c r="H125"/>
      <c r="I125" t="inlineStr">
        <is>
          <t>Decay</t>
        </is>
      </c>
      <c r="J125" t="inlineStr">
        <is>
          <t>龚政涛,Decay</t>
        </is>
      </c>
      <c r="K125" t="inlineStr">
        <is>
          <t>龚政涛</t>
        </is>
      </c>
      <c r="L125" s="3">
        <v>45587.586875</v>
      </c>
      <c r="M125" s="3"/>
      <c r="N125" s="3">
        <v>45595.62608796296</v>
      </c>
      <c r="O125" s="3">
        <v>45590.333333333336</v>
      </c>
      <c r="P125" s="3">
        <v>45595.62609953704</v>
      </c>
      <c r="Q125" s="2" t="str">
        <f>=HYPERLINK("https://applink.feishu.cn/client/todo/task_list?guid=4d92b9af-66d1-4cd7-95d1-4b753a64ca6b", "跃入迷城")</f>
        <v>跃入迷城</v>
      </c>
      <c r="R125" t="inlineStr">
        <is>
          <t>4d92b9af-66d1-4cd7-95d1-4b753a64ca6b</t>
        </is>
      </c>
      <c r="S125" t="inlineStr">
        <is>
          <t>03507192-8bde-46ee-b8c3-c413c00990aa</t>
        </is>
      </c>
      <c r="T125">
        <v>0</v>
      </c>
      <c r="U125">
        <v>0</v>
      </c>
      <c r="V125" t="inlineStr">
        <is>
          <t>0.0.2</t>
        </is>
      </c>
      <c r="W125" t="inlineStr">
        <is>
          <t>已完成</t>
        </is>
      </c>
      <c r="X125"/>
      <c r="Y125" t="inlineStr">
        <is>
          <t>项目管理</t>
        </is>
      </c>
      <c r="Z125" t="inlineStr">
        <is>
          <t>P0 - Must (not) Have</t>
        </is>
      </c>
      <c r="AA125"/>
      <c r="AB125"/>
      <c r="AC125"/>
      <c r="AD125" t="inlineStr">
        <is>
          <t>NzUzMjAzNDQ5ODk2NDY2ODQ0NDowMzUwNzE5Mi04YmRlLTQ2ZWUtYjhjMy1jNDEzYzAwOTkwYWE6YTBjYjM3NGYxNzVmNTNhZGI5ZWIxMGEyMzM0YWM1MjI6MQ==</t>
        </is>
      </c>
      <c r="AE125"/>
    </row>
    <row r="126" ht="25.5" customHeight="1">
      <c r="A126" s="2" t="str">
        <f>=HYPERLINK("https://applink.feishu.cn/client/todo/detail?guid=dd4e167e-a053-46fe-be3f-06181d8dd81a&amp;suite_entity_num=t100245", "v0.0.3 - 迭代结束")</f>
        <v>v0.0.3 - 迭代结束</v>
      </c>
      <c r="B126"/>
      <c r="C126" t="inlineStr">
        <is>
          <t>默认分组</t>
        </is>
      </c>
      <c r="D126" t="inlineStr">
        <is>
          <t>1</t>
        </is>
      </c>
      <c r="E126" t="inlineStr">
        <is>
          <t>或签任务</t>
        </is>
      </c>
      <c r="F126"/>
      <c r="G126" t="inlineStr">
        <is>
          <t>1</t>
        </is>
      </c>
      <c r="H126"/>
      <c r="I126" t="inlineStr">
        <is>
          <t>龚政涛</t>
        </is>
      </c>
      <c r="J126" t="inlineStr">
        <is>
          <t>龚政涛</t>
        </is>
      </c>
      <c r="K126" t="inlineStr">
        <is>
          <t>龚政涛</t>
        </is>
      </c>
      <c r="L126" s="3">
        <v>45595.624247685184</v>
      </c>
      <c r="M126" s="3"/>
      <c r="N126" s="3">
        <v>45667.602372685185</v>
      </c>
      <c r="O126" s="3">
        <v>45648.333333333336</v>
      </c>
      <c r="P126" s="3">
        <v>45667.60236111111</v>
      </c>
      <c r="Q126" s="2" t="str">
        <f>=HYPERLINK("https://applink.feishu.cn/client/todo/task_list?guid=4d92b9af-66d1-4cd7-95d1-4b753a64ca6b", "跃入迷城")</f>
        <v>跃入迷城</v>
      </c>
      <c r="R126" t="inlineStr">
        <is>
          <t>4d92b9af-66d1-4cd7-95d1-4b753a64ca6b</t>
        </is>
      </c>
      <c r="S126" t="inlineStr">
        <is>
          <t>dd4e167e-a053-46fe-be3f-06181d8dd81a</t>
        </is>
      </c>
      <c r="T126">
        <v>0</v>
      </c>
      <c r="U126">
        <v>0</v>
      </c>
      <c r="V126" t="inlineStr">
        <is>
          <t>0.0.3</t>
        </is>
      </c>
      <c r="W126" t="inlineStr">
        <is>
          <t>已完成</t>
        </is>
      </c>
      <c r="X126"/>
      <c r="Y126" t="inlineStr">
        <is>
          <t>项目管理</t>
        </is>
      </c>
      <c r="Z126" t="inlineStr">
        <is>
          <t>P2 - Nice to Have</t>
        </is>
      </c>
      <c r="AA126"/>
      <c r="AB126"/>
      <c r="AC126"/>
      <c r="AD126" t="inlineStr">
        <is>
          <t>NzUzMjAzNDQ5ODk2NDY2ODQ0NDpkZDRlMTY3ZS1hMDUzLTQ2ZmUtYmUzZi0wNjE4MWQ4ZGQ4MWE6Y2EwY2RiMjM0MDZhNzg1ZDhhZjg5NjkyYjNjZDYwMWM6MQ==</t>
        </is>
      </c>
      <c r="AE126"/>
    </row>
    <row r="127" ht="25.5" customHeight="1">
      <c r="A127" s="2" t="str">
        <f>=HYPERLINK("https://applink.feishu.cn/client/todo/detail?guid=37031620-b9d9-4e61-bfac-a2529d86d8de&amp;suite_entity_num=t100206", "镜头似乎是follow胶囊体中心的，应当改为always追踪胶囊体的某个固定位置（中央）高度而不随胶囊体本身变化")</f>
        <v>镜头似乎是follow胶囊体中心的，应当改为always追踪胶囊体的某个固定位置（中央）高度而不随胶囊体本身变化</v>
      </c>
      <c r="B127"/>
      <c r="C127" t="inlineStr">
        <is>
          <t>默认分组</t>
        </is>
      </c>
      <c r="D127" t="inlineStr">
        <is>
          <t>1</t>
        </is>
      </c>
      <c r="E127" t="inlineStr">
        <is>
          <t>或签任务</t>
        </is>
      </c>
      <c r="F127"/>
      <c r="G127" t="inlineStr">
        <is>
          <t>0</t>
        </is>
      </c>
      <c r="H127"/>
      <c r="I127" t="inlineStr">
        <is>
          <t>Decay</t>
        </is>
      </c>
      <c r="J127" t="inlineStr">
        <is>
          <t>龚政涛,Decay</t>
        </is>
      </c>
      <c r="K127" t="inlineStr">
        <is>
          <t>龚政涛</t>
        </is>
      </c>
      <c r="L127" s="3">
        <v>45586.617476851854</v>
      </c>
      <c r="M127" s="3"/>
      <c r="N127" s="3">
        <v>45614.46800925926</v>
      </c>
      <c r="O127" s="3">
        <v>45606.333333333336</v>
      </c>
      <c r="P127" s="3">
        <v>45614.46803240741</v>
      </c>
      <c r="Q127" s="2" t="str">
        <f>=HYPERLINK("https://applink.feishu.cn/client/todo/task_list?guid=4d92b9af-66d1-4cd7-95d1-4b753a64ca6b", "跃入迷城")</f>
        <v>跃入迷城</v>
      </c>
      <c r="R127" t="inlineStr">
        <is>
          <t>4d92b9af-66d1-4cd7-95d1-4b753a64ca6b</t>
        </is>
      </c>
      <c r="S127" t="inlineStr">
        <is>
          <t>37031620-b9d9-4e61-bfac-a2529d86d8de</t>
        </is>
      </c>
      <c r="T127">
        <v>0</v>
      </c>
      <c r="U127">
        <v>1</v>
      </c>
      <c r="V127" t="inlineStr">
        <is>
          <t>0.0.3</t>
        </is>
      </c>
      <c r="W127" t="inlineStr">
        <is>
          <t>已完成</t>
        </is>
      </c>
      <c r="X127"/>
      <c r="Y127" t="inlineStr">
        <is>
          <t>镜头</t>
        </is>
      </c>
      <c r="Z127" t="inlineStr">
        <is>
          <t>P0 - Must (not) Have</t>
        </is>
      </c>
      <c r="AA127" t="inlineStr">
        <is>
          <t>10e1d8c3-4a3c-4b55-aa97-d2ff333ac01a</t>
        </is>
      </c>
      <c r="AB127" t="inlineStr">
        <is>
          <t>30c96f59-5eac-4451-8eae-40ce8b3f91b7</t>
        </is>
      </c>
      <c r="AC127"/>
      <c r="AD127" t="inlineStr">
        <is>
          <t>NzUzMjAzNDQ5ODk2NDY2ODQ0NDozNzAzMTYyMC1iOWQ5LTRlNjEtYmZhYy1hMjUyOWQ4NmQ4ZGU6ZjUwNjVkZDFhM2E2MzhjYTJlNTIzOGVhNzUyN2ZhNWM6MQ==</t>
        </is>
      </c>
      <c r="AE127"/>
    </row>
    <row r="128" ht="25.5" customHeight="1">
      <c r="A128" s="2" t="str">
        <f>=HYPERLINK("https://applink.feishu.cn/client/todo/detail?guid=7b0d2674-f9af-4c14-9c9f-a7a34660323c&amp;suite_entity_num=t100280", "BTT_SetCurrentLocation，用于获取当前AI的站立位置，很方便")</f>
        <v>BTT_SetCurrentLocation，用于获取当前AI的站立位置，很方便</v>
      </c>
      <c r="B128"/>
      <c r="C128" t="inlineStr">
        <is>
          <t>默认分组</t>
        </is>
      </c>
      <c r="D128" t="inlineStr">
        <is>
          <t>1</t>
        </is>
      </c>
      <c r="E128" t="inlineStr">
        <is>
          <t>或签任务</t>
        </is>
      </c>
      <c r="F128"/>
      <c r="G128" t="inlineStr">
        <is>
          <t>0</t>
        </is>
      </c>
      <c r="H128"/>
      <c r="I128" t="inlineStr">
        <is>
          <t>李少秋</t>
        </is>
      </c>
      <c r="J128" t="inlineStr">
        <is>
          <t>李少秋,龚政涛</t>
        </is>
      </c>
      <c r="K128" t="inlineStr">
        <is>
          <t>龚政涛</t>
        </is>
      </c>
      <c r="L128" s="3">
        <v>45614.50916666666</v>
      </c>
      <c r="M128" s="3"/>
      <c r="N128" s="3">
        <v>45617.453935185185</v>
      </c>
      <c r="O128" s="3"/>
      <c r="P128" s="3">
        <v>45733.70949074074</v>
      </c>
      <c r="Q128" s="2" t="str">
        <f>=HYPERLINK("https://applink.feishu.cn/client/todo/task_list?guid=4d92b9af-66d1-4cd7-95d1-4b753a64ca6b", "跃入迷城")</f>
        <v>跃入迷城</v>
      </c>
      <c r="R128" t="inlineStr">
        <is>
          <t>4d92b9af-66d1-4cd7-95d1-4b753a64ca6b</t>
        </is>
      </c>
      <c r="S128" t="inlineStr">
        <is>
          <t>7b0d2674-f9af-4c14-9c9f-a7a34660323c</t>
        </is>
      </c>
      <c r="T128">
        <v>0</v>
      </c>
      <c r="U128">
        <v>0</v>
      </c>
      <c r="V128" t="inlineStr">
        <is>
          <t>0.0.3</t>
        </is>
      </c>
      <c r="W128" t="inlineStr">
        <is>
          <t>已完成</t>
        </is>
      </c>
      <c r="X128"/>
      <c r="Y128" t="inlineStr">
        <is>
          <t>AI</t>
        </is>
      </c>
      <c r="Z128" t="inlineStr">
        <is>
          <t>P1 - Bigger the Better</t>
        </is>
      </c>
      <c r="AA128"/>
      <c r="AB128"/>
      <c r="AC128"/>
      <c r="AD128" t="inlineStr">
        <is>
          <t>NzUzMjAzNDQ5ODk2NDY2ODQ0NDo3YjBkMjY3NC1mOWFmLTRjMTQtOWM5Zi1hN2EzNDY2MDMyM2M6NjFkZDg2Njg5YzA5YjFlMDE2ZjgwOWExOTQzYjNlY2M6MQ==</t>
        </is>
      </c>
      <c r="AE128"/>
    </row>
    <row r="129" ht="25.5" customHeight="1">
      <c r="A129" s="2" t="str">
        <f>=HYPERLINK("https://applink.feishu.cn/client/todo/detail?guid=0af33d13-6c50-4d5e-a671-c2f26db0aa70&amp;suite_entity_num=t100274", "目前群聚控制下的敌人会把队友尸体考虑进寻路，导致移动卡顿，希望忽略")</f>
        <v>目前群聚控制下的敌人会把队友尸体考虑进寻路，导致移动卡顿，希望忽略</v>
      </c>
      <c r="B129"/>
      <c r="C129" t="inlineStr">
        <is>
          <t>默认分组</t>
        </is>
      </c>
      <c r="D129" t="inlineStr">
        <is>
          <t>1</t>
        </is>
      </c>
      <c r="E129" t="inlineStr">
        <is>
          <t>或签任务</t>
        </is>
      </c>
      <c r="F129"/>
      <c r="G129" t="inlineStr">
        <is>
          <t>0</t>
        </is>
      </c>
      <c r="H129"/>
      <c r="I129" t="inlineStr">
        <is>
          <t>李少秋</t>
        </is>
      </c>
      <c r="J129" t="inlineStr">
        <is>
          <t>龚政涛,李少秋</t>
        </is>
      </c>
      <c r="K129" t="inlineStr">
        <is>
          <t>龚政涛</t>
        </is>
      </c>
      <c r="L129" s="3">
        <v>45611.70474537037</v>
      </c>
      <c r="M129" s="3">
        <v>45614.333333333336</v>
      </c>
      <c r="N129" s="3">
        <v>45622.685694444444</v>
      </c>
      <c r="O129" s="3">
        <v>45618.333333333336</v>
      </c>
      <c r="P129" s="3">
        <v>45622.68570601852</v>
      </c>
      <c r="Q129" s="2" t="str">
        <f>=HYPERLINK("https://applink.feishu.cn/client/todo/task_list?guid=4d92b9af-66d1-4cd7-95d1-4b753a64ca6b", "跃入迷城")</f>
        <v>跃入迷城</v>
      </c>
      <c r="R129" t="inlineStr">
        <is>
          <t>4d92b9af-66d1-4cd7-95d1-4b753a64ca6b</t>
        </is>
      </c>
      <c r="S129" t="inlineStr">
        <is>
          <t>0af33d13-6c50-4d5e-a671-c2f26db0aa70</t>
        </is>
      </c>
      <c r="T129">
        <v>0</v>
      </c>
      <c r="U129">
        <v>1</v>
      </c>
      <c r="V129" t="inlineStr">
        <is>
          <t>0.0.3</t>
        </is>
      </c>
      <c r="W129" t="inlineStr">
        <is>
          <t>已完成</t>
        </is>
      </c>
      <c r="X129"/>
      <c r="Y129" t="inlineStr">
        <is>
          <t>AI</t>
        </is>
      </c>
      <c r="Z129" t="inlineStr">
        <is>
          <t>P1 - Bigger the Better</t>
        </is>
      </c>
      <c r="AA129"/>
      <c r="AB129"/>
      <c r="AC129"/>
      <c r="AD129" t="inlineStr">
        <is>
          <t>NzUzMjAzNDQ5ODk2NDY2ODQ0NDowYWYzM2QxMy02YzUwLTRkNWUtYTY3MS1jMmYyNmRiMGFhNzA6ODk2ZmFlODk1ZDJlMzMwNTJjMDA1MjhiZGU2OWEyM2M6MQ==</t>
        </is>
      </c>
      <c r="AE129"/>
    </row>
    <row r="130" ht="25.5" customHeight="1">
      <c r="A130" s="2" t="str">
        <f>=HYPERLINK("https://applink.feishu.cn/client/todo/detail?guid=43c433ee-f65b-444e-819b-a5bd5554bbe0&amp;suite_entity_num=t100276", "HasCurrentSight在[7]和[93]位置时，为FALSE时不能Abort后续TASK，但在[139]位置就可以")</f>
        <v>HasCurrentSight在[7]和[93]位置时，为FALSE时不能Abort后续TASK，但在[139]位置就可以</v>
      </c>
      <c r="B130"/>
      <c r="C130" t="inlineStr">
        <is>
          <t>默认分组</t>
        </is>
      </c>
      <c r="D130" t="inlineStr">
        <is>
          <t>1</t>
        </is>
      </c>
      <c r="E130" t="inlineStr">
        <is>
          <t>或签任务</t>
        </is>
      </c>
      <c r="F130"/>
      <c r="G130" t="inlineStr">
        <is>
          <t>0</t>
        </is>
      </c>
      <c r="H130"/>
      <c r="I130" t="inlineStr">
        <is>
          <t>李少秋</t>
        </is>
      </c>
      <c r="J130" t="inlineStr">
        <is>
          <t>龚政涛,李少秋</t>
        </is>
      </c>
      <c r="K130" t="inlineStr">
        <is>
          <t>龚政涛</t>
        </is>
      </c>
      <c r="L130" s="3">
        <v>45614.50699074074</v>
      </c>
      <c r="M130" s="3"/>
      <c r="N130" s="3">
        <v>45614.65707175926</v>
      </c>
      <c r="O130" s="3"/>
      <c r="P130" s="3">
        <v>45614.65712962963</v>
      </c>
      <c r="Q130" s="2" t="str">
        <f>=HYPERLINK("https://applink.feishu.cn/client/todo/task_list?guid=4d92b9af-66d1-4cd7-95d1-4b753a64ca6b", "跃入迷城")</f>
        <v>跃入迷城</v>
      </c>
      <c r="R130" t="inlineStr">
        <is>
          <t>4d92b9af-66d1-4cd7-95d1-4b753a64ca6b</t>
        </is>
      </c>
      <c r="S130" t="inlineStr">
        <is>
          <t>43c433ee-f65b-444e-819b-a5bd5554bbe0</t>
        </is>
      </c>
      <c r="T130">
        <v>0</v>
      </c>
      <c r="U130">
        <v>1</v>
      </c>
      <c r="V130" t="inlineStr">
        <is>
          <t>0.0.3</t>
        </is>
      </c>
      <c r="W130" t="inlineStr">
        <is>
          <t>已废弃</t>
        </is>
      </c>
      <c r="X130"/>
      <c r="Y130" t="inlineStr">
        <is>
          <t>AI</t>
        </is>
      </c>
      <c r="Z130" t="inlineStr">
        <is>
          <t>P0 - Must (not) Have</t>
        </is>
      </c>
      <c r="AA130"/>
      <c r="AB130"/>
      <c r="AC130"/>
      <c r="AD130" t="inlineStr">
        <is>
          <t>NzUzMjAzNDQ5ODk2NDY2ODQ0NDo0M2M0MzNlZS1mNjViLTQ0NGUtODE5Yi1hNWJkNTU1NGJiZTA6ZjFjMjI4NDUzNDJlOGI2NWI5ZmQxYzdlNWUxZDQzMTI6MQ==</t>
        </is>
      </c>
      <c r="AE130"/>
    </row>
    <row r="131" ht="25.5" customHeight="1">
      <c r="A131" s="2" t="str">
        <f>=HYPERLINK("https://applink.feishu.cn/client/todo/detail?guid=8afe2722-5d52-4918-95d7-075060799c44&amp;suite_entity_num=t100270", "需要2个新的攻击提示TASK")</f>
        <v>需要2个新的攻击提示TASK</v>
      </c>
      <c r="B131"/>
      <c r="C131" t="inlineStr">
        <is>
          <t>默认分组</t>
        </is>
      </c>
      <c r="D131" t="inlineStr">
        <is>
          <t>1</t>
        </is>
      </c>
      <c r="E131" t="inlineStr">
        <is>
          <t>或签任务</t>
        </is>
      </c>
      <c r="F131"/>
      <c r="G131" t="inlineStr">
        <is>
          <t>0</t>
        </is>
      </c>
      <c r="H131"/>
      <c r="I131" t="inlineStr">
        <is>
          <t>李少秋,Decay</t>
        </is>
      </c>
      <c r="J131" t="inlineStr">
        <is>
          <t>龚政涛,李少秋,Decay</t>
        </is>
      </c>
      <c r="K131" t="inlineStr">
        <is>
          <t>龚政涛</t>
        </is>
      </c>
      <c r="L131" s="3">
        <v>45611.70277777778</v>
      </c>
      <c r="M131" s="3"/>
      <c r="N131" s="3">
        <v>45624.6540625</v>
      </c>
      <c r="O131" s="3"/>
      <c r="P131" s="3">
        <v>45624.65408564815</v>
      </c>
      <c r="Q131" s="2" t="str">
        <f>=HYPERLINK("https://applink.feishu.cn/client/todo/task_list?guid=4d92b9af-66d1-4cd7-95d1-4b753a64ca6b", "跃入迷城")</f>
        <v>跃入迷城</v>
      </c>
      <c r="R131" t="inlineStr">
        <is>
          <t>4d92b9af-66d1-4cd7-95d1-4b753a64ca6b</t>
        </is>
      </c>
      <c r="S131" t="inlineStr">
        <is>
          <t>8afe2722-5d52-4918-95d7-075060799c44</t>
        </is>
      </c>
      <c r="T131">
        <v>0</v>
      </c>
      <c r="U131">
        <v>1</v>
      </c>
      <c r="V131" t="inlineStr">
        <is>
          <t>0.0.3</t>
        </is>
      </c>
      <c r="W131" t="inlineStr">
        <is>
          <t>已废弃</t>
        </is>
      </c>
      <c r="X131"/>
      <c r="Y131" t="inlineStr">
        <is>
          <t>AI</t>
        </is>
      </c>
      <c r="Z131" t="inlineStr">
        <is>
          <t>P0 - Must (not) Have</t>
        </is>
      </c>
      <c r="AA131"/>
      <c r="AB131"/>
      <c r="AC131"/>
      <c r="AD131" t="inlineStr">
        <is>
          <t>NzUzMjAzNDQ5ODk2NDY2ODQ0NDo4YWZlMjcyMi01ZDUyLTQ5MTgtOTVkNy0wNzUwNjA3OTljNDQ6ZGEzNjYyNTk2NzlmYzhjNjlmNzIwNzhiZGNmNTliZWQ6MQ==</t>
        </is>
      </c>
      <c r="AE131"/>
    </row>
    <row r="132" ht="25.5" customHeight="1">
      <c r="A132" s="2" t="str">
        <f>=HYPERLINK("https://applink.feishu.cn/client/todo/detail?guid=0d128d1d-8c99-466a-853c-6cde95a3e5fb&amp;suite_entity_num=t100244", "v0.0.3 - 迭代开始")</f>
        <v>v0.0.3 - 迭代开始</v>
      </c>
      <c r="B132"/>
      <c r="C132" t="inlineStr">
        <is>
          <t>默认分组</t>
        </is>
      </c>
      <c r="D132" t="inlineStr">
        <is>
          <t>1</t>
        </is>
      </c>
      <c r="E132" t="inlineStr">
        <is>
          <t>或签任务</t>
        </is>
      </c>
      <c r="F132"/>
      <c r="G132" t="inlineStr">
        <is>
          <t>1</t>
        </is>
      </c>
      <c r="H132"/>
      <c r="I132"/>
      <c r="J132" t="inlineStr">
        <is>
          <t>龚政涛</t>
        </is>
      </c>
      <c r="K132" t="inlineStr">
        <is>
          <t>龚政涛</t>
        </is>
      </c>
      <c r="L132" s="3">
        <v>45595.62415509259</v>
      </c>
      <c r="M132" s="3"/>
      <c r="N132" s="3">
        <v>45651.62939814815</v>
      </c>
      <c r="O132" s="3">
        <v>45593.333333333336</v>
      </c>
      <c r="P132" s="3">
        <v>45651.62945601852</v>
      </c>
      <c r="Q132" s="2" t="str">
        <f>=HYPERLINK("https://applink.feishu.cn/client/todo/task_list?guid=4d92b9af-66d1-4cd7-95d1-4b753a64ca6b", "跃入迷城")</f>
        <v>跃入迷城</v>
      </c>
      <c r="R132" t="inlineStr">
        <is>
          <t>4d92b9af-66d1-4cd7-95d1-4b753a64ca6b</t>
        </is>
      </c>
      <c r="S132" t="inlineStr">
        <is>
          <t>0d128d1d-8c99-466a-853c-6cde95a3e5fb</t>
        </is>
      </c>
      <c r="T132">
        <v>0</v>
      </c>
      <c r="U132">
        <v>0</v>
      </c>
      <c r="V132" t="inlineStr">
        <is>
          <t>0.0.3</t>
        </is>
      </c>
      <c r="W132" t="inlineStr">
        <is>
          <t>已完成</t>
        </is>
      </c>
      <c r="X132"/>
      <c r="Y132" t="inlineStr">
        <is>
          <t>项目管理</t>
        </is>
      </c>
      <c r="Z132" t="inlineStr">
        <is>
          <t>P2 - Nice to Have</t>
        </is>
      </c>
      <c r="AA132"/>
      <c r="AB132"/>
      <c r="AC132"/>
      <c r="AD132" t="inlineStr">
        <is>
          <t>NzUzMjAzNDQ5ODk2NDY2ODQ0NDowZDEyOGQxZC04Yzk5LTQ2NmEtODUzYy02Y2RlOTVhM2U1ZmI6YThhZWU0OWUzYmJjNjJhYTkzYWU5YWQ4OWE1N2EzMWM6MQ==</t>
        </is>
      </c>
      <c r="AE132"/>
    </row>
    <row r="133" ht="25.5" customHeight="1">
      <c r="A133" s="2" t="str">
        <f>=HYPERLINK("https://applink.feishu.cn/client/todo/detail?guid=2829eca1-a9e6-4eed-8a01-6d5c65c3e834&amp;suite_entity_num=t100303", "基于剧情大纲，完成剧情结构思维导图")</f>
        <v>基于剧情大纲，完成剧情结构思维导图</v>
      </c>
      <c r="B133"/>
      <c r="C133" t="inlineStr">
        <is>
          <t>默认分组</t>
        </is>
      </c>
      <c r="D133" t="inlineStr">
        <is>
          <t>1</t>
        </is>
      </c>
      <c r="E133" t="inlineStr">
        <is>
          <t>或签任务</t>
        </is>
      </c>
      <c r="F133"/>
      <c r="G133" t="inlineStr">
        <is>
          <t>0</t>
        </is>
      </c>
      <c r="H133"/>
      <c r="I133" t="inlineStr">
        <is>
          <t>肇国亨</t>
        </is>
      </c>
      <c r="J133" t="inlineStr">
        <is>
          <t>龚政涛,Jade,Serein,肇国亨</t>
        </is>
      </c>
      <c r="K133" t="inlineStr">
        <is>
          <t>龚政涛</t>
        </is>
      </c>
      <c r="L133" s="3">
        <v>45622.64173611111</v>
      </c>
      <c r="M133" s="3"/>
      <c r="N133" s="3">
        <v>45950.40788194445</v>
      </c>
      <c r="O133" s="3"/>
      <c r="P133" s="3">
        <v>45950.40788194445</v>
      </c>
      <c r="Q133" s="2" t="str">
        <f>=HYPERLINK("https://applink.feishu.cn/client/todo/task_list?guid=4d92b9af-66d1-4cd7-95d1-4b753a64ca6b", "跃入迷城")</f>
        <v>跃入迷城</v>
      </c>
      <c r="R133" t="inlineStr">
        <is>
          <t>4d92b9af-66d1-4cd7-95d1-4b753a64ca6b</t>
        </is>
      </c>
      <c r="S133" t="inlineStr">
        <is>
          <t>2829eca1-a9e6-4eed-8a01-6d5c65c3e834</t>
        </is>
      </c>
      <c r="T133">
        <v>0</v>
      </c>
      <c r="U133">
        <v>0</v>
      </c>
      <c r="V133" t="inlineStr">
        <is>
          <t>0.0.5</t>
        </is>
      </c>
      <c r="W133" t="inlineStr">
        <is>
          <t>已完成</t>
        </is>
      </c>
      <c r="X133" t="inlineStr">
        <is>
          <t>✍️故事</t>
        </is>
      </c>
      <c r="Y133" t="inlineStr">
        <is>
          <t>剧本</t>
        </is>
      </c>
      <c r="Z133" t="inlineStr">
        <is>
          <t>P1 - Bigger the Better</t>
        </is>
      </c>
      <c r="AA133"/>
      <c r="AB133"/>
      <c r="AC133"/>
      <c r="AD133" t="inlineStr">
        <is>
          <t>NzUzMjAzNDQ5ODk2NDY2ODQ0NDoyODI5ZWNhMS1hOWU2LTRlZWQtOGEwMS02ZDVjNjVjM2U4MzQ6MDAxNWQ0YzYyYThkZjFiY2QwN2Q4NmI4Y2VhMjNmN2U6MQ==</t>
        </is>
      </c>
      <c r="AE133"/>
    </row>
    <row r="134" ht="25.5" customHeight="1">
      <c r="A134" s="2" t="str">
        <f>=HYPERLINK("https://applink.feishu.cn/client/todo/detail?guid=6aa95f49-cebb-4133-a975-71289b18d00e&amp;suite_entity_num=t100324", "Arena功能3：可以在DT中配置每一波敌人的基础属性补正值")</f>
        <v>Arena功能3：可以在DT中配置每一波敌人的基础属性补正值</v>
      </c>
      <c r="B134"/>
      <c r="C134" t="inlineStr">
        <is>
          <t>默认分组</t>
        </is>
      </c>
      <c r="D134" t="inlineStr">
        <is>
          <t>1</t>
        </is>
      </c>
      <c r="E134" t="inlineStr">
        <is>
          <t>或签任务</t>
        </is>
      </c>
      <c r="F134"/>
      <c r="G134" t="inlineStr">
        <is>
          <t>0</t>
        </is>
      </c>
      <c r="H134"/>
      <c r="I134" t="inlineStr">
        <is>
          <t>Decay</t>
        </is>
      </c>
      <c r="J134" t="inlineStr">
        <is>
          <t>龚政涛,Decay</t>
        </is>
      </c>
      <c r="K134" t="inlineStr">
        <is>
          <t>龚政涛</t>
        </is>
      </c>
      <c r="L134" s="3">
        <v>45631.74506944444</v>
      </c>
      <c r="M134" s="3">
        <v>45651.333333333336</v>
      </c>
      <c r="N134" s="3">
        <v>45709.45725694444</v>
      </c>
      <c r="O134" s="3">
        <v>45651.333333333336</v>
      </c>
      <c r="P134" s="3">
        <v>45709.45719907407</v>
      </c>
      <c r="Q134" s="2" t="str">
        <f>=HYPERLINK("https://applink.feishu.cn/client/todo/task_list?guid=4d92b9af-66d1-4cd7-95d1-4b753a64ca6b", "跃入迷城")</f>
        <v>跃入迷城</v>
      </c>
      <c r="R134" t="inlineStr">
        <is>
          <t>4d92b9af-66d1-4cd7-95d1-4b753a64ca6b</t>
        </is>
      </c>
      <c r="S134" t="inlineStr">
        <is>
          <t>6aa95f49-cebb-4133-a975-71289b18d00e</t>
        </is>
      </c>
      <c r="T134">
        <v>0</v>
      </c>
      <c r="U134">
        <v>7</v>
      </c>
      <c r="V134" t="inlineStr">
        <is>
          <t>0.0.3</t>
        </is>
      </c>
      <c r="W134" t="inlineStr">
        <is>
          <t>已完成</t>
        </is>
      </c>
      <c r="X134"/>
      <c r="Y134" t="inlineStr">
        <is>
          <t>关卡</t>
        </is>
      </c>
      <c r="Z134" t="inlineStr">
        <is>
          <t>P1 - Bigger the Better</t>
        </is>
      </c>
      <c r="AA134" t="inlineStr">
        <is>
          <t>17e7dc52-aee4-4ae8-bc75-9409e985bc27</t>
        </is>
      </c>
      <c r="AB134" t="inlineStr">
        <is>
          <t>d87c4f2c-d4ca-40d2-b43a-ebf7f05729c8</t>
        </is>
      </c>
      <c r="AC134"/>
      <c r="AD134" t="inlineStr">
        <is>
          <t>NzUzMjAzNDQ5ODk2NDY2ODQ0NDo2YWE5NWY0OS1jZWJiLTQxMzMtYTk3NS03MTI4OWIxOGQwMGU6ZDllMWViMmRlYzMzNzFkODVjNTBkYWVkOTI0YTk1ZTA6MQ==</t>
        </is>
      </c>
      <c r="AE134"/>
    </row>
    <row r="135" ht="25.5" customHeight="1">
      <c r="A135" s="2" t="str">
        <f>=HYPERLINK("https://applink.feishu.cn/client/todo/detail?guid=a96b7467-7e54-4e4f-9aa0-1f96d5e1fc7d&amp;suite_entity_num=t100327", "在LevelManager增加一个功能，指定某个SubMap只加载到某个具体Level")</f>
        <v>在LevelManager增加一个功能，指定某个SubMap只加载到某个具体Level</v>
      </c>
      <c r="B135"/>
      <c r="C135" t="inlineStr">
        <is>
          <t>默认分组</t>
        </is>
      </c>
      <c r="D135" t="inlineStr">
        <is>
          <t>1</t>
        </is>
      </c>
      <c r="E135" t="inlineStr">
        <is>
          <t>或签任务</t>
        </is>
      </c>
      <c r="F135"/>
      <c r="G135" t="inlineStr">
        <is>
          <t>0</t>
        </is>
      </c>
      <c r="H135"/>
      <c r="I135" t="inlineStr">
        <is>
          <t>Decay</t>
        </is>
      </c>
      <c r="J135" t="inlineStr">
        <is>
          <t>龚政涛,Decay</t>
        </is>
      </c>
      <c r="K135" t="inlineStr">
        <is>
          <t>龚政涛</t>
        </is>
      </c>
      <c r="L135" s="3">
        <v>45631.74512731482</v>
      </c>
      <c r="M135" s="3">
        <v>45684.333333333336</v>
      </c>
      <c r="N135" s="3">
        <v>45719.51645833333</v>
      </c>
      <c r="O135" s="3">
        <v>45684.333333333336</v>
      </c>
      <c r="P135" s="3">
        <v>45719.51646990741</v>
      </c>
      <c r="Q135" s="2" t="str">
        <f>=HYPERLINK("https://applink.feishu.cn/client/todo/task_list?guid=4d92b9af-66d1-4cd7-95d1-4b753a64ca6b", "跃入迷城")</f>
        <v>跃入迷城</v>
      </c>
      <c r="R135" t="inlineStr">
        <is>
          <t>4d92b9af-66d1-4cd7-95d1-4b753a64ca6b</t>
        </is>
      </c>
      <c r="S135" t="inlineStr">
        <is>
          <t>a96b7467-7e54-4e4f-9aa0-1f96d5e1fc7d</t>
        </is>
      </c>
      <c r="T135">
        <v>0</v>
      </c>
      <c r="U135">
        <v>0</v>
      </c>
      <c r="V135" t="inlineStr">
        <is>
          <t>0.0.3</t>
        </is>
      </c>
      <c r="W135" t="inlineStr">
        <is>
          <t>已完成</t>
        </is>
      </c>
      <c r="X135"/>
      <c r="Y135" t="inlineStr">
        <is>
          <t>关卡</t>
        </is>
      </c>
      <c r="Z135" t="inlineStr">
        <is>
          <t>P2 - Nice to Have</t>
        </is>
      </c>
      <c r="AA135" t="inlineStr">
        <is>
          <t>f6f4340b-1ca3-406b-94ad-45fbad88dbcd</t>
        </is>
      </c>
      <c r="AB135"/>
      <c r="AC135"/>
      <c r="AD135" t="inlineStr">
        <is>
          <t>NzUzMjAzNDQ5ODk2NDY2ODQ0NDphOTZiNzQ2Ny03ZTU0LTRlNGYtOWFhMC0xZjk2ZDVlMWZjN2Q6YjdhMTBhNjdkMmViMmZjY2Q4NTgxN2RiZWE4MTMzODc6MQ==</t>
        </is>
      </c>
      <c r="AE135"/>
    </row>
    <row r="136" ht="25.5" customHeight="1">
      <c r="A136" s="2" t="str">
        <f>=HYPERLINK("https://applink.feishu.cn/client/todo/detail?guid=c223a11a-25c1-486f-b7f5-dbaf4e8ca1ae&amp;suite_entity_num=t100326", "Arena功能5：每一关开始时，随机解锁{x}个奖励机器")</f>
        <v>Arena功能5：每一关开始时，随机解锁{x}个奖励机器</v>
      </c>
      <c r="B136"/>
      <c r="C136" t="inlineStr">
        <is>
          <t>默认分组</t>
        </is>
      </c>
      <c r="D136" t="inlineStr">
        <is>
          <t>1</t>
        </is>
      </c>
      <c r="E136" t="inlineStr">
        <is>
          <t>或签任务</t>
        </is>
      </c>
      <c r="F136"/>
      <c r="G136" t="inlineStr">
        <is>
          <t>0</t>
        </is>
      </c>
      <c r="H136"/>
      <c r="I136" t="inlineStr">
        <is>
          <t>Decay</t>
        </is>
      </c>
      <c r="J136" t="inlineStr">
        <is>
          <t>龚政涛,Decay</t>
        </is>
      </c>
      <c r="K136" t="inlineStr">
        <is>
          <t>龚政涛</t>
        </is>
      </c>
      <c r="L136" s="3">
        <v>45631.745104166665</v>
      </c>
      <c r="M136" s="3">
        <v>45653.333333333336</v>
      </c>
      <c r="N136" s="3">
        <v>45673.03265046296</v>
      </c>
      <c r="O136" s="3">
        <v>45653.333333333336</v>
      </c>
      <c r="P136" s="3">
        <v>45673.03265046296</v>
      </c>
      <c r="Q136" s="2" t="str">
        <f>=HYPERLINK("https://applink.feishu.cn/client/todo/task_list?guid=4d92b9af-66d1-4cd7-95d1-4b753a64ca6b", "跃入迷城")</f>
        <v>跃入迷城</v>
      </c>
      <c r="R136" t="inlineStr">
        <is>
          <t>4d92b9af-66d1-4cd7-95d1-4b753a64ca6b</t>
        </is>
      </c>
      <c r="S136" t="inlineStr">
        <is>
          <t>c223a11a-25c1-486f-b7f5-dbaf4e8ca1ae</t>
        </is>
      </c>
      <c r="T136">
        <v>0</v>
      </c>
      <c r="U136">
        <v>1</v>
      </c>
      <c r="V136" t="inlineStr">
        <is>
          <t>0.0.3</t>
        </is>
      </c>
      <c r="W136" t="inlineStr">
        <is>
          <t>已完成</t>
        </is>
      </c>
      <c r="X136"/>
      <c r="Y136" t="inlineStr">
        <is>
          <t>关卡</t>
        </is>
      </c>
      <c r="Z136" t="inlineStr">
        <is>
          <t>P1 - Bigger the Better</t>
        </is>
      </c>
      <c r="AA136" t="inlineStr">
        <is>
          <t>d87c4f2c-d4ca-40d2-b43a-ebf7f05729c8</t>
        </is>
      </c>
      <c r="AB136"/>
      <c r="AC136"/>
      <c r="AD136" t="inlineStr">
        <is>
          <t>NzUzMjAzNDQ5ODk2NDY2ODQ0NDpjMjIzYTExYS0yNWMxLTQ4NmYtYjdmNS1kYmFmNGU4Y2ExYWU6MjcwNzdhOTNmYmMyNjUxYjAzMDA4NmU3MTFiNmVhMTI6MQ==</t>
        </is>
      </c>
      <c r="AE136"/>
    </row>
    <row r="137" ht="25.5" customHeight="1">
      <c r="A137" s="2" t="str">
        <f>=HYPERLINK("https://applink.feishu.cn/client/todo/detail?guid=d87c4f2c-d4ca-40d2-b43a-ebf7f05729c8&amp;suite_entity_num=t100325", "Arena功能4：在每一关结束后锁定（能看出来就行）")</f>
        <v>Arena功能4：在每一关结束后锁定（能看出来就行）</v>
      </c>
      <c r="B137"/>
      <c r="C137" t="inlineStr">
        <is>
          <t>默认分组</t>
        </is>
      </c>
      <c r="D137" t="inlineStr">
        <is>
          <t>1</t>
        </is>
      </c>
      <c r="E137" t="inlineStr">
        <is>
          <t>或签任务</t>
        </is>
      </c>
      <c r="F137"/>
      <c r="G137" t="inlineStr">
        <is>
          <t>0</t>
        </is>
      </c>
      <c r="H137"/>
      <c r="I137" t="inlineStr">
        <is>
          <t>Decay</t>
        </is>
      </c>
      <c r="J137" t="inlineStr">
        <is>
          <t>龚政涛,Decay</t>
        </is>
      </c>
      <c r="K137" t="inlineStr">
        <is>
          <t>龚政涛</t>
        </is>
      </c>
      <c r="L137" s="3">
        <v>45631.745092592595</v>
      </c>
      <c r="M137" s="3">
        <v>45652.333333333336</v>
      </c>
      <c r="N137" s="3">
        <v>45673.032685185186</v>
      </c>
      <c r="O137" s="3">
        <v>45652.333333333336</v>
      </c>
      <c r="P137" s="3">
        <v>45673.032685185186</v>
      </c>
      <c r="Q137" s="2" t="str">
        <f>=HYPERLINK("https://applink.feishu.cn/client/todo/task_list?guid=4d92b9af-66d1-4cd7-95d1-4b753a64ca6b", "跃入迷城")</f>
        <v>跃入迷城</v>
      </c>
      <c r="R137" t="inlineStr">
        <is>
          <t>4d92b9af-66d1-4cd7-95d1-4b753a64ca6b</t>
        </is>
      </c>
      <c r="S137" t="inlineStr">
        <is>
          <t>d87c4f2c-d4ca-40d2-b43a-ebf7f05729c8</t>
        </is>
      </c>
      <c r="T137">
        <v>0</v>
      </c>
      <c r="U137">
        <v>0</v>
      </c>
      <c r="V137" t="inlineStr">
        <is>
          <t>0.0.3</t>
        </is>
      </c>
      <c r="W137" t="inlineStr">
        <is>
          <t>已完成</t>
        </is>
      </c>
      <c r="X137"/>
      <c r="Y137" t="inlineStr">
        <is>
          <t>关卡</t>
        </is>
      </c>
      <c r="Z137" t="inlineStr">
        <is>
          <t>P0 - Must (not) Have</t>
        </is>
      </c>
      <c r="AA137" t="inlineStr">
        <is>
          <t>6aa95f49-cebb-4133-a975-71289b18d00e</t>
        </is>
      </c>
      <c r="AB137" t="inlineStr">
        <is>
          <t>c223a11a-25c1-486f-b7f5-dbaf4e8ca1ae</t>
        </is>
      </c>
      <c r="AC137"/>
      <c r="AD137" t="inlineStr">
        <is>
          <t>NzUzMjAzNDQ5ODk2NDY2ODQ0NDpkODdjNGYyYy1kNGNhLTQwZDItYjQzYS1lYmY3ZjA1NzI5Yzg6MmJkMzU1NDJiZDZhYWE3MGNlZDI4ZWUwOGE3NzVkZGY6MQ==</t>
        </is>
      </c>
      <c r="AE137"/>
    </row>
    <row r="138" ht="25.5" customHeight="1">
      <c r="A138" s="2" t="str">
        <f>=HYPERLINK("https://applink.feishu.cn/client/todo/detail?guid=6c74bb46-691b-4ff6-9df6-d894d753041d&amp;suite_entity_num=t100322", "Arena功能1：可以预先在场景中配置多波次敌人")</f>
        <v>Arena功能1：可以预先在场景中配置多波次敌人</v>
      </c>
      <c r="B138"/>
      <c r="C138" t="inlineStr">
        <is>
          <t>默认分组</t>
        </is>
      </c>
      <c r="D138" t="inlineStr">
        <is>
          <t>1</t>
        </is>
      </c>
      <c r="E138" t="inlineStr">
        <is>
          <t>或签任务</t>
        </is>
      </c>
      <c r="F138"/>
      <c r="G138" t="inlineStr">
        <is>
          <t>0</t>
        </is>
      </c>
      <c r="H138"/>
      <c r="I138" t="inlineStr">
        <is>
          <t>Decay</t>
        </is>
      </c>
      <c r="J138" t="inlineStr">
        <is>
          <t>龚政涛,Decay</t>
        </is>
      </c>
      <c r="K138" t="inlineStr">
        <is>
          <t>龚政涛</t>
        </is>
      </c>
      <c r="L138" s="3">
        <v>45631.745046296295</v>
      </c>
      <c r="M138" s="3">
        <v>45649.333333333336</v>
      </c>
      <c r="N138" s="3">
        <v>45651.624340277776</v>
      </c>
      <c r="O138" s="3">
        <v>45649.333333333336</v>
      </c>
      <c r="P138" s="3">
        <v>45651.62435185185</v>
      </c>
      <c r="Q138" s="2" t="str">
        <f>=HYPERLINK("https://applink.feishu.cn/client/todo/task_list?guid=4d92b9af-66d1-4cd7-95d1-4b753a64ca6b", "跃入迷城")</f>
        <v>跃入迷城</v>
      </c>
      <c r="R138" t="inlineStr">
        <is>
          <t>4d92b9af-66d1-4cd7-95d1-4b753a64ca6b</t>
        </is>
      </c>
      <c r="S138" t="inlineStr">
        <is>
          <t>6c74bb46-691b-4ff6-9df6-d894d753041d</t>
        </is>
      </c>
      <c r="T138">
        <v>0</v>
      </c>
      <c r="U138">
        <v>0</v>
      </c>
      <c r="V138" t="inlineStr">
        <is>
          <t>0.0.3</t>
        </is>
      </c>
      <c r="W138" t="inlineStr">
        <is>
          <t>已完成</t>
        </is>
      </c>
      <c r="X138"/>
      <c r="Y138" t="inlineStr">
        <is>
          <t>关卡</t>
        </is>
      </c>
      <c r="Z138" t="inlineStr">
        <is>
          <t>P1 - Bigger the Better</t>
        </is>
      </c>
      <c r="AA138"/>
      <c r="AB138" t="inlineStr">
        <is>
          <t>17e7dc52-aee4-4ae8-bc75-9409e985bc27</t>
        </is>
      </c>
      <c r="AC138"/>
      <c r="AD138" t="inlineStr">
        <is>
          <t>NzUzMjAzNDQ5ODk2NDY2ODQ0NDo2Yzc0YmI0Ni02OTFiLTRmZjYtOWRmNi1kODk0ZDc1MzA0MWQ6NjljMWM3OTlmYmU4MGIwOGY1NmRiOGI3YTc1OTk1MTQ6MQ==</t>
        </is>
      </c>
      <c r="AE138"/>
    </row>
    <row r="139" ht="25.5" customHeight="1">
      <c r="A139" s="2" t="str">
        <f>=HYPERLINK("https://applink.feishu.cn/client/todo/detail?guid=6d7c899f-7808-4d43-90e3-2d1c028478fe&amp;suite_entity_num=t100296", "添加镜头抖动系统{CameraShakeEvent}")</f>
        <v>添加镜头抖动系统{CameraShakeEvent}</v>
      </c>
      <c r="B139"/>
      <c r="C139" t="inlineStr">
        <is>
          <t>默认分组</t>
        </is>
      </c>
      <c r="D139" t="inlineStr">
        <is>
          <t>1</t>
        </is>
      </c>
      <c r="E139" t="inlineStr">
        <is>
          <t>或签任务</t>
        </is>
      </c>
      <c r="F139"/>
      <c r="G139" t="inlineStr">
        <is>
          <t>0</t>
        </is>
      </c>
      <c r="H139"/>
      <c r="I139" t="inlineStr">
        <is>
          <t>Decay</t>
        </is>
      </c>
      <c r="J139" t="inlineStr">
        <is>
          <t>龚政涛,Decay</t>
        </is>
      </c>
      <c r="K139" t="inlineStr">
        <is>
          <t>龚政涛</t>
        </is>
      </c>
      <c r="L139" s="3">
        <v>45615.512604166666</v>
      </c>
      <c r="M139" s="3">
        <v>45618.333333333336</v>
      </c>
      <c r="N139" s="3">
        <v>45758.631585648145</v>
      </c>
      <c r="O139" s="3">
        <v>45623.333333333336</v>
      </c>
      <c r="P139" s="3">
        <v>45758.6316087963</v>
      </c>
      <c r="Q139" s="2" t="str">
        <f>=HYPERLINK("https://applink.feishu.cn/client/todo/task_list?guid=4d92b9af-66d1-4cd7-95d1-4b753a64ca6b", "跃入迷城")</f>
        <v>跃入迷城</v>
      </c>
      <c r="R139" t="inlineStr">
        <is>
          <t>4d92b9af-66d1-4cd7-95d1-4b753a64ca6b</t>
        </is>
      </c>
      <c r="S139" t="inlineStr">
        <is>
          <t>6d7c899f-7808-4d43-90e3-2d1c028478fe</t>
        </is>
      </c>
      <c r="T139">
        <v>0</v>
      </c>
      <c r="U139">
        <v>7</v>
      </c>
      <c r="V139" t="inlineStr">
        <is>
          <t>0.0.3</t>
        </is>
      </c>
      <c r="W139" t="inlineStr">
        <is>
          <t>未开始</t>
        </is>
      </c>
      <c r="X139"/>
      <c r="Y139" t="inlineStr">
        <is>
          <t>镜头</t>
        </is>
      </c>
      <c r="Z139" t="inlineStr">
        <is>
          <t>P2 - Nice to Have</t>
        </is>
      </c>
      <c r="AA139"/>
      <c r="AB139"/>
      <c r="AC139"/>
      <c r="AD139" t="inlineStr">
        <is>
          <t>NzUzMjAzNDQ5ODk2NDY2ODQ0NDo2ZDdjODk5Zi03ODA4LTRkNDMtOTBlMy0yZDFjMDI4NDc4ZmU6NDE3OGRmOTg5MDQ4ODc2M2I4OGNlMTM2ZDRiYjNkYzk6MQ==</t>
        </is>
      </c>
      <c r="AE139"/>
    </row>
    <row r="140" ht="25.5" customHeight="1">
      <c r="A140" s="2" t="str">
        <f>=HYPERLINK("https://applink.feishu.cn/client/todo/detail?guid=a35df0af-b298-47a0-9122-20878e61ba19&amp;suite_entity_num=t100278", "所有的OnPerceptionUpdate（[140、[147]以及我没有截图到的[151]）都无法正确Abort后续TASK，我理解AIC现在会慢慢转过去看玩家，但Perception Abort应该会先生效然后触发[131]的Search？")</f>
        <v>所有的OnPerceptionUpdate（[140、[147]以及我没有截图到的[151]）都无法正确Abort后续TASK，我理解AIC现在会慢慢转过去看玩家，但Perception Abort应该会先生效然后触发[131]的Search？</v>
      </c>
      <c r="B140"/>
      <c r="C140" t="inlineStr">
        <is>
          <t>默认分组</t>
        </is>
      </c>
      <c r="D140" t="inlineStr">
        <is>
          <t>1</t>
        </is>
      </c>
      <c r="E140" t="inlineStr">
        <is>
          <t>或签任务</t>
        </is>
      </c>
      <c r="F140"/>
      <c r="G140" t="inlineStr">
        <is>
          <t>0</t>
        </is>
      </c>
      <c r="H140"/>
      <c r="I140" t="inlineStr">
        <is>
          <t>李少秋</t>
        </is>
      </c>
      <c r="J140" t="inlineStr">
        <is>
          <t>龚政涛,李少秋</t>
        </is>
      </c>
      <c r="K140" t="inlineStr">
        <is>
          <t>龚政涛</t>
        </is>
      </c>
      <c r="L140" s="3">
        <v>45614.50701388889</v>
      </c>
      <c r="M140" s="3"/>
      <c r="N140" s="3">
        <v>45614.657060185185</v>
      </c>
      <c r="O140" s="3"/>
      <c r="P140" s="3">
        <v>45614.65759259259</v>
      </c>
      <c r="Q140" s="2" t="str">
        <f>=HYPERLINK("https://applink.feishu.cn/client/todo/task_list?guid=4d92b9af-66d1-4cd7-95d1-4b753a64ca6b", "跃入迷城")</f>
        <v>跃入迷城</v>
      </c>
      <c r="R140" t="inlineStr">
        <is>
          <t>4d92b9af-66d1-4cd7-95d1-4b753a64ca6b</t>
        </is>
      </c>
      <c r="S140" t="inlineStr">
        <is>
          <t>a35df0af-b298-47a0-9122-20878e61ba19</t>
        </is>
      </c>
      <c r="T140">
        <v>0</v>
      </c>
      <c r="U140">
        <v>1</v>
      </c>
      <c r="V140" t="inlineStr">
        <is>
          <t>0.0.3</t>
        </is>
      </c>
      <c r="W140" t="inlineStr">
        <is>
          <t>已废弃</t>
        </is>
      </c>
      <c r="X140"/>
      <c r="Y140" t="inlineStr">
        <is>
          <t>AI</t>
        </is>
      </c>
      <c r="Z140" t="inlineStr">
        <is>
          <t>P0 - Must (not) Have</t>
        </is>
      </c>
      <c r="AA140"/>
      <c r="AB140"/>
      <c r="AC140"/>
      <c r="AD140" t="inlineStr">
        <is>
          <t>NzUzMjAzNDQ5ODk2NDY2ODQ0NDphMzVkZjBhZi1iMjk4LTQ3YTAtOTEyMi0yMDg3OGU2MWJhMTk6MmU2ZmVmOWE2N2IyN2IwNDRhN2E3ZTMxMGQ0NGI0Mjg6MQ==</t>
        </is>
      </c>
      <c r="AE140"/>
    </row>
    <row r="141" ht="25.5" customHeight="1">
      <c r="A141" s="2" t="str">
        <f>=HYPERLINK("https://applink.feishu.cn/client/todo/detail?guid=dfacf3c8-a4c4-42cf-9639-d3d5637f1f64&amp;suite_entity_num=t100305", "需要一个自动门，或者对现有的Slider Door类增加功能，用于处理电梯门Start")</f>
        <v>需要一个自动门，或者对现有的Slider Door类增加功能，用于处理电梯门Start</v>
      </c>
      <c r="B141"/>
      <c r="C141" t="inlineStr">
        <is>
          <t>默认分组</t>
        </is>
      </c>
      <c r="D141" t="inlineStr">
        <is>
          <t>1</t>
        </is>
      </c>
      <c r="E141" t="inlineStr">
        <is>
          <t>或签任务</t>
        </is>
      </c>
      <c r="F141"/>
      <c r="G141" t="inlineStr">
        <is>
          <t>0</t>
        </is>
      </c>
      <c r="H141"/>
      <c r="I141"/>
      <c r="J141" t="inlineStr">
        <is>
          <t>龚政涛</t>
        </is>
      </c>
      <c r="K141" t="inlineStr">
        <is>
          <t>龚政涛</t>
        </is>
      </c>
      <c r="L141" s="3">
        <v>45623.63212962963</v>
      </c>
      <c r="M141" s="3">
        <v>45654.333333333336</v>
      </c>
      <c r="N141" s="3">
        <v>45673.03238425926</v>
      </c>
      <c r="O141" s="3">
        <v>45654.333333333336</v>
      </c>
      <c r="P141" s="3">
        <v>45673.03238425926</v>
      </c>
      <c r="Q141" s="2" t="str">
        <f>=HYPERLINK("https://applink.feishu.cn/client/todo/task_list?guid=4d92b9af-66d1-4cd7-95d1-4b753a64ca6b", "跃入迷城")</f>
        <v>跃入迷城</v>
      </c>
      <c r="R141" t="inlineStr">
        <is>
          <t>4d92b9af-66d1-4cd7-95d1-4b753a64ca6b</t>
        </is>
      </c>
      <c r="S141" t="inlineStr">
        <is>
          <t>dfacf3c8-a4c4-42cf-9639-d3d5637f1f64</t>
        </is>
      </c>
      <c r="T141">
        <v>0</v>
      </c>
      <c r="U141">
        <v>1</v>
      </c>
      <c r="V141" t="inlineStr">
        <is>
          <t>0.0.3</t>
        </is>
      </c>
      <c r="W141" t="inlineStr">
        <is>
          <t>已废弃</t>
        </is>
      </c>
      <c r="X141"/>
      <c r="Y141" t="inlineStr">
        <is>
          <t>关卡</t>
        </is>
      </c>
      <c r="Z141" t="inlineStr">
        <is>
          <t>P2 - Nice to Have</t>
        </is>
      </c>
      <c r="AA141"/>
      <c r="AB141" t="inlineStr">
        <is>
          <t>f6f4340b-1ca3-406b-94ad-45fbad88dbcd</t>
        </is>
      </c>
      <c r="AC141"/>
      <c r="AD141" t="inlineStr">
        <is>
          <t>NzUzMjAzNDQ5ODk2NDY2ODQ0NDpkZmFjZjNjOC1hNGM0LTQyY2YtOTYzOS1kM2Q1NjM3ZjFmNjQ6NmMxMDczNmNmOWNiOTM2MDVlYWQzNTM5Zjg2ZTc5ODg6MQ==</t>
        </is>
      </c>
      <c r="AE141"/>
    </row>
    <row r="142" ht="25.5" customHeight="1">
      <c r="A142" s="2" t="str">
        <f>=HYPERLINK("https://applink.feishu.cn/client/todo/detail?guid=f6f4340b-1ca3-406b-94ad-45fbad88dbcd&amp;suite_entity_num=t100304", "增加一个自动开关功能，并增加TAG，通过TAG判断自动开关对于哪类对象生效")</f>
        <v>增加一个自动开关功能，并增加TAG，通过TAG判断自动开关对于哪类对象生效</v>
      </c>
      <c r="B142"/>
      <c r="C142" t="inlineStr">
        <is>
          <t>默认分组</t>
        </is>
      </c>
      <c r="D142" t="inlineStr">
        <is>
          <t>1</t>
        </is>
      </c>
      <c r="E142" t="inlineStr">
        <is>
          <t>或签任务</t>
        </is>
      </c>
      <c r="F142"/>
      <c r="G142" t="inlineStr">
        <is>
          <t>0</t>
        </is>
      </c>
      <c r="H142"/>
      <c r="I142"/>
      <c r="J142" t="inlineStr">
        <is>
          <t>龚政涛</t>
        </is>
      </c>
      <c r="K142" t="inlineStr">
        <is>
          <t>龚政涛</t>
        </is>
      </c>
      <c r="L142" s="3">
        <v>45623.59295138889</v>
      </c>
      <c r="M142" s="3">
        <v>45655.333333333336</v>
      </c>
      <c r="N142" s="3">
        <v>45651.62416666667</v>
      </c>
      <c r="O142" s="3">
        <v>45655.333333333336</v>
      </c>
      <c r="P142" s="3">
        <v>45651.62416666667</v>
      </c>
      <c r="Q142" s="2" t="str">
        <f>=HYPERLINK("https://applink.feishu.cn/client/todo/task_list?guid=4d92b9af-66d1-4cd7-95d1-4b753a64ca6b", "跃入迷城")</f>
        <v>跃入迷城</v>
      </c>
      <c r="R142" t="inlineStr">
        <is>
          <t>4d92b9af-66d1-4cd7-95d1-4b753a64ca6b</t>
        </is>
      </c>
      <c r="S142" t="inlineStr">
        <is>
          <t>f6f4340b-1ca3-406b-94ad-45fbad88dbcd</t>
        </is>
      </c>
      <c r="T142">
        <v>0</v>
      </c>
      <c r="U142">
        <v>0</v>
      </c>
      <c r="V142" t="inlineStr">
        <is>
          <t>0.0.3</t>
        </is>
      </c>
      <c r="W142" t="inlineStr">
        <is>
          <t>已废弃</t>
        </is>
      </c>
      <c r="X142"/>
      <c r="Y142" t="inlineStr">
        <is>
          <t>关卡</t>
        </is>
      </c>
      <c r="Z142" t="inlineStr">
        <is>
          <t>P1 - Bigger the Better</t>
        </is>
      </c>
      <c r="AA142" t="inlineStr">
        <is>
          <t>dfacf3c8-a4c4-42cf-9639-d3d5637f1f64</t>
        </is>
      </c>
      <c r="AB142" t="inlineStr">
        <is>
          <t>a96b7467-7e54-4e4f-9aa0-1f96d5e1fc7d</t>
        </is>
      </c>
      <c r="AC142"/>
      <c r="AD142" t="inlineStr">
        <is>
          <t>NzUzMjAzNDQ5ODk2NDY2ODQ0NDpmNmY0MzQwYi0xY2EzLTQwNmItOTRhZC00NWZiYWQ4OGRiY2Q6NThhNTY0Y2RjNTIzN2ViOGVlOGY2NjE2OGFjYWVlNmY6MQ==</t>
        </is>
      </c>
      <c r="AE142"/>
    </row>
    <row r="143" ht="25.5" customHeight="1">
      <c r="A143" s="2" t="str">
        <f>=HYPERLINK("https://applink.feishu.cn/client/todo/detail?guid=14801e43-46f3-48d5-bbb0-2681b1071a80&amp;suite_entity_num=t100300", "需要一个TASK用于展示攻击提示")</f>
        <v>需要一个TASK用于展示攻击提示</v>
      </c>
      <c r="B143"/>
      <c r="C143" t="inlineStr">
        <is>
          <t>默认分组</t>
        </is>
      </c>
      <c r="D143" t="inlineStr">
        <is>
          <t>1</t>
        </is>
      </c>
      <c r="E143" t="inlineStr">
        <is>
          <t>或签任务</t>
        </is>
      </c>
      <c r="F143"/>
      <c r="G143" t="inlineStr">
        <is>
          <t>0</t>
        </is>
      </c>
      <c r="H143"/>
      <c r="I143" t="inlineStr">
        <is>
          <t>李少秋</t>
        </is>
      </c>
      <c r="J143" t="inlineStr">
        <is>
          <t>龚政涛,李少秋</t>
        </is>
      </c>
      <c r="K143" t="inlineStr">
        <is>
          <t>龚政涛</t>
        </is>
      </c>
      <c r="L143" s="3">
        <v>45618.575324074074</v>
      </c>
      <c r="M143" s="3">
        <v>45628.333333333336</v>
      </c>
      <c r="N143" s="3">
        <v>45636.7115162037</v>
      </c>
      <c r="O143" s="3">
        <v>45636.333333333336</v>
      </c>
      <c r="P143" s="3">
        <v>45636.71152777778</v>
      </c>
      <c r="Q143" s="2" t="str">
        <f>=HYPERLINK("https://applink.feishu.cn/client/todo/task_list?guid=4d92b9af-66d1-4cd7-95d1-4b753a64ca6b", "跃入迷城")</f>
        <v>跃入迷城</v>
      </c>
      <c r="R143" t="inlineStr">
        <is>
          <t>4d92b9af-66d1-4cd7-95d1-4b753a64ca6b</t>
        </is>
      </c>
      <c r="S143" t="inlineStr">
        <is>
          <t>14801e43-46f3-48d5-bbb0-2681b1071a80</t>
        </is>
      </c>
      <c r="T143">
        <v>0</v>
      </c>
      <c r="U143">
        <v>0</v>
      </c>
      <c r="V143" t="inlineStr">
        <is>
          <t>0.0.3</t>
        </is>
      </c>
      <c r="W143" t="inlineStr">
        <is>
          <t>已完成</t>
        </is>
      </c>
      <c r="X143"/>
      <c r="Y143" t="inlineStr">
        <is>
          <t>AI</t>
        </is>
      </c>
      <c r="Z143" t="inlineStr">
        <is>
          <t>P2 - Nice to Have</t>
        </is>
      </c>
      <c r="AA143"/>
      <c r="AB143"/>
      <c r="AC143"/>
      <c r="AD143" t="inlineStr">
        <is>
          <t>NzUzMjAzNDQ5ODk2NDY2ODQ0NDoxNDgwMWU0My00NmYzLTQ4ZDUtYmJiMC0yNjgxYjEwNzFhODA6NzY1OWM0ZGJlNzgyYzkzNWFhM2JjOTc0NGM4YjEwY2I6MQ==</t>
        </is>
      </c>
      <c r="AE143"/>
    </row>
    <row r="144" ht="25.5" customHeight="1">
      <c r="A144" s="2" t="str">
        <f>=HYPERLINK("https://applink.feishu.cn/client/todo/detail?guid=3b2ce12e-7176-4040-8b47-7e0eb366a873&amp;suite_entity_num=t100282", "TacticalMoveDistance，用于在有视野、非攻击状态下的战术移动，设置移动半径")</f>
        <v>TacticalMoveDistance，用于在有视野、非攻击状态下的战术移动，设置移动半径</v>
      </c>
      <c r="B144"/>
      <c r="C144" t="inlineStr">
        <is>
          <t>默认分组</t>
        </is>
      </c>
      <c r="D144" t="inlineStr">
        <is>
          <t>1</t>
        </is>
      </c>
      <c r="E144" t="inlineStr">
        <is>
          <t>或签任务</t>
        </is>
      </c>
      <c r="F144"/>
      <c r="G144" t="inlineStr">
        <is>
          <t>0</t>
        </is>
      </c>
      <c r="H144"/>
      <c r="I144" t="inlineStr">
        <is>
          <t>李少秋</t>
        </is>
      </c>
      <c r="J144" t="inlineStr">
        <is>
          <t>李少秋,龚政涛</t>
        </is>
      </c>
      <c r="K144" t="inlineStr">
        <is>
          <t>龚政涛</t>
        </is>
      </c>
      <c r="L144" s="3">
        <v>45614.50917824074</v>
      </c>
      <c r="M144" s="3">
        <v>45614.333333333336</v>
      </c>
      <c r="N144" s="3">
        <v>45622.685636574075</v>
      </c>
      <c r="O144" s="3">
        <v>45618.333333333336</v>
      </c>
      <c r="P144" s="3">
        <v>45622.685636574075</v>
      </c>
      <c r="Q144" s="2" t="str">
        <f>=HYPERLINK("https://applink.feishu.cn/client/todo/task_list?guid=4d92b9af-66d1-4cd7-95d1-4b753a64ca6b", "跃入迷城")</f>
        <v>跃入迷城</v>
      </c>
      <c r="R144" t="inlineStr">
        <is>
          <t>4d92b9af-66d1-4cd7-95d1-4b753a64ca6b</t>
        </is>
      </c>
      <c r="S144" t="inlineStr">
        <is>
          <t>3b2ce12e-7176-4040-8b47-7e0eb366a873</t>
        </is>
      </c>
      <c r="T144">
        <v>0</v>
      </c>
      <c r="U144">
        <v>0</v>
      </c>
      <c r="V144" t="inlineStr">
        <is>
          <t>0.0.3</t>
        </is>
      </c>
      <c r="W144" t="inlineStr">
        <is>
          <t>已完成</t>
        </is>
      </c>
      <c r="X144"/>
      <c r="Y144" t="inlineStr">
        <is>
          <t>AI</t>
        </is>
      </c>
      <c r="Z144" t="inlineStr">
        <is>
          <t>P1 - Bigger the Better</t>
        </is>
      </c>
      <c r="AA144"/>
      <c r="AB144"/>
      <c r="AC144"/>
      <c r="AD144" t="inlineStr">
        <is>
          <t>NzUzMjAzNDQ5ODk2NDY2ODQ0NDozYjJjZTEyZS03MTc2LTQwNDAtOGI0Ny03ZTBlYjM2NmE4NzM6ZmI0MTU4NWI3MTFiYjBkODEwOTFlZDVlOTdjMmQ1MjE6MQ==</t>
        </is>
      </c>
      <c r="AE144"/>
    </row>
    <row r="145" ht="25.5" customHeight="1">
      <c r="A145" s="2" t="str">
        <f>=HYPERLINK("https://applink.feishu.cn/client/todo/detail?guid=3cf10c40-e2e3-49ba-a28e-ab007c8a02f3&amp;suite_entity_num=t100307", "需要玩家角色受击打提示")</f>
        <v>需要玩家角色受击打提示</v>
      </c>
      <c r="B145" t="inlineStr">
        <is>
          <t>玩家角色受击打闪红；敌人闪白；不由TASK实现，在Character的受击事件用VFX实现</t>
        </is>
      </c>
      <c r="C145" t="inlineStr">
        <is>
          <t>默认分组</t>
        </is>
      </c>
      <c r="D145" t="inlineStr">
        <is>
          <t>1</t>
        </is>
      </c>
      <c r="E145" t="inlineStr">
        <is>
          <t>或签任务</t>
        </is>
      </c>
      <c r="F145"/>
      <c r="G145" t="inlineStr">
        <is>
          <t>0</t>
        </is>
      </c>
      <c r="H145"/>
      <c r="I145" t="inlineStr">
        <is>
          <t>Decay</t>
        </is>
      </c>
      <c r="J145" t="inlineStr">
        <is>
          <t>龚政涛,Decay,李少秋</t>
        </is>
      </c>
      <c r="K145" t="inlineStr">
        <is>
          <t>龚政涛</t>
        </is>
      </c>
      <c r="L145" s="3">
        <v>45624.65299768518</v>
      </c>
      <c r="M145" s="3">
        <v>45638.333333333336</v>
      </c>
      <c r="N145" s="3">
        <v>45639.611863425926</v>
      </c>
      <c r="O145" s="3">
        <v>45643.333333333336</v>
      </c>
      <c r="P145" s="3">
        <v>45874.40719907408</v>
      </c>
      <c r="Q145" s="2" t="str">
        <f>=HYPERLINK("https://applink.feishu.cn/client/todo/task_list?guid=4d92b9af-66d1-4cd7-95d1-4b753a64ca6b", "跃入迷城")</f>
        <v>跃入迷城</v>
      </c>
      <c r="R145" t="inlineStr">
        <is>
          <t>4d92b9af-66d1-4cd7-95d1-4b753a64ca6b</t>
        </is>
      </c>
      <c r="S145" t="inlineStr">
        <is>
          <t>3cf10c40-e2e3-49ba-a28e-ab007c8a02f3</t>
        </is>
      </c>
      <c r="T145">
        <v>0</v>
      </c>
      <c r="U145">
        <v>2</v>
      </c>
      <c r="V145" t="inlineStr">
        <is>
          <t>0.0.5</t>
        </is>
      </c>
      <c r="W145" t="inlineStr">
        <is>
          <t>未开始</t>
        </is>
      </c>
      <c r="X145" t="inlineStr">
        <is>
          <t>🛠️技术</t>
        </is>
      </c>
      <c r="Y145" t="inlineStr">
        <is>
          <t>AI</t>
        </is>
      </c>
      <c r="Z145" t="inlineStr">
        <is>
          <t>P2 - Nice to Have</t>
        </is>
      </c>
      <c r="AA145"/>
      <c r="AB145"/>
      <c r="AC145"/>
      <c r="AD145" t="inlineStr">
        <is>
          <t>NzUzMjAzNDQ5ODk2NDY2ODQ0NDozY2YxMGM0MC1lMmUzLTQ5YmEtYTI4ZS1hYjAwN2M4YTAyZjM6YjhmZjg0OWQ5NjA2OGMwZTQxYTBmMGJmZDgwM2I2NWQ6MQ==</t>
        </is>
      </c>
      <c r="AE145"/>
    </row>
    <row r="146" ht="25.5" customHeight="1">
      <c r="A146" s="2" t="str">
        <f>=HYPERLINK("https://applink.feishu.cn/client/todo/detail?guid=17e7dc52-aee4-4ae8-bc75-9409e985bc27&amp;suite_entity_num=t100323", "Arena功能2：一波敌人清空后，刷新下一波敌人，在UI显示剩余敌人")</f>
        <v>Arena功能2：一波敌人清空后，刷新下一波敌人，在UI显示剩余敌人</v>
      </c>
      <c r="B146"/>
      <c r="C146" t="inlineStr">
        <is>
          <t>默认分组</t>
        </is>
      </c>
      <c r="D146" t="inlineStr">
        <is>
          <t>1</t>
        </is>
      </c>
      <c r="E146" t="inlineStr">
        <is>
          <t>或签任务</t>
        </is>
      </c>
      <c r="F146"/>
      <c r="G146" t="inlineStr">
        <is>
          <t>0</t>
        </is>
      </c>
      <c r="H146"/>
      <c r="I146" t="inlineStr">
        <is>
          <t>Decay</t>
        </is>
      </c>
      <c r="J146" t="inlineStr">
        <is>
          <t>龚政涛,Decay</t>
        </is>
      </c>
      <c r="K146" t="inlineStr">
        <is>
          <t>龚政涛</t>
        </is>
      </c>
      <c r="L146" s="3">
        <v>45631.74505787037</v>
      </c>
      <c r="M146" s="3">
        <v>45650.333333333336</v>
      </c>
      <c r="N146" s="3">
        <v>45651.624293981484</v>
      </c>
      <c r="O146" s="3">
        <v>45650.333333333336</v>
      </c>
      <c r="P146" s="3">
        <v>45651.624293981484</v>
      </c>
      <c r="Q146" s="2" t="str">
        <f>=HYPERLINK("https://applink.feishu.cn/client/todo/task_list?guid=4d92b9af-66d1-4cd7-95d1-4b753a64ca6b", "跃入迷城")</f>
        <v>跃入迷城</v>
      </c>
      <c r="R146" t="inlineStr">
        <is>
          <t>4d92b9af-66d1-4cd7-95d1-4b753a64ca6b</t>
        </is>
      </c>
      <c r="S146" t="inlineStr">
        <is>
          <t>17e7dc52-aee4-4ae8-bc75-9409e985bc27</t>
        </is>
      </c>
      <c r="T146">
        <v>0</v>
      </c>
      <c r="U146">
        <v>0</v>
      </c>
      <c r="V146" t="inlineStr">
        <is>
          <t>0.0.3</t>
        </is>
      </c>
      <c r="W146" t="inlineStr">
        <is>
          <t>已完成</t>
        </is>
      </c>
      <c r="X146"/>
      <c r="Y146" t="inlineStr">
        <is>
          <t>关卡</t>
        </is>
      </c>
      <c r="Z146" t="inlineStr">
        <is>
          <t>P0 - Must (not) Have</t>
        </is>
      </c>
      <c r="AA146" t="inlineStr">
        <is>
          <t>6c74bb46-691b-4ff6-9df6-d894d753041d</t>
        </is>
      </c>
      <c r="AB146" t="inlineStr">
        <is>
          <t>6aa95f49-cebb-4133-a975-71289b18d00e</t>
        </is>
      </c>
      <c r="AC146"/>
      <c r="AD146" t="inlineStr">
        <is>
          <t>NzUzMjAzNDQ5ODk2NDY2ODQ0NDoxN2U3ZGM1Mi1hZWU0LTRhZTgtYmM3NS05NDA5ZTk4NWJjMjc6NDc4ZmJkMzI1OTIxY2ExZDc3OGFjNjA5NGY0OWQ0MGU6MQ==</t>
        </is>
      </c>
      <c r="AE146"/>
    </row>
    <row r="147" ht="25.5" customHeight="1">
      <c r="A147" s="2" t="str">
        <f>=HYPERLINK("https://applink.feishu.cn/client/todo/detail?guid=8cb5a1cb-2203-4882-8c1d-3fd5e9d26678&amp;suite_entity_num=t100246", "撰写主线剧情大纲")</f>
        <v>撰写主线剧情大纲</v>
      </c>
      <c r="B147"/>
      <c r="C147" t="inlineStr">
        <is>
          <t>默认分组</t>
        </is>
      </c>
      <c r="D147" t="inlineStr">
        <is>
          <t>1</t>
        </is>
      </c>
      <c r="E147" t="inlineStr">
        <is>
          <t>或签任务</t>
        </is>
      </c>
      <c r="F147"/>
      <c r="G147" t="inlineStr">
        <is>
          <t>0</t>
        </is>
      </c>
      <c r="H147"/>
      <c r="I147" t="inlineStr">
        <is>
          <t>Serein,龚政涛,Jade</t>
        </is>
      </c>
      <c r="J147" t="inlineStr">
        <is>
          <t>Serein,Serein,Jade,龚政涛</t>
        </is>
      </c>
      <c r="K147" t="inlineStr">
        <is>
          <t>龚政涛</t>
        </is>
      </c>
      <c r="L147" s="3">
        <v>45596.588217592594</v>
      </c>
      <c r="M147" s="3">
        <v>45621.333333333336</v>
      </c>
      <c r="N147" s="3">
        <v>45672.994305555556</v>
      </c>
      <c r="O147" s="3">
        <v>45635.333333333336</v>
      </c>
      <c r="P147" s="3">
        <v>45672.99431712963</v>
      </c>
      <c r="Q147" s="2" t="str">
        <f>=HYPERLINK("https://applink.feishu.cn/client/todo/task_list?guid=4d92b9af-66d1-4cd7-95d1-4b753a64ca6b", "跃入迷城")</f>
        <v>跃入迷城</v>
      </c>
      <c r="R147" t="inlineStr">
        <is>
          <t>4d92b9af-66d1-4cd7-95d1-4b753a64ca6b</t>
        </is>
      </c>
      <c r="S147" t="inlineStr">
        <is>
          <t>8cb5a1cb-2203-4882-8c1d-3fd5e9d26678</t>
        </is>
      </c>
      <c r="T147">
        <v>0</v>
      </c>
      <c r="U147">
        <v>0</v>
      </c>
      <c r="V147" t="inlineStr">
        <is>
          <t>0.0.3</t>
        </is>
      </c>
      <c r="W147" t="inlineStr">
        <is>
          <t>已完成</t>
        </is>
      </c>
      <c r="X147"/>
      <c r="Y147" t="inlineStr">
        <is>
          <t>剧本</t>
        </is>
      </c>
      <c r="Z147" t="inlineStr">
        <is>
          <t>P0 - Must (not) Have</t>
        </is>
      </c>
      <c r="AA147"/>
      <c r="AB147"/>
      <c r="AC147"/>
      <c r="AD147" t="inlineStr">
        <is>
          <t>NzUzMjAzNDQ5ODk2NDY2ODQ0NDo4Y2I1YTFjYi0yMjAzLTQ4ODItOGMxZC0zZmQ1ZTlkMjY2Nzg6ZGM0YTIxNmU5MDYyNjQzMTJjZTA1YTVkYjJmMzgxNjU6MQ==</t>
        </is>
      </c>
      <c r="AE147"/>
    </row>
    <row r="148" ht="25.5" customHeight="1">
      <c r="A148" s="2" t="str">
        <f>=HYPERLINK("https://applink.feishu.cn/client/todo/detail?guid=c570c5e2-5d7e-4368-b224-6544039dacb7&amp;suite_entity_num=t100283", "SearchDistance，用于丢失玩家视野后的Search，指目标地点的接受半径（somehow MoveTo的AcceptanceRadius不生效）")</f>
        <v>SearchDistance，用于丢失玩家视野后的Search，指目标地点的接受半径（somehow MoveTo的AcceptanceRadius不生效）</v>
      </c>
      <c r="B148"/>
      <c r="C148" t="inlineStr">
        <is>
          <t>默认分组</t>
        </is>
      </c>
      <c r="D148" t="inlineStr">
        <is>
          <t>1</t>
        </is>
      </c>
      <c r="E148" t="inlineStr">
        <is>
          <t>或签任务</t>
        </is>
      </c>
      <c r="F148"/>
      <c r="G148" t="inlineStr">
        <is>
          <t>0</t>
        </is>
      </c>
      <c r="H148"/>
      <c r="I148" t="inlineStr">
        <is>
          <t>李少秋</t>
        </is>
      </c>
      <c r="J148" t="inlineStr">
        <is>
          <t>龚政涛,李少秋</t>
        </is>
      </c>
      <c r="K148" t="inlineStr">
        <is>
          <t>龚政涛</t>
        </is>
      </c>
      <c r="L148" s="3">
        <v>45614.509201388886</v>
      </c>
      <c r="M148" s="3">
        <v>45614.333333333336</v>
      </c>
      <c r="N148" s="3">
        <v>45622.685578703706</v>
      </c>
      <c r="O148" s="3">
        <v>45618.333333333336</v>
      </c>
      <c r="P148" s="3">
        <v>45622.68560185185</v>
      </c>
      <c r="Q148" s="2" t="str">
        <f>=HYPERLINK("https://applink.feishu.cn/client/todo/task_list?guid=4d92b9af-66d1-4cd7-95d1-4b753a64ca6b", "跃入迷城")</f>
        <v>跃入迷城</v>
      </c>
      <c r="R148" t="inlineStr">
        <is>
          <t>4d92b9af-66d1-4cd7-95d1-4b753a64ca6b</t>
        </is>
      </c>
      <c r="S148" t="inlineStr">
        <is>
          <t>c570c5e2-5d7e-4368-b224-6544039dacb7</t>
        </is>
      </c>
      <c r="T148">
        <v>0</v>
      </c>
      <c r="U148">
        <v>0</v>
      </c>
      <c r="V148" t="inlineStr">
        <is>
          <t>0.0.3</t>
        </is>
      </c>
      <c r="W148" t="inlineStr">
        <is>
          <t>已完成</t>
        </is>
      </c>
      <c r="X148"/>
      <c r="Y148" t="inlineStr">
        <is>
          <t>AI</t>
        </is>
      </c>
      <c r="Z148" t="inlineStr">
        <is>
          <t>P2 - Nice to Have</t>
        </is>
      </c>
      <c r="AA148"/>
      <c r="AB148"/>
      <c r="AC148"/>
      <c r="AD148" t="inlineStr">
        <is>
          <t>NzUzMjAzNDQ5ODk2NDY2ODQ0NDpjNTcwYzVlMi01ZDdlLTQzNjgtYjIyNC02NTQ0MDM5ZGFjYjc6OGY2YWFkMGNkOThkYmZmZWQzNGVlNDU1YTZhODgwYjg6MQ==</t>
        </is>
      </c>
      <c r="AE148"/>
    </row>
    <row r="149" ht="25.5" customHeight="1">
      <c r="A149" s="2" t="str">
        <f>=HYPERLINK("https://applink.feishu.cn/client/todo/detail?guid=5e11e8dd-b650-43c2-a5f3-6000d940f5a5&amp;suite_entity_num=t100328", "在配置了多个EnemyMap到Level后，一波敌人清空后，自动刷新下一波敌人")</f>
        <v>在配置了多个EnemyMap到Level后，一波敌人清空后，自动刷新下一波敌人</v>
      </c>
      <c r="B149"/>
      <c r="C149" t="inlineStr">
        <is>
          <t>默认分组</t>
        </is>
      </c>
      <c r="D149" t="inlineStr">
        <is>
          <t>1</t>
        </is>
      </c>
      <c r="E149" t="inlineStr">
        <is>
          <t>或签任务</t>
        </is>
      </c>
      <c r="F149"/>
      <c r="G149" t="inlineStr">
        <is>
          <t>0</t>
        </is>
      </c>
      <c r="H149"/>
      <c r="I149" t="inlineStr">
        <is>
          <t>Decay</t>
        </is>
      </c>
      <c r="J149" t="inlineStr">
        <is>
          <t>龚政涛,Decay</t>
        </is>
      </c>
      <c r="K149" t="inlineStr">
        <is>
          <t>龚政涛</t>
        </is>
      </c>
      <c r="L149" s="3">
        <v>45631.745162037034</v>
      </c>
      <c r="M149" s="3"/>
      <c r="N149" s="3">
        <v>45649.47516203704</v>
      </c>
      <c r="O149" s="3"/>
      <c r="P149" s="3">
        <v>45649.47515046296</v>
      </c>
      <c r="Q149" s="2" t="str">
        <f>=HYPERLINK("https://applink.feishu.cn/client/todo/task_list?guid=4d92b9af-66d1-4cd7-95d1-4b753a64ca6b", "跃入迷城")</f>
        <v>跃入迷城</v>
      </c>
      <c r="R149" t="inlineStr">
        <is>
          <t>4d92b9af-66d1-4cd7-95d1-4b753a64ca6b</t>
        </is>
      </c>
      <c r="S149" t="inlineStr">
        <is>
          <t>5e11e8dd-b650-43c2-a5f3-6000d940f5a5</t>
        </is>
      </c>
      <c r="T149">
        <v>0</v>
      </c>
      <c r="U149">
        <v>0</v>
      </c>
      <c r="V149" t="inlineStr">
        <is>
          <t>0.0.3</t>
        </is>
      </c>
      <c r="W149" t="inlineStr">
        <is>
          <t>已完成</t>
        </is>
      </c>
      <c r="X149"/>
      <c r="Y149" t="inlineStr">
        <is>
          <t>关卡</t>
        </is>
      </c>
      <c r="Z149"/>
      <c r="AA149"/>
      <c r="AB149"/>
      <c r="AC149"/>
      <c r="AD149" t="inlineStr">
        <is>
          <t>NzUzMjAzNDQ5ODk2NDY2ODQ0NDo1ZTExZThkZC1iNjUwLTQzYzItYTVmMy02MDAwZDk0MGY1YTU6YzU5NDMxMzFlYzU2ODMzM2Y5MTNjMDIxM2U3YWQ0ZWY6MQ==</t>
        </is>
      </c>
      <c r="AE149"/>
    </row>
    <row r="150" ht="25.5" customHeight="1">
      <c r="A150" s="2" t="str">
        <f>=HYPERLINK("https://applink.feishu.cn/client/todo/detail?guid=d56fb988-d5e5-43ce-8898-683d5a8e4691&amp;suite_entity_num=t100302", "完善主要支线剧情大纲")</f>
        <v>完善主要支线剧情大纲</v>
      </c>
      <c r="B150"/>
      <c r="C150" t="inlineStr">
        <is>
          <t>默认分组</t>
        </is>
      </c>
      <c r="D150" t="inlineStr">
        <is>
          <t>1</t>
        </is>
      </c>
      <c r="E150" t="inlineStr">
        <is>
          <t>或签任务</t>
        </is>
      </c>
      <c r="F150"/>
      <c r="G150" t="inlineStr">
        <is>
          <t>0</t>
        </is>
      </c>
      <c r="H150"/>
      <c r="I150" t="inlineStr">
        <is>
          <t>龚政涛,Serein,Jade</t>
        </is>
      </c>
      <c r="J150" t="inlineStr">
        <is>
          <t>龚政涛,Serein,Jade</t>
        </is>
      </c>
      <c r="K150" t="inlineStr">
        <is>
          <t>龚政涛</t>
        </is>
      </c>
      <c r="L150" s="3">
        <v>45622.64163194445</v>
      </c>
      <c r="M150" s="3">
        <v>45621.333333333336</v>
      </c>
      <c r="N150" s="3">
        <v>45672.99431712963</v>
      </c>
      <c r="O150" s="3">
        <v>45635.333333333336</v>
      </c>
      <c r="P150" s="3">
        <v>45672.99431712963</v>
      </c>
      <c r="Q150" s="2" t="str">
        <f>=HYPERLINK("https://applink.feishu.cn/client/todo/task_list?guid=4d92b9af-66d1-4cd7-95d1-4b753a64ca6b", "跃入迷城")</f>
        <v>跃入迷城</v>
      </c>
      <c r="R150" t="inlineStr">
        <is>
          <t>4d92b9af-66d1-4cd7-95d1-4b753a64ca6b</t>
        </is>
      </c>
      <c r="S150" t="inlineStr">
        <is>
          <t>d56fb988-d5e5-43ce-8898-683d5a8e4691</t>
        </is>
      </c>
      <c r="T150">
        <v>0</v>
      </c>
      <c r="U150">
        <v>0</v>
      </c>
      <c r="V150" t="inlineStr">
        <is>
          <t>0.0.3</t>
        </is>
      </c>
      <c r="W150" t="inlineStr">
        <is>
          <t>已完成</t>
        </is>
      </c>
      <c r="X150"/>
      <c r="Y150" t="inlineStr">
        <is>
          <t>剧本</t>
        </is>
      </c>
      <c r="Z150" t="inlineStr">
        <is>
          <t>P0 - Must (not) Have</t>
        </is>
      </c>
      <c r="AA150"/>
      <c r="AB150"/>
      <c r="AC150"/>
      <c r="AD150" t="inlineStr">
        <is>
          <t>NzUzMjAzNDQ5ODk2NDY2ODQ0NDpkNTZmYjk4OC1kNWU1LTQzY2UtODg5OC02ODNkNWE4ZTQ2OTE6ODlhODdlMmExYWM2MTc2N2YxNzhiMDFlODRkMjQ4NTg6MQ==</t>
        </is>
      </c>
      <c r="AE150"/>
    </row>
    <row r="151" ht="25.5" customHeight="1">
      <c r="A151" s="2" t="str">
        <f>=HYPERLINK("https://applink.feishu.cn/client/todo/detail?guid=fdbd5d29-5344-4fff-924d-14be59ff3447&amp;suite_entity_num=t100299", "看了下GetOptimalCombatLocation这个task有问题，结果是个向量不是点，所以目标点会一直设在无效的地方，Nav本身没问题")</f>
        <v>看了下GetOptimalCombatLocation这个task有问题，结果是个向量不是点，所以目标点会一直设在无效的地方，Nav本身没问题</v>
      </c>
      <c r="B151"/>
      <c r="C151" t="inlineStr">
        <is>
          <t>默认分组</t>
        </is>
      </c>
      <c r="D151" t="inlineStr">
        <is>
          <t>1</t>
        </is>
      </c>
      <c r="E151" t="inlineStr">
        <is>
          <t>或签任务</t>
        </is>
      </c>
      <c r="F151"/>
      <c r="G151" t="inlineStr">
        <is>
          <t>0</t>
        </is>
      </c>
      <c r="H151"/>
      <c r="I151" t="inlineStr">
        <is>
          <t>李少秋</t>
        </is>
      </c>
      <c r="J151" t="inlineStr">
        <is>
          <t>龚政涛,李少秋</t>
        </is>
      </c>
      <c r="K151" t="inlineStr">
        <is>
          <t>龚政涛</t>
        </is>
      </c>
      <c r="L151" s="3">
        <v>45618.5746875</v>
      </c>
      <c r="M151" s="3">
        <v>45618.333333333336</v>
      </c>
      <c r="N151" s="3">
        <v>45622.68578703704</v>
      </c>
      <c r="O151" s="3">
        <v>45619.333333333336</v>
      </c>
      <c r="P151" s="3">
        <v>45622.68578703704</v>
      </c>
      <c r="Q151" s="2" t="str">
        <f>=HYPERLINK("https://applink.feishu.cn/client/todo/task_list?guid=4d92b9af-66d1-4cd7-95d1-4b753a64ca6b", "跃入迷城")</f>
        <v>跃入迷城</v>
      </c>
      <c r="R151" t="inlineStr">
        <is>
          <t>4d92b9af-66d1-4cd7-95d1-4b753a64ca6b</t>
        </is>
      </c>
      <c r="S151" t="inlineStr">
        <is>
          <t>fdbd5d29-5344-4fff-924d-14be59ff3447</t>
        </is>
      </c>
      <c r="T151">
        <v>0</v>
      </c>
      <c r="U151">
        <v>0</v>
      </c>
      <c r="V151" t="inlineStr">
        <is>
          <t>0.0.3</t>
        </is>
      </c>
      <c r="W151" t="inlineStr">
        <is>
          <t>已完成</t>
        </is>
      </c>
      <c r="X151"/>
      <c r="Y151" t="inlineStr">
        <is>
          <t>AI</t>
        </is>
      </c>
      <c r="Z151" t="inlineStr">
        <is>
          <t>P0 - Must (not) Have</t>
        </is>
      </c>
      <c r="AA151"/>
      <c r="AB151"/>
      <c r="AC151"/>
      <c r="AD151" t="inlineStr">
        <is>
          <t>NzUzMjAzNDQ5ODk2NDY2ODQ0NDpmZGJkNWQyOS01MzQ0LTRmZmYtOTI0ZC0xNGJlNTlmZjM0NDc6NDUwMzlhZGY5ZDdiNTUwM2U4OWViNThjMmJhMjI2Nzc6MQ==</t>
        </is>
      </c>
      <c r="AE151"/>
    </row>
    <row r="152" ht="25.5" customHeight="1">
      <c r="A152" s="2" t="str">
        <f>=HYPERLINK("https://applink.feishu.cn/client/todo/detail?guid=017eb1fa-318e-49b5-a6f9-6c406aa66785&amp;suite_entity_num=t100301", "替换近战攻击单/双手剑动画")</f>
        <v>替换近战攻击单/双手剑动画</v>
      </c>
      <c r="B152"/>
      <c r="C152" t="inlineStr">
        <is>
          <t>默认分组</t>
        </is>
      </c>
      <c r="D152" t="inlineStr">
        <is>
          <t>1</t>
        </is>
      </c>
      <c r="E152" t="inlineStr">
        <is>
          <t>或签任务</t>
        </is>
      </c>
      <c r="F152"/>
      <c r="G152" t="inlineStr">
        <is>
          <t>0</t>
        </is>
      </c>
      <c r="H152"/>
      <c r="I152" t="inlineStr">
        <is>
          <t>Decay</t>
        </is>
      </c>
      <c r="J152" t="inlineStr">
        <is>
          <t>Decay,龚政涛</t>
        </is>
      </c>
      <c r="K152" t="inlineStr">
        <is>
          <t>龚政涛</t>
        </is>
      </c>
      <c r="L152" s="3">
        <v>45618.595659722225</v>
      </c>
      <c r="M152" s="3">
        <v>45632.333333333336</v>
      </c>
      <c r="N152" s="3">
        <v>45631.72336805556</v>
      </c>
      <c r="O152" s="3">
        <v>45632.333333333336</v>
      </c>
      <c r="P152" s="3">
        <v>45631.72337962963</v>
      </c>
      <c r="Q152" s="2" t="str">
        <f>=HYPERLINK("https://applink.feishu.cn/client/todo/task_list?guid=4d92b9af-66d1-4cd7-95d1-4b753a64ca6b", "跃入迷城")</f>
        <v>跃入迷城</v>
      </c>
      <c r="R152" t="inlineStr">
        <is>
          <t>4d92b9af-66d1-4cd7-95d1-4b753a64ca6b</t>
        </is>
      </c>
      <c r="S152" t="inlineStr">
        <is>
          <t>017eb1fa-318e-49b5-a6f9-6c406aa66785</t>
        </is>
      </c>
      <c r="T152">
        <v>0</v>
      </c>
      <c r="U152">
        <v>1</v>
      </c>
      <c r="V152" t="inlineStr">
        <is>
          <t>0.0.3</t>
        </is>
      </c>
      <c r="W152" t="inlineStr">
        <is>
          <t>已完成</t>
        </is>
      </c>
      <c r="X152"/>
      <c r="Y152" t="inlineStr">
        <is>
          <t>动画</t>
        </is>
      </c>
      <c r="Z152" t="inlineStr">
        <is>
          <t>P2 - Nice to Have</t>
        </is>
      </c>
      <c r="AA152"/>
      <c r="AB152"/>
      <c r="AC152"/>
      <c r="AD152" t="inlineStr">
        <is>
          <t>NzUzMjAzNDQ5ODk2NDY2ODQ0NDowMTdlYjFmYS0zMThlLTQ5YjUtYTZmOS02YzQwNmFhNjY3ODU6NmQwNjI2YmRkNmJjZjcxY2RkMWI3NzdkNjY3NjM0M2Q6MQ==</t>
        </is>
      </c>
      <c r="AE152"/>
    </row>
    <row r="153" ht="25.5" customHeight="1">
      <c r="A153" s="2" t="str">
        <f>=HYPERLINK("https://applink.feishu.cn/client/todo/detail?guid=fc449bd8-abaa-4bcf-8b3c-ed7d5f2e9133&amp;suite_entity_num=t100346", "移除子弹种类限制")</f>
        <v>移除子弹种类限制</v>
      </c>
      <c r="B153"/>
      <c r="C153" t="inlineStr">
        <is>
          <t>默认分组</t>
        </is>
      </c>
      <c r="D153" t="inlineStr">
        <is>
          <t>1</t>
        </is>
      </c>
      <c r="E153" t="inlineStr">
        <is>
          <t>或签任务</t>
        </is>
      </c>
      <c r="F153"/>
      <c r="G153" t="inlineStr">
        <is>
          <t>0</t>
        </is>
      </c>
      <c r="H153"/>
      <c r="I153" t="inlineStr">
        <is>
          <t>Decay</t>
        </is>
      </c>
      <c r="J153" t="inlineStr">
        <is>
          <t>龚政涛,Decay</t>
        </is>
      </c>
      <c r="K153" t="inlineStr">
        <is>
          <t>龚政涛</t>
        </is>
      </c>
      <c r="L153" s="3">
        <v>45637.62229166667</v>
      </c>
      <c r="M153" s="3">
        <v>45637.333333333336</v>
      </c>
      <c r="N153" s="3">
        <v>45649.474016203705</v>
      </c>
      <c r="O153" s="3">
        <v>45637.333333333336</v>
      </c>
      <c r="P153" s="3">
        <v>45649.474016203705</v>
      </c>
      <c r="Q153" s="2" t="str">
        <f>=HYPERLINK("https://applink.feishu.cn/client/todo/task_list?guid=4d92b9af-66d1-4cd7-95d1-4b753a64ca6b", "跃入迷城")</f>
        <v>跃入迷城</v>
      </c>
      <c r="R153" t="inlineStr">
        <is>
          <t>4d92b9af-66d1-4cd7-95d1-4b753a64ca6b</t>
        </is>
      </c>
      <c r="S153" t="inlineStr">
        <is>
          <t>fc449bd8-abaa-4bcf-8b3c-ed7d5f2e9133</t>
        </is>
      </c>
      <c r="T153">
        <v>0</v>
      </c>
      <c r="U153">
        <v>0</v>
      </c>
      <c r="V153" t="inlineStr">
        <is>
          <t>0.0.3</t>
        </is>
      </c>
      <c r="W153" t="inlineStr">
        <is>
          <t>已完成</t>
        </is>
      </c>
      <c r="X153"/>
      <c r="Y153" t="inlineStr">
        <is>
          <t>装备</t>
        </is>
      </c>
      <c r="Z153"/>
      <c r="AA153"/>
      <c r="AB153"/>
      <c r="AC153"/>
      <c r="AD153" t="inlineStr">
        <is>
          <t>NzUzMjAzNDQ5ODk2NDY2ODQ0NDpmYzQ0OWJkOC1hYmFhLTRiY2YtOGIzYy1lZDdkNWYyZTkxMzM6NjlkNGU3YzBlZTg3NTc0YTdmMmJmMWE2NTUwYTU1Mzk6MQ==</t>
        </is>
      </c>
      <c r="AE153"/>
    </row>
    <row r="154" ht="25.5" customHeight="1">
      <c r="A154" s="2" t="str">
        <f>=HYPERLINK("https://applink.feishu.cn/client/todo/detail?guid=bee29d78-d7b5-4fd6-ad09-cb7ff2abcacc&amp;suite_entity_num=t100333", "制作“株连”系列技能进行测试")</f>
        <v>制作“株连”系列技能进行测试</v>
      </c>
      <c r="B154"/>
      <c r="C154" t="inlineStr">
        <is>
          <t>默认分组</t>
        </is>
      </c>
      <c r="D154" t="inlineStr">
        <is>
          <t>1</t>
        </is>
      </c>
      <c r="E154" t="inlineStr">
        <is>
          <t>或签任务</t>
        </is>
      </c>
      <c r="F154"/>
      <c r="G154" t="inlineStr">
        <is>
          <t>0</t>
        </is>
      </c>
      <c r="H154"/>
      <c r="I154" t="inlineStr">
        <is>
          <t>Decay</t>
        </is>
      </c>
      <c r="J154" t="inlineStr">
        <is>
          <t>龚政涛,Decay</t>
        </is>
      </c>
      <c r="K154" t="inlineStr">
        <is>
          <t>龚政涛</t>
        </is>
      </c>
      <c r="L154" s="3">
        <v>45636.710381944446</v>
      </c>
      <c r="M154" s="3">
        <v>45652.333333333336</v>
      </c>
      <c r="N154" s="3">
        <v>45672.64840277778</v>
      </c>
      <c r="O154" s="3">
        <v>45656.333333333336</v>
      </c>
      <c r="P154" s="3">
        <v>45672.6484375</v>
      </c>
      <c r="Q154" s="2" t="str">
        <f>=HYPERLINK("https://applink.feishu.cn/client/todo/task_list?guid=4d92b9af-66d1-4cd7-95d1-4b753a64ca6b", "跃入迷城")</f>
        <v>跃入迷城</v>
      </c>
      <c r="R154" t="inlineStr">
        <is>
          <t>4d92b9af-66d1-4cd7-95d1-4b753a64ca6b</t>
        </is>
      </c>
      <c r="S154" t="inlineStr">
        <is>
          <t>bee29d78-d7b5-4fd6-ad09-cb7ff2abcacc</t>
        </is>
      </c>
      <c r="T154">
        <v>0</v>
      </c>
      <c r="U154">
        <v>4</v>
      </c>
      <c r="V154" t="inlineStr">
        <is>
          <t>0.0.3</t>
        </is>
      </c>
      <c r="W154" t="inlineStr">
        <is>
          <t>已完成</t>
        </is>
      </c>
      <c r="X154"/>
      <c r="Y154" t="inlineStr">
        <is>
          <t>装备</t>
        </is>
      </c>
      <c r="Z154"/>
      <c r="AA154"/>
      <c r="AB154"/>
      <c r="AC154"/>
      <c r="AD154" t="inlineStr">
        <is>
          <t>NzUzMjAzNDQ5ODk2NDY2ODQ0NDpiZWUyOWQ3OC1kN2I1LTRmZDYtYWQwOS1jYjdmZjJhYmNhY2M6OWIzNTc2NThkNjVjNWM5YzE0M2YzNGU0ODFiYjY4NDg6MQ==</t>
        </is>
      </c>
      <c r="AE154"/>
    </row>
    <row r="155" ht="25.5" customHeight="1">
      <c r="A155" s="2" t="str">
        <f>=HYPERLINK("https://applink.feishu.cn/client/todo/detail?guid=2ecac0eb-92b1-4642-b5c4-18cf87d42550&amp;suite_entity_num=t100344", "冲击事件的新计算方法")</f>
        <v>冲击事件的新计算方法</v>
      </c>
      <c r="B155"/>
      <c r="C155" t="inlineStr">
        <is>
          <t>默认分组</t>
        </is>
      </c>
      <c r="D155" t="inlineStr">
        <is>
          <t>0</t>
        </is>
      </c>
      <c r="E155" t="inlineStr">
        <is>
          <t>或签任务</t>
        </is>
      </c>
      <c r="F155"/>
      <c r="G155" t="inlineStr">
        <is>
          <t>0</t>
        </is>
      </c>
      <c r="H155"/>
      <c r="I155" t="inlineStr">
        <is>
          <t>Decay</t>
        </is>
      </c>
      <c r="J155" t="inlineStr">
        <is>
          <t>龚政涛,Decay</t>
        </is>
      </c>
      <c r="K155" t="inlineStr">
        <is>
          <t>龚政涛</t>
        </is>
      </c>
      <c r="L155" s="3">
        <v>45637.58841435185</v>
      </c>
      <c r="M155" s="3"/>
      <c r="N155" s="3"/>
      <c r="O155" s="3"/>
      <c r="P155" s="3">
        <v>45709.45431712963</v>
      </c>
      <c r="Q155" s="2" t="str">
        <f>=HYPERLINK("https://applink.feishu.cn/client/todo/task_list?guid=4d92b9af-66d1-4cd7-95d1-4b753a64ca6b", "跃入迷城")</f>
        <v>跃入迷城</v>
      </c>
      <c r="R155" t="inlineStr">
        <is>
          <t>4d92b9af-66d1-4cd7-95d1-4b753a64ca6b</t>
        </is>
      </c>
      <c r="S155" t="inlineStr">
        <is>
          <t>2ecac0eb-92b1-4642-b5c4-18cf87d42550</t>
        </is>
      </c>
      <c r="T155">
        <v>0</v>
      </c>
      <c r="U155">
        <v>12</v>
      </c>
      <c r="V155" t="inlineStr">
        <is>
          <t>0.1.0</t>
        </is>
      </c>
      <c r="W155" t="inlineStr">
        <is>
          <t>未开始</t>
        </is>
      </c>
      <c r="X155"/>
      <c r="Y155" t="inlineStr">
        <is>
          <t>角色</t>
        </is>
      </c>
      <c r="Z155" t="inlineStr">
        <is>
          <t>P2 - Nice to Have</t>
        </is>
      </c>
      <c r="AA155"/>
      <c r="AB155"/>
      <c r="AC155"/>
      <c r="AD155" t="inlineStr">
        <is>
          <t>NzUzMjAzNDQ5ODk2NDY2ODQ0NDoyZWNhYzBlYi05MmIxLTQ2NDItYjVjNC0xOGNmODdkNDI1NTA6M2E4NWY5ZmE0M2Q3M2Y0MjE4MTk0NTAxZmZhOTk0OTA6MQ==</t>
        </is>
      </c>
      <c r="AE155"/>
    </row>
    <row r="156" ht="25.5" customHeight="1">
      <c r="A156" s="2" t="str">
        <f>=HYPERLINK("https://applink.feishu.cn/client/todo/detail?guid=5b862813-1274-482d-af27-cb2d931ac113&amp;suite_entity_num=t100331", "武器可以切换（滚轮）")</f>
        <v>武器可以切换（滚轮）</v>
      </c>
      <c r="B156"/>
      <c r="C156" t="inlineStr">
        <is>
          <t>默认分组</t>
        </is>
      </c>
      <c r="D156" t="inlineStr">
        <is>
          <t>1</t>
        </is>
      </c>
      <c r="E156" t="inlineStr">
        <is>
          <t>或签任务</t>
        </is>
      </c>
      <c r="F156"/>
      <c r="G156" t="inlineStr">
        <is>
          <t>0</t>
        </is>
      </c>
      <c r="H156"/>
      <c r="I156" t="inlineStr">
        <is>
          <t>Decay</t>
        </is>
      </c>
      <c r="J156" t="inlineStr">
        <is>
          <t>龚政涛,Decay</t>
        </is>
      </c>
      <c r="K156" t="inlineStr">
        <is>
          <t>龚政涛</t>
        </is>
      </c>
      <c r="L156" s="3">
        <v>45635.67601851852</v>
      </c>
      <c r="M156" s="3">
        <v>45638.333333333336</v>
      </c>
      <c r="N156" s="3">
        <v>45649.47415509259</v>
      </c>
      <c r="O156" s="3">
        <v>45638.333333333336</v>
      </c>
      <c r="P156" s="3">
        <v>45649.47414351852</v>
      </c>
      <c r="Q156" s="2" t="str">
        <f>=HYPERLINK("https://applink.feishu.cn/client/todo/task_list?guid=4d92b9af-66d1-4cd7-95d1-4b753a64ca6b", "跃入迷城")</f>
        <v>跃入迷城</v>
      </c>
      <c r="R156" t="inlineStr">
        <is>
          <t>4d92b9af-66d1-4cd7-95d1-4b753a64ca6b</t>
        </is>
      </c>
      <c r="S156" t="inlineStr">
        <is>
          <t>5b862813-1274-482d-af27-cb2d931ac113</t>
        </is>
      </c>
      <c r="T156">
        <v>0</v>
      </c>
      <c r="U156">
        <v>0</v>
      </c>
      <c r="V156" t="inlineStr">
        <is>
          <t>0.0.3</t>
        </is>
      </c>
      <c r="W156" t="inlineStr">
        <is>
          <t>已完成</t>
        </is>
      </c>
      <c r="X156"/>
      <c r="Y156" t="inlineStr">
        <is>
          <t>装备</t>
        </is>
      </c>
      <c r="Z156"/>
      <c r="AA156" t="inlineStr">
        <is>
          <t>54c65fc6-76c8-4b6c-ae78-8f53c30defd5</t>
        </is>
      </c>
      <c r="AB156"/>
      <c r="AC156"/>
      <c r="AD156" t="inlineStr">
        <is>
          <t>NzUzMjAzNDQ5ODk2NDY2ODQ0NDo1Yjg2MjgxMy0xMjc0LTQ4MmQtYWYyNy1jYjJkOTMxYWMxMTM6MjU0OGU4NWMzMWY2NDg0ZjY5OTRkMzA1MDcxOTU0NDI6MQ==</t>
        </is>
      </c>
      <c r="AE156"/>
    </row>
    <row r="157" ht="25.5" customHeight="1">
      <c r="A157" s="2" t="str">
        <f>=HYPERLINK("https://applink.feishu.cn/client/todo/detail?guid=00ac2844-0a0c-423b-9110-47b0eda1af8e&amp;suite_entity_num=t100357", "机修工")</f>
        <v>机修工</v>
      </c>
      <c r="B157"/>
      <c r="C157" t="inlineStr">
        <is>
          <t>默认分组</t>
        </is>
      </c>
      <c r="D157" t="inlineStr">
        <is>
          <t>1</t>
        </is>
      </c>
      <c r="E157" t="inlineStr">
        <is>
          <t>或签任务</t>
        </is>
      </c>
      <c r="F157"/>
      <c r="G157" t="inlineStr">
        <is>
          <t>0</t>
        </is>
      </c>
      <c r="H157"/>
      <c r="I157" t="inlineStr">
        <is>
          <t>李少秋</t>
        </is>
      </c>
      <c r="J157" t="inlineStr">
        <is>
          <t>龚政涛,李少秋</t>
        </is>
      </c>
      <c r="K157" t="inlineStr">
        <is>
          <t>龚政涛</t>
        </is>
      </c>
      <c r="L157" s="3">
        <v>45648.85287037037</v>
      </c>
      <c r="M157" s="3">
        <v>45651.333333333336</v>
      </c>
      <c r="N157" s="3">
        <v>45655.66484953704</v>
      </c>
      <c r="O157" s="3">
        <v>45651.333333333336</v>
      </c>
      <c r="P157" s="3">
        <v>45733.710277777776</v>
      </c>
      <c r="Q157" s="2" t="str">
        <f>=HYPERLINK("https://applink.feishu.cn/client/todo/task_list?guid=4d92b9af-66d1-4cd7-95d1-4b753a64ca6b", "跃入迷城")</f>
        <v>跃入迷城</v>
      </c>
      <c r="R157" t="inlineStr">
        <is>
          <t>4d92b9af-66d1-4cd7-95d1-4b753a64ca6b</t>
        </is>
      </c>
      <c r="S157" t="inlineStr">
        <is>
          <t>00ac2844-0a0c-423b-9110-47b0eda1af8e</t>
        </is>
      </c>
      <c r="T157">
        <v>0</v>
      </c>
      <c r="U157">
        <v>0</v>
      </c>
      <c r="V157" t="inlineStr">
        <is>
          <t>0.0.4</t>
        </is>
      </c>
      <c r="W157" t="inlineStr">
        <is>
          <t>已完成</t>
        </is>
      </c>
      <c r="X157"/>
      <c r="Y157" t="inlineStr">
        <is>
          <t>AI</t>
        </is>
      </c>
      <c r="Z157" t="inlineStr">
        <is>
          <t>P0 - Must (not) Have</t>
        </is>
      </c>
      <c r="AA157"/>
      <c r="AB157"/>
      <c r="AC157"/>
      <c r="AD157" t="inlineStr">
        <is>
          <t>NzUzMjAzNDQ5ODk2NDY2ODQ0NDowMGFjMjg0NC0wYTBjLTQyM2ItOTExMC00N2IwZWRhMWFmOGU6MmEwMzBlNDc4OTM2YzNlOGFlZmJiODY2ZTM4MmFjYWY6MQ==</t>
        </is>
      </c>
      <c r="AE157"/>
    </row>
    <row r="158" ht="25.5" customHeight="1">
      <c r="A158" s="2" t="str">
        <f>=HYPERLINK("https://applink.feishu.cn/client/todo/detail?guid=72023289-e1b5-4997-83b9-553523fcda53&amp;suite_entity_num=t100329", "允许为每一波敌人配置出生点")</f>
        <v>允许为每一波敌人配置出生点</v>
      </c>
      <c r="B158"/>
      <c r="C158" t="inlineStr">
        <is>
          <t>默认分组</t>
        </is>
      </c>
      <c r="D158" t="inlineStr">
        <is>
          <t>1</t>
        </is>
      </c>
      <c r="E158" t="inlineStr">
        <is>
          <t>或签任务</t>
        </is>
      </c>
      <c r="F158"/>
      <c r="G158" t="inlineStr">
        <is>
          <t>0</t>
        </is>
      </c>
      <c r="H158"/>
      <c r="I158"/>
      <c r="J158" t="inlineStr">
        <is>
          <t>龚政涛</t>
        </is>
      </c>
      <c r="K158" t="inlineStr">
        <is>
          <t>龚政涛</t>
        </is>
      </c>
      <c r="L158" s="3">
        <v>45631.74518518519</v>
      </c>
      <c r="M158" s="3"/>
      <c r="N158" s="3">
        <v>45649.475</v>
      </c>
      <c r="O158" s="3"/>
      <c r="P158" s="3">
        <v>45649.47497685185</v>
      </c>
      <c r="Q158" s="2" t="str">
        <f>=HYPERLINK("https://applink.feishu.cn/client/todo/task_list?guid=4d92b9af-66d1-4cd7-95d1-4b753a64ca6b", "跃入迷城")</f>
        <v>跃入迷城</v>
      </c>
      <c r="R158" t="inlineStr">
        <is>
          <t>4d92b9af-66d1-4cd7-95d1-4b753a64ca6b</t>
        </is>
      </c>
      <c r="S158" t="inlineStr">
        <is>
          <t>72023289-e1b5-4997-83b9-553523fcda53</t>
        </is>
      </c>
      <c r="T158">
        <v>0</v>
      </c>
      <c r="U158">
        <v>0</v>
      </c>
      <c r="V158" t="inlineStr">
        <is>
          <t>0.0.3</t>
        </is>
      </c>
      <c r="W158" t="inlineStr">
        <is>
          <t>已完成</t>
        </is>
      </c>
      <c r="X158"/>
      <c r="Y158" t="inlineStr">
        <is>
          <t>关卡</t>
        </is>
      </c>
      <c r="Z158"/>
      <c r="AA158"/>
      <c r="AB158"/>
      <c r="AC158"/>
      <c r="AD158" t="inlineStr">
        <is>
          <t>NzUzMjAzNDQ5ODk2NDY2ODQ0NDo3MjAyMzI4OS1lMWI1LTQ5OTctODNiOS01NTM1MjNmY2RhNTM6MzkxZWI1MDYxZWM0YmQ5OTVkMzY1NGNiYjZmZGNkMTI6MQ==</t>
        </is>
      </c>
      <c r="AE158"/>
    </row>
    <row r="159" ht="25.5" customHeight="1">
      <c r="A159" s="2" t="str">
        <f>=HYPERLINK("https://applink.feishu.cn/client/todo/detail?guid=54c65fc6-76c8-4b6c-ae78-8f53c30defd5&amp;suite_entity_num=t100316", "只限制左键、右键的输入各固定一把武器，不限制武器类型")</f>
        <v>只限制左键、右键的输入各固定一把武器，不限制武器类型</v>
      </c>
      <c r="B159"/>
      <c r="C159" t="inlineStr">
        <is>
          <t>默认分组</t>
        </is>
      </c>
      <c r="D159" t="inlineStr">
        <is>
          <t>1</t>
        </is>
      </c>
      <c r="E159" t="inlineStr">
        <is>
          <t>或签任务</t>
        </is>
      </c>
      <c r="F159"/>
      <c r="G159" t="inlineStr">
        <is>
          <t>0</t>
        </is>
      </c>
      <c r="H159"/>
      <c r="I159" t="inlineStr">
        <is>
          <t>Decay</t>
        </is>
      </c>
      <c r="J159" t="inlineStr">
        <is>
          <t>龚政涛,Decay</t>
        </is>
      </c>
      <c r="K159" t="inlineStr">
        <is>
          <t>龚政涛</t>
        </is>
      </c>
      <c r="L159" s="3">
        <v>45631.72484953704</v>
      </c>
      <c r="M159" s="3">
        <v>45637.333333333336</v>
      </c>
      <c r="N159" s="3">
        <v>45651.622395833336</v>
      </c>
      <c r="O159" s="3">
        <v>45637.333333333336</v>
      </c>
      <c r="P159" s="3">
        <v>45651.62238425926</v>
      </c>
      <c r="Q159" s="2" t="str">
        <f>=HYPERLINK("https://applink.feishu.cn/client/todo/task_list?guid=4d92b9af-66d1-4cd7-95d1-4b753a64ca6b", "跃入迷城")</f>
        <v>跃入迷城</v>
      </c>
      <c r="R159" t="inlineStr">
        <is>
          <t>4d92b9af-66d1-4cd7-95d1-4b753a64ca6b</t>
        </is>
      </c>
      <c r="S159" t="inlineStr">
        <is>
          <t>54c65fc6-76c8-4b6c-ae78-8f53c30defd5</t>
        </is>
      </c>
      <c r="T159">
        <v>0</v>
      </c>
      <c r="U159">
        <v>0</v>
      </c>
      <c r="V159" t="inlineStr">
        <is>
          <t>0.0.3</t>
        </is>
      </c>
      <c r="W159" t="inlineStr">
        <is>
          <t>已完成</t>
        </is>
      </c>
      <c r="X159"/>
      <c r="Y159" t="inlineStr">
        <is>
          <t>装备</t>
        </is>
      </c>
      <c r="Z159"/>
      <c r="AA159"/>
      <c r="AB159" t="inlineStr">
        <is>
          <t>5b862813-1274-482d-af27-cb2d931ac113</t>
        </is>
      </c>
      <c r="AC159"/>
      <c r="AD159" t="inlineStr">
        <is>
          <t>NzUzMjAzNDQ5ODk2NDY2ODQ0NDo1NGM2NWZjNi03NmM4LTRiNmMtYWU3OC04ZjUzYzMwZGVmZDU6YmYzZWUzOGNkZjFhMmJhYWFhMDlhNDE0MDc2Y2Q4YTc6MQ==</t>
        </is>
      </c>
      <c r="AE159"/>
    </row>
    <row r="160" ht="25.5" customHeight="1">
      <c r="A160" s="2" t="str">
        <f>=HYPERLINK("https://applink.feishu.cn/client/todo/detail?guid=a63f96fe-bc46-45d9-b74f-0e595999d777&amp;suite_entity_num=t100347", "需要一个TASK，让AI使用武器技能")</f>
        <v>需要一个TASK，让AI使用武器技能</v>
      </c>
      <c r="B160"/>
      <c r="C160" t="inlineStr">
        <is>
          <t>默认分组</t>
        </is>
      </c>
      <c r="D160" t="inlineStr">
        <is>
          <t>1</t>
        </is>
      </c>
      <c r="E160" t="inlineStr">
        <is>
          <t>或签任务</t>
        </is>
      </c>
      <c r="F160"/>
      <c r="G160" t="inlineStr">
        <is>
          <t>0</t>
        </is>
      </c>
      <c r="H160"/>
      <c r="I160" t="inlineStr">
        <is>
          <t>李少秋</t>
        </is>
      </c>
      <c r="J160" t="inlineStr">
        <is>
          <t>李少秋,龚政涛</t>
        </is>
      </c>
      <c r="K160" t="inlineStr">
        <is>
          <t>龚政涛</t>
        </is>
      </c>
      <c r="L160" s="3">
        <v>45637.681759259256</v>
      </c>
      <c r="M160" s="3"/>
      <c r="N160" s="3">
        <v>45639.57471064815</v>
      </c>
      <c r="O160" s="3"/>
      <c r="P160" s="3">
        <v>45727.47366898148</v>
      </c>
      <c r="Q160" s="2" t="str">
        <f>=HYPERLINK("https://applink.feishu.cn/client/todo/task_list?guid=4d92b9af-66d1-4cd7-95d1-4b753a64ca6b", "跃入迷城")</f>
        <v>跃入迷城</v>
      </c>
      <c r="R160" t="inlineStr">
        <is>
          <t>4d92b9af-66d1-4cd7-95d1-4b753a64ca6b</t>
        </is>
      </c>
      <c r="S160" t="inlineStr">
        <is>
          <t>a63f96fe-bc46-45d9-b74f-0e595999d777</t>
        </is>
      </c>
      <c r="T160">
        <v>0</v>
      </c>
      <c r="U160">
        <v>0</v>
      </c>
      <c r="V160" t="inlineStr">
        <is>
          <t>0.0.3</t>
        </is>
      </c>
      <c r="W160" t="inlineStr">
        <is>
          <t>已完成</t>
        </is>
      </c>
      <c r="X160"/>
      <c r="Y160" t="inlineStr">
        <is>
          <t>AI</t>
        </is>
      </c>
      <c r="Z160" t="inlineStr">
        <is>
          <t>P0 - Must (not) Have</t>
        </is>
      </c>
      <c r="AA160"/>
      <c r="AB160"/>
      <c r="AC160"/>
      <c r="AD160" t="inlineStr">
        <is>
          <t>NzUzMjAzNDQ5ODk2NDY2ODQ0NDphNjNmOTZmZS1iYzQ2LTQ1ZDktYjc0Zi0wZTU5NTk5OWQ3Nzc6OTBlNzU5ZWMwMDc0NWU4MGMzODVjZjUyN2RkYjNkMDk6MQ==</t>
        </is>
      </c>
      <c r="AE160"/>
    </row>
    <row r="161" ht="25.5" customHeight="1">
      <c r="A161" s="2" t="str">
        <f>=HYPERLINK("https://applink.feishu.cn/client/todo/detail?guid=63b812e0-5b27-43c6-8bcc-0a98ad35a407&amp;suite_entity_num=t100337", "基于护甲值的硬直变动：有护甲的单位韧性等级 + 1")</f>
        <v>基于护甲值的硬直变动：有护甲的单位韧性等级 + 1</v>
      </c>
      <c r="B161"/>
      <c r="C161" t="inlineStr">
        <is>
          <t>默认分组</t>
        </is>
      </c>
      <c r="D161" t="inlineStr">
        <is>
          <t>1</t>
        </is>
      </c>
      <c r="E161" t="inlineStr">
        <is>
          <t>或签任务</t>
        </is>
      </c>
      <c r="F161"/>
      <c r="G161" t="inlineStr">
        <is>
          <t>0</t>
        </is>
      </c>
      <c r="H161"/>
      <c r="I161" t="inlineStr">
        <is>
          <t>Decay</t>
        </is>
      </c>
      <c r="J161" t="inlineStr">
        <is>
          <t>龚政涛,Decay</t>
        </is>
      </c>
      <c r="K161" t="inlineStr">
        <is>
          <t>龚政涛</t>
        </is>
      </c>
      <c r="L161" s="3">
        <v>45636.756886574076</v>
      </c>
      <c r="M161" s="3">
        <v>45651.333333333336</v>
      </c>
      <c r="N161" s="3">
        <v>45667.47634259259</v>
      </c>
      <c r="O161" s="3">
        <v>45651.333333333336</v>
      </c>
      <c r="P161" s="3">
        <v>45667.476331018515</v>
      </c>
      <c r="Q161" s="2" t="str">
        <f>=HYPERLINK("https://applink.feishu.cn/client/todo/task_list?guid=4d92b9af-66d1-4cd7-95d1-4b753a64ca6b", "跃入迷城")</f>
        <v>跃入迷城</v>
      </c>
      <c r="R161" t="inlineStr">
        <is>
          <t>4d92b9af-66d1-4cd7-95d1-4b753a64ca6b</t>
        </is>
      </c>
      <c r="S161" t="inlineStr">
        <is>
          <t>63b812e0-5b27-43c6-8bcc-0a98ad35a407</t>
        </is>
      </c>
      <c r="T161">
        <v>0</v>
      </c>
      <c r="U161">
        <v>0</v>
      </c>
      <c r="V161" t="inlineStr">
        <is>
          <t>0.0.3</t>
        </is>
      </c>
      <c r="W161" t="inlineStr">
        <is>
          <t>已完成</t>
        </is>
      </c>
      <c r="X161"/>
      <c r="Y161" t="inlineStr">
        <is>
          <t>角色</t>
        </is>
      </c>
      <c r="Z161"/>
      <c r="AA161"/>
      <c r="AB161"/>
      <c r="AC161"/>
      <c r="AD161" t="inlineStr">
        <is>
          <t>NzUzMjAzNDQ5ODk2NDY2ODQ0NDo2M2I4MTJlMC01YjI3LTQzYzYtOGJjYy0wYTk4YWQzNWE0MDc6MTk4OTQ4MDI3YWEwZGE4NzVkMzAyYTk5ZTFiNzM3OTI6MQ==</t>
        </is>
      </c>
      <c r="AE161"/>
    </row>
    <row r="162" ht="25.5" customHeight="1">
      <c r="A162" s="2" t="str">
        <f>=HYPERLINK("https://applink.feishu.cn/client/todo/detail?guid=66116a6e-444a-4595-b591-d9f4819d4fed&amp;suite_entity_num=t100336", "制作武器技能：电磁护盾")</f>
        <v>制作武器技能：电磁护盾</v>
      </c>
      <c r="B162"/>
      <c r="C162" t="inlineStr">
        <is>
          <t>默认分组</t>
        </is>
      </c>
      <c r="D162" t="inlineStr">
        <is>
          <t>1</t>
        </is>
      </c>
      <c r="E162" t="inlineStr">
        <is>
          <t>或签任务</t>
        </is>
      </c>
      <c r="F162"/>
      <c r="G162" t="inlineStr">
        <is>
          <t>0</t>
        </is>
      </c>
      <c r="H162"/>
      <c r="I162" t="inlineStr">
        <is>
          <t>Decay</t>
        </is>
      </c>
      <c r="J162" t="inlineStr">
        <is>
          <t>龚政涛,Decay</t>
        </is>
      </c>
      <c r="K162" t="inlineStr">
        <is>
          <t>龚政涛</t>
        </is>
      </c>
      <c r="L162" s="3">
        <v>45636.71240740741</v>
      </c>
      <c r="M162" s="3">
        <v>45647.333333333336</v>
      </c>
      <c r="N162" s="3">
        <v>45672.988599537035</v>
      </c>
      <c r="O162" s="3">
        <v>45647.333333333336</v>
      </c>
      <c r="P162" s="3">
        <v>45672.988599537035</v>
      </c>
      <c r="Q162" s="2" t="str">
        <f>=HYPERLINK("https://applink.feishu.cn/client/todo/task_list?guid=4d92b9af-66d1-4cd7-95d1-4b753a64ca6b", "跃入迷城")</f>
        <v>跃入迷城</v>
      </c>
      <c r="R162" t="inlineStr">
        <is>
          <t>4d92b9af-66d1-4cd7-95d1-4b753a64ca6b</t>
        </is>
      </c>
      <c r="S162" t="inlineStr">
        <is>
          <t>66116a6e-444a-4595-b591-d9f4819d4fed</t>
        </is>
      </c>
      <c r="T162">
        <v>0</v>
      </c>
      <c r="U162">
        <v>1</v>
      </c>
      <c r="V162" t="inlineStr">
        <is>
          <t>0.0.3</t>
        </is>
      </c>
      <c r="W162" t="inlineStr">
        <is>
          <t>已废弃</t>
        </is>
      </c>
      <c r="X162"/>
      <c r="Y162" t="inlineStr">
        <is>
          <t>装备</t>
        </is>
      </c>
      <c r="Z162"/>
      <c r="AA162"/>
      <c r="AB162"/>
      <c r="AC162"/>
      <c r="AD162" t="inlineStr">
        <is>
          <t>NzUzMjAzNDQ5ODk2NDY2ODQ0NDo2NjExNmE2ZS00NDRhLTQ1OTUtYjU5MS1kOWY0ODE5ZDRmZWQ6YTI3Y2M0MjA4MGYzMzkxNGU1MmI1M2JjMmNlNzFhN2Y6MQ==</t>
        </is>
      </c>
      <c r="AE162"/>
    </row>
    <row r="163" ht="25.5" customHeight="1">
      <c r="A163" s="2" t="str">
        <f>=HYPERLINK("https://applink.feishu.cn/client/todo/detail?guid=e748bbc8-c504-4d28-8df6-b54794bbd621&amp;suite_entity_num=t100372", "异常状态系统")</f>
        <v>异常状态系统</v>
      </c>
      <c r="B163"/>
      <c r="C163" t="inlineStr">
        <is>
          <t>默认分组</t>
        </is>
      </c>
      <c r="D163" t="inlineStr">
        <is>
          <t>1</t>
        </is>
      </c>
      <c r="E163" t="inlineStr">
        <is>
          <t>或签任务</t>
        </is>
      </c>
      <c r="F163"/>
      <c r="G163" t="inlineStr">
        <is>
          <t>0</t>
        </is>
      </c>
      <c r="H163"/>
      <c r="I163" t="inlineStr">
        <is>
          <t>Decay</t>
        </is>
      </c>
      <c r="J163" t="inlineStr">
        <is>
          <t>Decay,龚政涛</t>
        </is>
      </c>
      <c r="K163" t="inlineStr">
        <is>
          <t>Decay</t>
        </is>
      </c>
      <c r="L163" s="3">
        <v>45649.72248842593</v>
      </c>
      <c r="M163" s="3"/>
      <c r="N163" s="3">
        <v>45667.60223379629</v>
      </c>
      <c r="O163" s="3"/>
      <c r="P163" s="3">
        <v>45667.602222222224</v>
      </c>
      <c r="Q163" s="2" t="str">
        <f>=HYPERLINK("https://applink.feishu.cn/client/todo/task_list?guid=4d92b9af-66d1-4cd7-95d1-4b753a64ca6b", "跃入迷城")</f>
        <v>跃入迷城</v>
      </c>
      <c r="R163" t="inlineStr">
        <is>
          <t>4d92b9af-66d1-4cd7-95d1-4b753a64ca6b</t>
        </is>
      </c>
      <c r="S163" t="inlineStr">
        <is>
          <t>e748bbc8-c504-4d28-8df6-b54794bbd621</t>
        </is>
      </c>
      <c r="T163">
        <v>0</v>
      </c>
      <c r="U163">
        <v>2</v>
      </c>
      <c r="V163" t="inlineStr">
        <is>
          <t>0.0.3</t>
        </is>
      </c>
      <c r="W163" t="inlineStr">
        <is>
          <t>已完成</t>
        </is>
      </c>
      <c r="X163"/>
      <c r="Y163" t="inlineStr">
        <is>
          <t>程序底层</t>
        </is>
      </c>
      <c r="Z163"/>
      <c r="AA163"/>
      <c r="AB163"/>
      <c r="AC163"/>
      <c r="AD163" t="inlineStr">
        <is>
          <t>NzUzMjAzNDQ5ODk2NDY2ODQ0NDplNzQ4YmJjOC1jNTA0LTRkMjgtOGRmNi1iNTQ3OTRiYmQ2MjE6Y2VhMTc1NmYwNjkxMDZjY2RkMDBjMzY3ZjA5NTllZTE6MQ==</t>
        </is>
      </c>
      <c r="AE163"/>
    </row>
    <row r="164" ht="25.5" customHeight="1">
      <c r="A164" s="2" t="str">
        <f>=HYPERLINK("https://applink.feishu.cn/client/todo/detail?guid=669c0f17-2150-40af-80dd-74f5fa847545&amp;suite_entity_num=t100366", "敌人的攻击对队友应该不造成伤害")</f>
        <v>敌人的攻击对队友应该不造成伤害</v>
      </c>
      <c r="B164"/>
      <c r="C164" t="inlineStr">
        <is>
          <t>默认分组</t>
        </is>
      </c>
      <c r="D164" t="inlineStr">
        <is>
          <t>1</t>
        </is>
      </c>
      <c r="E164" t="inlineStr">
        <is>
          <t>或签任务</t>
        </is>
      </c>
      <c r="F164"/>
      <c r="G164" t="inlineStr">
        <is>
          <t>0</t>
        </is>
      </c>
      <c r="H164"/>
      <c r="I164" t="inlineStr">
        <is>
          <t>Decay</t>
        </is>
      </c>
      <c r="J164" t="inlineStr">
        <is>
          <t>龚政涛,Decay</t>
        </is>
      </c>
      <c r="K164" t="inlineStr">
        <is>
          <t>龚政涛</t>
        </is>
      </c>
      <c r="L164" s="3">
        <v>45649.47145833333</v>
      </c>
      <c r="M164" s="3">
        <v>45651.333333333336</v>
      </c>
      <c r="N164" s="3">
        <v>45719.55975694444</v>
      </c>
      <c r="O164" s="3">
        <v>45651.333333333336</v>
      </c>
      <c r="P164" s="3">
        <v>45719.55976851852</v>
      </c>
      <c r="Q164" s="2" t="str">
        <f>=HYPERLINK("https://applink.feishu.cn/client/todo/task_list?guid=4d92b9af-66d1-4cd7-95d1-4b753a64ca6b", "跃入迷城")</f>
        <v>跃入迷城</v>
      </c>
      <c r="R164" t="inlineStr">
        <is>
          <t>4d92b9af-66d1-4cd7-95d1-4b753a64ca6b</t>
        </is>
      </c>
      <c r="S164" t="inlineStr">
        <is>
          <t>669c0f17-2150-40af-80dd-74f5fa847545</t>
        </is>
      </c>
      <c r="T164">
        <v>0</v>
      </c>
      <c r="U164">
        <v>0</v>
      </c>
      <c r="V164" t="inlineStr">
        <is>
          <t>0.0.4</t>
        </is>
      </c>
      <c r="W164" t="inlineStr">
        <is>
          <t>已完成</t>
        </is>
      </c>
      <c r="X164"/>
      <c r="Y164" t="inlineStr">
        <is>
          <t>AI</t>
        </is>
      </c>
      <c r="Z164" t="inlineStr">
        <is>
          <t>P1 - Bigger the Better</t>
        </is>
      </c>
      <c r="AA164"/>
      <c r="AB164"/>
      <c r="AC164"/>
      <c r="AD164" t="inlineStr">
        <is>
          <t>NzUzMjAzNDQ5ODk2NDY2ODQ0NDo2NjljMGYxNy0yMTUwLTQwYWYtODBkZC03NGY1ZmE4NDc1NDU6MDhiM2FlZDQxOTc0ZGVmNTA2OWRmNmYxYWU0NmVlZGE6MQ==</t>
        </is>
      </c>
      <c r="AE164"/>
    </row>
    <row r="165" ht="25.5" customHeight="1">
      <c r="A165" s="2" t="str">
        <f>=HYPERLINK("https://applink.feishu.cn/client/todo/detail?guid=1303bb57-6ddf-45ff-9c04-8b5bba334cce&amp;suite_entity_num=t100332", "技能与键位：{Q/E}对应主武器、{G}对应其他功能（主动技能，由智脑提供）")</f>
        <v>技能与键位：{Q/E}对应主武器、{G}对应其他功能（主动技能，由智脑提供）</v>
      </c>
      <c r="B165"/>
      <c r="C165" t="inlineStr">
        <is>
          <t>默认分组</t>
        </is>
      </c>
      <c r="D165" t="inlineStr">
        <is>
          <t>1</t>
        </is>
      </c>
      <c r="E165" t="inlineStr">
        <is>
          <t>或签任务</t>
        </is>
      </c>
      <c r="F165"/>
      <c r="G165" t="inlineStr">
        <is>
          <t>0</t>
        </is>
      </c>
      <c r="H165"/>
      <c r="I165" t="inlineStr">
        <is>
          <t>Decay</t>
        </is>
      </c>
      <c r="J165" t="inlineStr">
        <is>
          <t>龚政涛,Decay</t>
        </is>
      </c>
      <c r="K165" t="inlineStr">
        <is>
          <t>龚政涛</t>
        </is>
      </c>
      <c r="L165" s="3">
        <v>45635.67606481481</v>
      </c>
      <c r="M165" s="3">
        <v>45656.333333333336</v>
      </c>
      <c r="N165" s="3">
        <v>45812.47497685185</v>
      </c>
      <c r="O165" s="3">
        <v>45656.333333333336</v>
      </c>
      <c r="P165" s="3">
        <v>45868.037094907406</v>
      </c>
      <c r="Q165" s="2" t="str">
        <f>=HYPERLINK("https://applink.feishu.cn/client/todo/task_list?guid=4d92b9af-66d1-4cd7-95d1-4b753a64ca6b", "跃入迷城")</f>
        <v>跃入迷城</v>
      </c>
      <c r="R165" t="inlineStr">
        <is>
          <t>4d92b9af-66d1-4cd7-95d1-4b753a64ca6b</t>
        </is>
      </c>
      <c r="S165" t="inlineStr">
        <is>
          <t>1303bb57-6ddf-45ff-9c04-8b5bba334cce</t>
        </is>
      </c>
      <c r="T165">
        <v>0</v>
      </c>
      <c r="U165">
        <v>2</v>
      </c>
      <c r="V165" t="inlineStr">
        <is>
          <t>0.0.5</t>
        </is>
      </c>
      <c r="W165" t="inlineStr">
        <is>
          <t>已完成</t>
        </is>
      </c>
      <c r="X165" t="inlineStr">
        <is>
          <t>🎮玩法</t>
        </is>
      </c>
      <c r="Y165" t="inlineStr">
        <is>
          <t>操作</t>
        </is>
      </c>
      <c r="Z165" t="inlineStr">
        <is>
          <t>P1 - Bigger the Better</t>
        </is>
      </c>
      <c r="AA165"/>
      <c r="AB165" t="inlineStr">
        <is>
          <t>7270cdcf-b587-4492-8f70-36d02cc7332d</t>
        </is>
      </c>
      <c r="AC165"/>
      <c r="AD165" t="inlineStr">
        <is>
          <t>NzUzMjAzNDQ5ODk2NDY2ODQ0NDoxMzAzYmI1Ny02ZGRmLTQ1ZmYtOWMwNC04YjViYmEzMzRjY2U6ZmNkNWNiNGVmYTdmMDg0ZDIxZGE3MjkxNmUzOTI1OWI6MQ==</t>
        </is>
      </c>
      <c r="AE165"/>
    </row>
    <row r="166" ht="25.5" customHeight="1">
      <c r="A166" s="2" t="str">
        <f>=HYPERLINK("https://applink.feishu.cn/client/todo/detail?guid=2aceaca3-d316-49fc-a123-b7f2a8837c77&amp;suite_entity_num=t100348", "需要一个TASK，判断移动并执行开门动作")</f>
        <v>需要一个TASK，判断移动并执行开门动作</v>
      </c>
      <c r="B166"/>
      <c r="C166" t="inlineStr">
        <is>
          <t>默认分组</t>
        </is>
      </c>
      <c r="D166" t="inlineStr">
        <is>
          <t>1</t>
        </is>
      </c>
      <c r="E166" t="inlineStr">
        <is>
          <t>或签任务</t>
        </is>
      </c>
      <c r="F166"/>
      <c r="G166" t="inlineStr">
        <is>
          <t>0</t>
        </is>
      </c>
      <c r="H166"/>
      <c r="I166" t="inlineStr">
        <is>
          <t>李少秋</t>
        </is>
      </c>
      <c r="J166" t="inlineStr">
        <is>
          <t>李少秋,龚政涛</t>
        </is>
      </c>
      <c r="K166" t="inlineStr">
        <is>
          <t>龚政涛</t>
        </is>
      </c>
      <c r="L166" s="3">
        <v>45637.68177083333</v>
      </c>
      <c r="M166" s="3"/>
      <c r="N166" s="3">
        <v>45639.5747337963</v>
      </c>
      <c r="O166" s="3"/>
      <c r="P166" s="3">
        <v>45727.47353009259</v>
      </c>
      <c r="Q166" s="2" t="str">
        <f>=HYPERLINK("https://applink.feishu.cn/client/todo/task_list?guid=4d92b9af-66d1-4cd7-95d1-4b753a64ca6b", "跃入迷城")</f>
        <v>跃入迷城</v>
      </c>
      <c r="R166" t="inlineStr">
        <is>
          <t>4d92b9af-66d1-4cd7-95d1-4b753a64ca6b</t>
        </is>
      </c>
      <c r="S166" t="inlineStr">
        <is>
          <t>2aceaca3-d316-49fc-a123-b7f2a8837c77</t>
        </is>
      </c>
      <c r="T166">
        <v>0</v>
      </c>
      <c r="U166">
        <v>0</v>
      </c>
      <c r="V166" t="inlineStr">
        <is>
          <t>0.0.3</t>
        </is>
      </c>
      <c r="W166" t="inlineStr">
        <is>
          <t>已完成</t>
        </is>
      </c>
      <c r="X166"/>
      <c r="Y166" t="inlineStr">
        <is>
          <t>AI</t>
        </is>
      </c>
      <c r="Z166" t="inlineStr">
        <is>
          <t>P0 - Must (not) Have</t>
        </is>
      </c>
      <c r="AA166"/>
      <c r="AB166"/>
      <c r="AC166"/>
      <c r="AD166" t="inlineStr">
        <is>
          <t>NzUzMjAzNDQ5ODk2NDY2ODQ0NDoyYWNlYWNhMy1kMzE2LTQ5ZmMtYTEyMy1iN2YyYTg4MzdjNzc6Yjk0YTAwNDk1ZDU1NzZjNGNkZmQxOTVhZWNiZjg1NDE6MQ==</t>
        </is>
      </c>
      <c r="AE166"/>
    </row>
    <row r="167" ht="25.5" customHeight="1">
      <c r="A167" s="2" t="str">
        <f>=HYPERLINK("https://applink.feishu.cn/client/todo/detail?guid=a88c8c2f-6b64-46e5-a052-202df4d893dc&amp;suite_entity_num=t100335", "制作武器技能：麻痹射击")</f>
        <v>制作武器技能：麻痹射击</v>
      </c>
      <c r="B167"/>
      <c r="C167" t="inlineStr">
        <is>
          <t>默认分组</t>
        </is>
      </c>
      <c r="D167" t="inlineStr">
        <is>
          <t>1</t>
        </is>
      </c>
      <c r="E167" t="inlineStr">
        <is>
          <t>或签任务</t>
        </is>
      </c>
      <c r="F167"/>
      <c r="G167" t="inlineStr">
        <is>
          <t>0</t>
        </is>
      </c>
      <c r="H167"/>
      <c r="I167" t="inlineStr">
        <is>
          <t>Decay</t>
        </is>
      </c>
      <c r="J167" t="inlineStr">
        <is>
          <t>龚政涛,Decay</t>
        </is>
      </c>
      <c r="K167" t="inlineStr">
        <is>
          <t>龚政涛</t>
        </is>
      </c>
      <c r="L167" s="3">
        <v>45636.71221064815</v>
      </c>
      <c r="M167" s="3">
        <v>45647.333333333336</v>
      </c>
      <c r="N167" s="3">
        <v>45664.673263888886</v>
      </c>
      <c r="O167" s="3">
        <v>45647.333333333336</v>
      </c>
      <c r="P167" s="3">
        <v>45664.67329861111</v>
      </c>
      <c r="Q167" s="2" t="str">
        <f>=HYPERLINK("https://applink.feishu.cn/client/todo/task_list?guid=4d92b9af-66d1-4cd7-95d1-4b753a64ca6b", "跃入迷城")</f>
        <v>跃入迷城</v>
      </c>
      <c r="R167" t="inlineStr">
        <is>
          <t>4d92b9af-66d1-4cd7-95d1-4b753a64ca6b</t>
        </is>
      </c>
      <c r="S167" t="inlineStr">
        <is>
          <t>a88c8c2f-6b64-46e5-a052-202df4d893dc</t>
        </is>
      </c>
      <c r="T167">
        <v>0</v>
      </c>
      <c r="U167">
        <v>2</v>
      </c>
      <c r="V167" t="inlineStr">
        <is>
          <t>0.0.3</t>
        </is>
      </c>
      <c r="W167" t="inlineStr">
        <is>
          <t>已完成</t>
        </is>
      </c>
      <c r="X167"/>
      <c r="Y167" t="inlineStr">
        <is>
          <t>装备</t>
        </is>
      </c>
      <c r="Z167"/>
      <c r="AA167"/>
      <c r="AB167"/>
      <c r="AC167"/>
      <c r="AD167" t="inlineStr">
        <is>
          <t>NzUzMjAzNDQ5ODk2NDY2ODQ0NDphODhjOGMyZi02YjY0LTQ2ZTUtYTA1Mi0yMDJkZjRkODkzZGM6OWMxOGQ0ZTQwZjVkNDUxYzhjMTdjNDJlZDRkYzZkNTQ6MQ==</t>
        </is>
      </c>
      <c r="AE167"/>
    </row>
    <row r="168" ht="25.5" customHeight="1">
      <c r="A168" s="2" t="str">
        <f>=HYPERLINK("https://applink.feishu.cn/client/todo/detail?guid=f9b80afb-db3e-44f8-86f5-7bea4bbfd769&amp;suite_entity_num=t100345", "简化打印机UI并更新")</f>
        <v>简化打印机UI并更新</v>
      </c>
      <c r="B168"/>
      <c r="C168" t="inlineStr">
        <is>
          <t>默认分组</t>
        </is>
      </c>
      <c r="D168" t="inlineStr">
        <is>
          <t>1</t>
        </is>
      </c>
      <c r="E168" t="inlineStr">
        <is>
          <t>或签任务</t>
        </is>
      </c>
      <c r="F168"/>
      <c r="G168" t="inlineStr">
        <is>
          <t>0</t>
        </is>
      </c>
      <c r="H168"/>
      <c r="I168" t="inlineStr">
        <is>
          <t>龚政涛,Decay</t>
        </is>
      </c>
      <c r="J168" t="inlineStr">
        <is>
          <t>龚政涛,Decay</t>
        </is>
      </c>
      <c r="K168" t="inlineStr">
        <is>
          <t>龚政涛</t>
        </is>
      </c>
      <c r="L168" s="3">
        <v>45637.6105787037</v>
      </c>
      <c r="M168" s="3">
        <v>45656.333333333336</v>
      </c>
      <c r="N168" s="3">
        <v>45719.56721064815</v>
      </c>
      <c r="O168" s="3">
        <v>45656.333333333336</v>
      </c>
      <c r="P168" s="3">
        <v>45719.56722222222</v>
      </c>
      <c r="Q168" s="2" t="str">
        <f>=HYPERLINK("https://applink.feishu.cn/client/todo/task_list?guid=4d92b9af-66d1-4cd7-95d1-4b753a64ca6b", "跃入迷城")</f>
        <v>跃入迷城</v>
      </c>
      <c r="R168" t="inlineStr">
        <is>
          <t>4d92b9af-66d1-4cd7-95d1-4b753a64ca6b</t>
        </is>
      </c>
      <c r="S168" t="inlineStr">
        <is>
          <t>f9b80afb-db3e-44f8-86f5-7bea4bbfd769</t>
        </is>
      </c>
      <c r="T168">
        <v>0</v>
      </c>
      <c r="U168">
        <v>1</v>
      </c>
      <c r="V168" t="inlineStr">
        <is>
          <t>0.0.3</t>
        </is>
      </c>
      <c r="W168" t="inlineStr">
        <is>
          <t>已废弃</t>
        </is>
      </c>
      <c r="X168"/>
      <c r="Y168" t="inlineStr">
        <is>
          <t>装备</t>
        </is>
      </c>
      <c r="Z168"/>
      <c r="AA168"/>
      <c r="AB168"/>
      <c r="AC168"/>
      <c r="AD168" t="inlineStr">
        <is>
          <t>NzUzMjAzNDQ5ODk2NDY2ODQ0NDpmOWI4MGFmYi1kYjNlLTQ0ZjgtODZmNS03YmVhNGJiZmQ3Njk6OTg5NTJjOGM1MWY1ZWVmOWFmNTY2OWQ1OThkZDQwMDY6MQ==</t>
        </is>
      </c>
      <c r="AE168"/>
    </row>
    <row r="169" ht="25.5" customHeight="1">
      <c r="A169" s="2" t="str">
        <f>=HYPERLINK("https://applink.feishu.cn/client/todo/detail?guid=7270cdcf-b587-4492-8f70-36d02cc7332d&amp;suite_entity_num=t100317", "调整武器打印机，每次奖励只给1个武器")</f>
        <v>调整武器打印机，每次奖励只给1个武器</v>
      </c>
      <c r="B169"/>
      <c r="C169" t="inlineStr">
        <is>
          <t>默认分组</t>
        </is>
      </c>
      <c r="D169" t="inlineStr">
        <is>
          <t>1</t>
        </is>
      </c>
      <c r="E169" t="inlineStr">
        <is>
          <t>或签任务</t>
        </is>
      </c>
      <c r="F169"/>
      <c r="G169" t="inlineStr">
        <is>
          <t>0</t>
        </is>
      </c>
      <c r="H169"/>
      <c r="I169" t="inlineStr">
        <is>
          <t>Decay</t>
        </is>
      </c>
      <c r="J169" t="inlineStr">
        <is>
          <t>龚政涛,Decay,苏祺恒,Zoey</t>
        </is>
      </c>
      <c r="K169" t="inlineStr">
        <is>
          <t>龚政涛</t>
        </is>
      </c>
      <c r="L169" s="3">
        <v>45631.72515046296</v>
      </c>
      <c r="M169" s="3">
        <v>45657.333333333336</v>
      </c>
      <c r="N169" s="3">
        <v>45666.76013888889</v>
      </c>
      <c r="O169" s="3">
        <v>45657.333333333336</v>
      </c>
      <c r="P169" s="3">
        <v>45672.989016203705</v>
      </c>
      <c r="Q169" s="2" t="str">
        <f>=HYPERLINK("https://applink.feishu.cn/client/todo/task_list?guid=4d92b9af-66d1-4cd7-95d1-4b753a64ca6b", "跃入迷城")</f>
        <v>跃入迷城</v>
      </c>
      <c r="R169" t="inlineStr">
        <is>
          <t>4d92b9af-66d1-4cd7-95d1-4b753a64ca6b</t>
        </is>
      </c>
      <c r="S169" t="inlineStr">
        <is>
          <t>7270cdcf-b587-4492-8f70-36d02cc7332d</t>
        </is>
      </c>
      <c r="T169">
        <v>0</v>
      </c>
      <c r="U169">
        <v>1</v>
      </c>
      <c r="V169" t="inlineStr">
        <is>
          <t>0.0.3</t>
        </is>
      </c>
      <c r="W169" t="inlineStr">
        <is>
          <t>已完成</t>
        </is>
      </c>
      <c r="X169"/>
      <c r="Y169" t="inlineStr">
        <is>
          <t>装备</t>
        </is>
      </c>
      <c r="Z169"/>
      <c r="AA169" t="inlineStr">
        <is>
          <t>1303bb57-6ddf-45ff-9c04-8b5bba334cce</t>
        </is>
      </c>
      <c r="AB169"/>
      <c r="AC169"/>
      <c r="AD169" t="inlineStr">
        <is>
          <t>NzUzMjAzNDQ5ODk2NDY2ODQ0NDo3MjcwY2RjZi1iNTg3LTQ0OTItOGY3MC0zNmQwMmNjNzMzMmQ6OGJhMzhjNDllODE1OTI5YjFlM2ExMDU2NmVjODJhNTc6MQ==</t>
        </is>
      </c>
      <c r="AE169"/>
    </row>
    <row r="170" ht="25.5" customHeight="1">
      <c r="A170" s="2" t="str">
        <f>=HYPERLINK("https://applink.feishu.cn/client/todo/detail?guid=b7145d11-a426-485c-831c-277999644545&amp;suite_entity_num=t100334", "换弹期间翻滚时，换弹的进度应该继续保留")</f>
        <v>换弹期间翻滚时，换弹的进度应该继续保留</v>
      </c>
      <c r="B170"/>
      <c r="C170" t="inlineStr">
        <is>
          <t>默认分组</t>
        </is>
      </c>
      <c r="D170" t="inlineStr">
        <is>
          <t>1</t>
        </is>
      </c>
      <c r="E170" t="inlineStr">
        <is>
          <t>或签任务</t>
        </is>
      </c>
      <c r="F170"/>
      <c r="G170" t="inlineStr">
        <is>
          <t>0</t>
        </is>
      </c>
      <c r="H170"/>
      <c r="I170" t="inlineStr">
        <is>
          <t>Decay</t>
        </is>
      </c>
      <c r="J170" t="inlineStr">
        <is>
          <t>龚政涛,Decay</t>
        </is>
      </c>
      <c r="K170" t="inlineStr">
        <is>
          <t>龚政涛</t>
        </is>
      </c>
      <c r="L170" s="3">
        <v>45636.711805555555</v>
      </c>
      <c r="M170" s="3">
        <v>45638.333333333336</v>
      </c>
      <c r="N170" s="3">
        <v>45649.4741087963</v>
      </c>
      <c r="O170" s="3">
        <v>45638.333333333336</v>
      </c>
      <c r="P170" s="3">
        <v>45649.4741087963</v>
      </c>
      <c r="Q170" s="2" t="str">
        <f>=HYPERLINK("https://applink.feishu.cn/client/todo/task_list?guid=4d92b9af-66d1-4cd7-95d1-4b753a64ca6b", "跃入迷城")</f>
        <v>跃入迷城</v>
      </c>
      <c r="R170" t="inlineStr">
        <is>
          <t>4d92b9af-66d1-4cd7-95d1-4b753a64ca6b</t>
        </is>
      </c>
      <c r="S170" t="inlineStr">
        <is>
          <t>b7145d11-a426-485c-831c-277999644545</t>
        </is>
      </c>
      <c r="T170">
        <v>0</v>
      </c>
      <c r="U170">
        <v>0</v>
      </c>
      <c r="V170" t="inlineStr">
        <is>
          <t>0.0.3</t>
        </is>
      </c>
      <c r="W170" t="inlineStr">
        <is>
          <t>已完成</t>
        </is>
      </c>
      <c r="X170"/>
      <c r="Y170" t="inlineStr">
        <is>
          <t>装备</t>
        </is>
      </c>
      <c r="Z170"/>
      <c r="AA170"/>
      <c r="AB170"/>
      <c r="AC170"/>
      <c r="AD170" t="inlineStr">
        <is>
          <t>NzUzMjAzNDQ5ODk2NDY2ODQ0NDpiNzE0NWQxMS1hNDI2LTQ4NWMtODMxYy0yNzc5OTk2NDQ1NDU6ZjNlYjlmODZhMWU5NWNmNWU1NDI5MGJiMTkyYTRjOTI6MQ==</t>
        </is>
      </c>
      <c r="AE170"/>
    </row>
    <row r="171" ht="25.5" customHeight="1">
      <c r="A171" s="2" t="str">
        <f>=HYPERLINK("https://applink.feishu.cn/client/todo/detail?guid=8bb5f932-ebbd-4498-8995-3e142b1551a2&amp;suite_entity_num=t100315", "追加能量条，用于释放技能，不会自动回复")</f>
        <v>追加能量条，用于释放技能，不会自动回复</v>
      </c>
      <c r="B171"/>
      <c r="C171" t="inlineStr">
        <is>
          <t>默认分组</t>
        </is>
      </c>
      <c r="D171" t="inlineStr">
        <is>
          <t>0</t>
        </is>
      </c>
      <c r="E171" t="inlineStr">
        <is>
          <t>或签任务</t>
        </is>
      </c>
      <c r="F171"/>
      <c r="G171" t="inlineStr">
        <is>
          <t>0</t>
        </is>
      </c>
      <c r="H171"/>
      <c r="I171" t="inlineStr">
        <is>
          <t>Decay</t>
        </is>
      </c>
      <c r="J171" t="inlineStr">
        <is>
          <t>龚政涛,Decay</t>
        </is>
      </c>
      <c r="K171" t="inlineStr">
        <is>
          <t>龚政涛</t>
        </is>
      </c>
      <c r="L171" s="3">
        <v>45631.72478009259</v>
      </c>
      <c r="M171" s="3"/>
      <c r="N171" s="3"/>
      <c r="O171" s="3"/>
      <c r="P171" s="3">
        <v>45890.47834490741</v>
      </c>
      <c r="Q171" s="2" t="str">
        <f>=HYPERLINK("https://applink.feishu.cn/client/todo/task_list?guid=4d92b9af-66d1-4cd7-95d1-4b753a64ca6b", "跃入迷城")</f>
        <v>跃入迷城</v>
      </c>
      <c r="R171" t="inlineStr">
        <is>
          <t>4d92b9af-66d1-4cd7-95d1-4b753a64ca6b</t>
        </is>
      </c>
      <c r="S171" t="inlineStr">
        <is>
          <t>8bb5f932-ebbd-4498-8995-3e142b1551a2</t>
        </is>
      </c>
      <c r="T171">
        <v>0</v>
      </c>
      <c r="U171">
        <v>0</v>
      </c>
      <c r="V171" t="inlineStr">
        <is>
          <t>0.1.0</t>
        </is>
      </c>
      <c r="W171"/>
      <c r="X171"/>
      <c r="Y171" t="inlineStr">
        <is>
          <t>装备</t>
        </is>
      </c>
      <c r="Z171" t="inlineStr">
        <is>
          <t>P2 - Nice to Have</t>
        </is>
      </c>
      <c r="AA171"/>
      <c r="AB171"/>
      <c r="AC171"/>
      <c r="AD171" t="inlineStr">
        <is>
          <t>NzUzMjAzNDQ5ODk2NDY2ODQ0NDo4YmI1ZjkzMi1lYmJkLTQ0OTgtODk5NS0zZTE0MmIxNTUxYTI6MjRiZmY4ODk0NjM1M2M1MTA4MzU3MjZhMTMzZDVmYTI6MQ==</t>
        </is>
      </c>
      <c r="AE171"/>
    </row>
    <row r="172" ht="25.5" customHeight="1">
      <c r="A172" s="2" t="str">
        <f>=HYPERLINK("https://applink.feishu.cn/client/todo/detail?guid=0fc7d16c-c75a-49ce-949d-b220185488a7&amp;suite_entity_num=t100365", "慢速移动追踪+攻击")</f>
        <v>慢速移动追踪+攻击</v>
      </c>
      <c r="B172"/>
      <c r="C172" t="inlineStr">
        <is>
          <t>默认分组</t>
        </is>
      </c>
      <c r="D172" t="inlineStr">
        <is>
          <t>1</t>
        </is>
      </c>
      <c r="E172" t="inlineStr">
        <is>
          <t>或签任务</t>
        </is>
      </c>
      <c r="F172"/>
      <c r="G172" t="inlineStr">
        <is>
          <t>0</t>
        </is>
      </c>
      <c r="H172"/>
      <c r="I172" t="inlineStr">
        <is>
          <t>李少秋</t>
        </is>
      </c>
      <c r="J172" t="inlineStr">
        <is>
          <t>龚政涛,李少秋</t>
        </is>
      </c>
      <c r="K172" t="inlineStr">
        <is>
          <t>龚政涛</t>
        </is>
      </c>
      <c r="L172" s="3">
        <v>45649.47143518519</v>
      </c>
      <c r="M172" s="3">
        <v>45651.333333333336</v>
      </c>
      <c r="N172" s="3">
        <v>45673.51354166667</v>
      </c>
      <c r="O172" s="3">
        <v>45651.333333333336</v>
      </c>
      <c r="P172" s="3">
        <v>45673.513553240744</v>
      </c>
      <c r="Q172" s="2" t="str">
        <f>=HYPERLINK("https://applink.feishu.cn/client/todo/task_list?guid=4d92b9af-66d1-4cd7-95d1-4b753a64ca6b", "跃入迷城")</f>
        <v>跃入迷城</v>
      </c>
      <c r="R172" t="inlineStr">
        <is>
          <t>4d92b9af-66d1-4cd7-95d1-4b753a64ca6b</t>
        </is>
      </c>
      <c r="S172" t="inlineStr">
        <is>
          <t>0fc7d16c-c75a-49ce-949d-b220185488a7</t>
        </is>
      </c>
      <c r="T172">
        <v>0</v>
      </c>
      <c r="U172">
        <v>0</v>
      </c>
      <c r="V172" t="inlineStr">
        <is>
          <t>0.0.4</t>
        </is>
      </c>
      <c r="W172" t="inlineStr">
        <is>
          <t>已完成</t>
        </is>
      </c>
      <c r="X172"/>
      <c r="Y172" t="inlineStr">
        <is>
          <t>AI</t>
        </is>
      </c>
      <c r="Z172"/>
      <c r="AA172"/>
      <c r="AB172"/>
      <c r="AC172"/>
      <c r="AD172" t="inlineStr">
        <is>
          <t>NzUzMjAzNDQ5ODk2NDY2ODQ0NDowZmM3ZDE2Yy1jNzVhLTQ5Y2UtOTQ5ZC1iMjIwMTg1NDg4YTc6YjFjMzg5YzlkNTRkMGY4MzhhNzliMmE4OGEwOTBkOWQ6MQ==</t>
        </is>
      </c>
      <c r="AE172"/>
    </row>
    <row r="173" ht="25.5" customHeight="1">
      <c r="A173" s="2" t="str">
        <f>=HYPERLINK("https://applink.feishu.cn/client/todo/detail?guid=b52cdd8f-abfe-49bd-b129-4fbc5786a5b9&amp;suite_entity_num=t100367", "技能释放方式：瞬发")</f>
        <v>技能释放方式：瞬发</v>
      </c>
      <c r="B173"/>
      <c r="C173" t="inlineStr">
        <is>
          <t>默认分组</t>
        </is>
      </c>
      <c r="D173" t="inlineStr">
        <is>
          <t>1</t>
        </is>
      </c>
      <c r="E173" t="inlineStr">
        <is>
          <t>或签任务</t>
        </is>
      </c>
      <c r="F173"/>
      <c r="G173" t="inlineStr">
        <is>
          <t>0</t>
        </is>
      </c>
      <c r="H173"/>
      <c r="I173" t="inlineStr">
        <is>
          <t>Decay</t>
        </is>
      </c>
      <c r="J173" t="inlineStr">
        <is>
          <t>龚政涛,Decay</t>
        </is>
      </c>
      <c r="K173" t="inlineStr">
        <is>
          <t>龚政涛</t>
        </is>
      </c>
      <c r="L173" s="3">
        <v>45649.47226851852</v>
      </c>
      <c r="M173" s="3"/>
      <c r="N173" s="3">
        <v>45666.4703125</v>
      </c>
      <c r="O173" s="3"/>
      <c r="P173" s="3">
        <v>45666.4703125</v>
      </c>
      <c r="Q173" s="2" t="str">
        <f>=HYPERLINK("https://applink.feishu.cn/client/todo/task_list?guid=4d92b9af-66d1-4cd7-95d1-4b753a64ca6b", "跃入迷城")</f>
        <v>跃入迷城</v>
      </c>
      <c r="R173" t="inlineStr">
        <is>
          <t>4d92b9af-66d1-4cd7-95d1-4b753a64ca6b</t>
        </is>
      </c>
      <c r="S173" t="inlineStr">
        <is>
          <t>b52cdd8f-abfe-49bd-b129-4fbc5786a5b9</t>
        </is>
      </c>
      <c r="T173">
        <v>0</v>
      </c>
      <c r="U173">
        <v>3</v>
      </c>
      <c r="V173" t="inlineStr">
        <is>
          <t>0.0.4</t>
        </is>
      </c>
      <c r="W173" t="inlineStr">
        <is>
          <t>已完成</t>
        </is>
      </c>
      <c r="X173"/>
      <c r="Y173" t="inlineStr">
        <is>
          <t>技能</t>
        </is>
      </c>
      <c r="Z173"/>
      <c r="AA173"/>
      <c r="AB173"/>
      <c r="AC173"/>
      <c r="AD173" t="inlineStr">
        <is>
          <t>NzUzMjAzNDQ5ODk2NDY2ODQ0NDpiNTJjZGQ4Zi1hYmZlLTQ5YmQtYjEyOS00ZmJjNTc4NmE1Yjk6OTFlZGU5NjYyZDIyODQwYjg5MjA1ZDBiY2I5YmU1N2E6MQ==</t>
        </is>
      </c>
      <c r="AE173"/>
    </row>
    <row r="174" ht="25.5" customHeight="1">
      <c r="A174" s="2" t="str">
        <f>=HYPERLINK("https://applink.feishu.cn/client/todo/detail?guid=63c4acfc-0417-4a10-bd89-8ca1870e4cc0&amp;suite_entity_num=t100375", "v0.0.4 - 迭代开始")</f>
        <v>v0.0.4 - 迭代开始</v>
      </c>
      <c r="B174"/>
      <c r="C174" t="inlineStr">
        <is>
          <t>默认分组</t>
        </is>
      </c>
      <c r="D174" t="inlineStr">
        <is>
          <t>1</t>
        </is>
      </c>
      <c r="E174" t="inlineStr">
        <is>
          <t>或签任务</t>
        </is>
      </c>
      <c r="F174"/>
      <c r="G174" t="inlineStr">
        <is>
          <t>1</t>
        </is>
      </c>
      <c r="H174"/>
      <c r="I174" t="inlineStr">
        <is>
          <t>龚政涛</t>
        </is>
      </c>
      <c r="J174" t="inlineStr">
        <is>
          <t>龚政涛</t>
        </is>
      </c>
      <c r="K174" t="inlineStr">
        <is>
          <t>龚政涛</t>
        </is>
      </c>
      <c r="L174" s="3">
        <v>45650.522673611114</v>
      </c>
      <c r="M174" s="3">
        <v>45656.333333333336</v>
      </c>
      <c r="N174" s="3">
        <v>45691.671261574076</v>
      </c>
      <c r="O174" s="3">
        <v>45656.333333333336</v>
      </c>
      <c r="P174" s="3">
        <v>45691.671261574076</v>
      </c>
      <c r="Q174" s="2" t="str">
        <f>=HYPERLINK("https://applink.feishu.cn/client/todo/task_list?guid=4d92b9af-66d1-4cd7-95d1-4b753a64ca6b", "跃入迷城")</f>
        <v>跃入迷城</v>
      </c>
      <c r="R174" t="inlineStr">
        <is>
          <t>4d92b9af-66d1-4cd7-95d1-4b753a64ca6b</t>
        </is>
      </c>
      <c r="S174" t="inlineStr">
        <is>
          <t>63c4acfc-0417-4a10-bd89-8ca1870e4cc0</t>
        </is>
      </c>
      <c r="T174">
        <v>0</v>
      </c>
      <c r="U174">
        <v>0</v>
      </c>
      <c r="V174" t="inlineStr">
        <is>
          <t>0.0.4</t>
        </is>
      </c>
      <c r="W174" t="inlineStr">
        <is>
          <t>工作中</t>
        </is>
      </c>
      <c r="X174"/>
      <c r="Y174" t="inlineStr">
        <is>
          <t>项目管理</t>
        </is>
      </c>
      <c r="Z174"/>
      <c r="AA174"/>
      <c r="AB174"/>
      <c r="AC174"/>
      <c r="AD174" t="inlineStr">
        <is>
          <t>NzUzMjAzNDQ5ODk2NDY2ODQ0NDo2M2M0YWNmYy0wNDE3LTRhMTAtYmQ4OS04Y2ExODcwZTRjYzA6MjllNmM3ZDkzODYyZGM2N2ZjMWQ2YWMxMTlkZDQ5MmQ6MQ==</t>
        </is>
      </c>
      <c r="AE174"/>
    </row>
    <row r="175" ht="25.5" customHeight="1">
      <c r="A175" s="2" t="str">
        <f>=HYPERLINK("https://applink.feishu.cn/client/todo/detail?guid=7a64a8d8-e05d-49e0-9727-760caabdbc0a&amp;suite_entity_num=t100370", "技能释放方式：瞄准")</f>
        <v>技能释放方式：瞄准</v>
      </c>
      <c r="B175"/>
      <c r="C175" t="inlineStr">
        <is>
          <t>默认分组</t>
        </is>
      </c>
      <c r="D175" t="inlineStr">
        <is>
          <t>1</t>
        </is>
      </c>
      <c r="E175" t="inlineStr">
        <is>
          <t>或签任务</t>
        </is>
      </c>
      <c r="F175"/>
      <c r="G175" t="inlineStr">
        <is>
          <t>0</t>
        </is>
      </c>
      <c r="H175"/>
      <c r="I175" t="inlineStr">
        <is>
          <t>Decay</t>
        </is>
      </c>
      <c r="J175" t="inlineStr">
        <is>
          <t>龚政涛,Decay</t>
        </is>
      </c>
      <c r="K175" t="inlineStr">
        <is>
          <t>龚政涛</t>
        </is>
      </c>
      <c r="L175" s="3">
        <v>45649.47247685185</v>
      </c>
      <c r="M175" s="3"/>
      <c r="N175" s="3">
        <v>45666.46753472222</v>
      </c>
      <c r="O175" s="3"/>
      <c r="P175" s="3">
        <v>45666.4675462963</v>
      </c>
      <c r="Q175" s="2" t="str">
        <f>=HYPERLINK("https://applink.feishu.cn/client/todo/task_list?guid=4d92b9af-66d1-4cd7-95d1-4b753a64ca6b", "跃入迷城")</f>
        <v>跃入迷城</v>
      </c>
      <c r="R175" t="inlineStr">
        <is>
          <t>4d92b9af-66d1-4cd7-95d1-4b753a64ca6b</t>
        </is>
      </c>
      <c r="S175" t="inlineStr">
        <is>
          <t>7a64a8d8-e05d-49e0-9727-760caabdbc0a</t>
        </is>
      </c>
      <c r="T175">
        <v>0</v>
      </c>
      <c r="U175">
        <v>2</v>
      </c>
      <c r="V175" t="inlineStr">
        <is>
          <t>0.0.4</t>
        </is>
      </c>
      <c r="W175" t="inlineStr">
        <is>
          <t>已完成</t>
        </is>
      </c>
      <c r="X175"/>
      <c r="Y175" t="inlineStr">
        <is>
          <t>技能</t>
        </is>
      </c>
      <c r="Z175"/>
      <c r="AA175"/>
      <c r="AB175"/>
      <c r="AC175"/>
      <c r="AD175" t="inlineStr">
        <is>
          <t>NzUzMjAzNDQ5ODk2NDY2ODQ0NDo3YTY0YThkOC1lMDVkLTQ5ZTAtOTcyNy03NjBjYWFiZGJjMGE6ZjcwZmZjY2Q2MDg3ZjRjMDEzZTZlMmY2ZGZmZDZkNmY6MQ==</t>
        </is>
      </c>
      <c r="AE175"/>
    </row>
    <row r="176" ht="25.5" customHeight="1">
      <c r="A176" s="2" t="str">
        <f>=HYPERLINK("https://applink.feishu.cn/client/todo/detail?guid=7b2e0e15-cd69-438f-8d02-61170e8f1aa4&amp;suite_entity_num=t100363", "武器技能配置到Spell后，随机生成一个给实际获取到的武器")</f>
        <v>武器技能配置到Spell后，随机生成一个给实际获取到的武器</v>
      </c>
      <c r="B176"/>
      <c r="C176" t="inlineStr">
        <is>
          <t>默认分组</t>
        </is>
      </c>
      <c r="D176" t="inlineStr">
        <is>
          <t>1</t>
        </is>
      </c>
      <c r="E176" t="inlineStr">
        <is>
          <t>或签任务</t>
        </is>
      </c>
      <c r="F176"/>
      <c r="G176" t="inlineStr">
        <is>
          <t>0</t>
        </is>
      </c>
      <c r="H176"/>
      <c r="I176" t="inlineStr">
        <is>
          <t>Decay</t>
        </is>
      </c>
      <c r="J176" t="inlineStr">
        <is>
          <t>Decay,龚政涛</t>
        </is>
      </c>
      <c r="K176" t="inlineStr">
        <is>
          <t>龚政涛</t>
        </is>
      </c>
      <c r="L176" s="3">
        <v>45649.4174537037</v>
      </c>
      <c r="M176" s="3">
        <v>45656.333333333336</v>
      </c>
      <c r="N176" s="3">
        <v>45721.819386574076</v>
      </c>
      <c r="O176" s="3">
        <v>45656.333333333336</v>
      </c>
      <c r="P176" s="3">
        <v>45721.819375</v>
      </c>
      <c r="Q176" s="2" t="str">
        <f>=HYPERLINK("https://applink.feishu.cn/client/todo/task_list?guid=4d92b9af-66d1-4cd7-95d1-4b753a64ca6b", "跃入迷城")</f>
        <v>跃入迷城</v>
      </c>
      <c r="R176" t="inlineStr">
        <is>
          <t>4d92b9af-66d1-4cd7-95d1-4b753a64ca6b</t>
        </is>
      </c>
      <c r="S176" t="inlineStr">
        <is>
          <t>7b2e0e15-cd69-438f-8d02-61170e8f1aa4</t>
        </is>
      </c>
      <c r="T176">
        <v>0</v>
      </c>
      <c r="U176">
        <v>1</v>
      </c>
      <c r="V176" t="inlineStr">
        <is>
          <t>0.0.4</t>
        </is>
      </c>
      <c r="W176" t="inlineStr">
        <is>
          <t>已完成</t>
        </is>
      </c>
      <c r="X176"/>
      <c r="Y176" t="inlineStr">
        <is>
          <t>装备</t>
        </is>
      </c>
      <c r="Z176" t="inlineStr">
        <is>
          <t>P0 - Must (not) Have</t>
        </is>
      </c>
      <c r="AA176"/>
      <c r="AB176"/>
      <c r="AC176"/>
      <c r="AD176" t="inlineStr">
        <is>
          <t>NzUzMjAzNDQ5ODk2NDY2ODQ0NDo3YjJlMGUxNS1jZDY5LTQzOGYtOGQwMi02MTE3MGU4ZjFhYTQ6OTZiY2I5MDIxM2Q0MDU1YzhmOWExZGVkMDA0NjhiMDQ6MQ==</t>
        </is>
      </c>
      <c r="AE176"/>
    </row>
    <row r="177" ht="25.5" customHeight="1">
      <c r="A177" s="2" t="str">
        <f>=HYPERLINK("https://applink.feishu.cn/client/todo/detail?guid=82bf0c5a-385c-4d00-b473-5d81fcb1e22a&amp;suite_entity_num=t100377", "玩家改为激光瞄准")</f>
        <v>玩家改为激光瞄准</v>
      </c>
      <c r="B177"/>
      <c r="C177" t="inlineStr">
        <is>
          <t>默认分组</t>
        </is>
      </c>
      <c r="D177" t="inlineStr">
        <is>
          <t>1</t>
        </is>
      </c>
      <c r="E177" t="inlineStr">
        <is>
          <t>或签任务</t>
        </is>
      </c>
      <c r="F177"/>
      <c r="G177" t="inlineStr">
        <is>
          <t>0</t>
        </is>
      </c>
      <c r="H177"/>
      <c r="I177" t="inlineStr">
        <is>
          <t>Decay</t>
        </is>
      </c>
      <c r="J177" t="inlineStr">
        <is>
          <t>龚政涛,Decay</t>
        </is>
      </c>
      <c r="K177" t="inlineStr">
        <is>
          <t>龚政涛</t>
        </is>
      </c>
      <c r="L177" s="3">
        <v>45651.667175925926</v>
      </c>
      <c r="M177" s="3"/>
      <c r="N177" s="3">
        <v>45673.51325231481</v>
      </c>
      <c r="O177" s="3"/>
      <c r="P177" s="3">
        <v>45673.51327546296</v>
      </c>
      <c r="Q177" s="2" t="str">
        <f>=HYPERLINK("https://applink.feishu.cn/client/todo/task_list?guid=4d92b9af-66d1-4cd7-95d1-4b753a64ca6b", "跃入迷城")</f>
        <v>跃入迷城</v>
      </c>
      <c r="R177" t="inlineStr">
        <is>
          <t>4d92b9af-66d1-4cd7-95d1-4b753a64ca6b</t>
        </is>
      </c>
      <c r="S177" t="inlineStr">
        <is>
          <t>82bf0c5a-385c-4d00-b473-5d81fcb1e22a</t>
        </is>
      </c>
      <c r="T177">
        <v>0</v>
      </c>
      <c r="U177">
        <v>0</v>
      </c>
      <c r="V177" t="inlineStr">
        <is>
          <t>0.0.4</t>
        </is>
      </c>
      <c r="W177" t="inlineStr">
        <is>
          <t>已完成</t>
        </is>
      </c>
      <c r="X177"/>
      <c r="Y177" t="inlineStr">
        <is>
          <t>操作</t>
        </is>
      </c>
      <c r="Z177"/>
      <c r="AA177"/>
      <c r="AB177"/>
      <c r="AC177"/>
      <c r="AD177" t="inlineStr">
        <is>
          <t>NzUzMjAzNDQ5ODk2NDY2ODQ0NDo4MmJmMGM1YS0zODVjLTRkMDAtYjQ3My01ZDgxZmNiMWUyMmE6ODI1ZDI1M2Y3MWE3ZWI3OGZjNmRjZTVhNzhkZTJiYjc6MQ==</t>
        </is>
      </c>
      <c r="AE177"/>
    </row>
    <row r="178" ht="25.5" customHeight="1">
      <c r="A178" s="2" t="str">
        <f>=HYPERLINK("https://applink.feishu.cn/client/todo/detail?guid=848d3a64-ddd9-45be-9dea-1e0d7248b503&amp;suite_entity_num=t100355", "挖掘工")</f>
        <v>挖掘工</v>
      </c>
      <c r="B178"/>
      <c r="C178" t="inlineStr">
        <is>
          <t>默认分组</t>
        </is>
      </c>
      <c r="D178" t="inlineStr">
        <is>
          <t>1</t>
        </is>
      </c>
      <c r="E178" t="inlineStr">
        <is>
          <t>或签任务</t>
        </is>
      </c>
      <c r="F178"/>
      <c r="G178" t="inlineStr">
        <is>
          <t>0</t>
        </is>
      </c>
      <c r="H178"/>
      <c r="I178" t="inlineStr">
        <is>
          <t>李少秋</t>
        </is>
      </c>
      <c r="J178" t="inlineStr">
        <is>
          <t>龚政涛,李少秋</t>
        </is>
      </c>
      <c r="K178" t="inlineStr">
        <is>
          <t>龚政涛</t>
        </is>
      </c>
      <c r="L178" s="3">
        <v>45648.842256944445</v>
      </c>
      <c r="M178" s="3">
        <v>45653.333333333336</v>
      </c>
      <c r="N178" s="3">
        <v>45657.30869212963</v>
      </c>
      <c r="O178" s="3">
        <v>45653.333333333336</v>
      </c>
      <c r="P178" s="3">
        <v>45733.71016203704</v>
      </c>
      <c r="Q178" s="2" t="str">
        <f>=HYPERLINK("https://applink.feishu.cn/client/todo/task_list?guid=4d92b9af-66d1-4cd7-95d1-4b753a64ca6b", "跃入迷城")</f>
        <v>跃入迷城</v>
      </c>
      <c r="R178" t="inlineStr">
        <is>
          <t>4d92b9af-66d1-4cd7-95d1-4b753a64ca6b</t>
        </is>
      </c>
      <c r="S178" t="inlineStr">
        <is>
          <t>848d3a64-ddd9-45be-9dea-1e0d7248b503</t>
        </is>
      </c>
      <c r="T178">
        <v>0</v>
      </c>
      <c r="U178">
        <v>0</v>
      </c>
      <c r="V178" t="inlineStr">
        <is>
          <t>0.0.4</t>
        </is>
      </c>
      <c r="W178" t="inlineStr">
        <is>
          <t>已完成</t>
        </is>
      </c>
      <c r="X178"/>
      <c r="Y178" t="inlineStr">
        <is>
          <t>AI</t>
        </is>
      </c>
      <c r="Z178" t="inlineStr">
        <is>
          <t>P0 - Must (not) Have</t>
        </is>
      </c>
      <c r="AA178"/>
      <c r="AB178"/>
      <c r="AC178"/>
      <c r="AD178" t="inlineStr">
        <is>
          <t>NzUzMjAzNDQ5ODk2NDY2ODQ0NDo4NDhkM2E2NC1kZGQ5LTQ1YmUtOWRlYS0xZTBkNzI0OGI1MDM6OWY2NTI4NTM2ZWE2Yzg2MmMyNjk5OTM5NWRjZDYzZGQ6MQ==</t>
        </is>
      </c>
      <c r="AE178"/>
    </row>
    <row r="179" ht="25.5" customHeight="1">
      <c r="A179" s="2" t="str">
        <f>=HYPERLINK("https://applink.feishu.cn/client/todo/detail?guid=a0d5820e-aa8b-4852-9d33-d29385f18d00&amp;suite_entity_num=t100356", "重装工头")</f>
        <v>重装工头</v>
      </c>
      <c r="B179"/>
      <c r="C179" t="inlineStr">
        <is>
          <t>默认分组</t>
        </is>
      </c>
      <c r="D179" t="inlineStr">
        <is>
          <t>1</t>
        </is>
      </c>
      <c r="E179" t="inlineStr">
        <is>
          <t>或签任务</t>
        </is>
      </c>
      <c r="F179"/>
      <c r="G179" t="inlineStr">
        <is>
          <t>0</t>
        </is>
      </c>
      <c r="H179"/>
      <c r="I179" t="inlineStr">
        <is>
          <t>李少秋</t>
        </is>
      </c>
      <c r="J179" t="inlineStr">
        <is>
          <t>龚政涛,李少秋</t>
        </is>
      </c>
      <c r="K179" t="inlineStr">
        <is>
          <t>龚政涛</t>
        </is>
      </c>
      <c r="L179" s="3">
        <v>45648.842673611114</v>
      </c>
      <c r="M179" s="3">
        <v>45654.333333333336</v>
      </c>
      <c r="N179" s="3">
        <v>45655.664814814816</v>
      </c>
      <c r="O179" s="3">
        <v>45654.333333333336</v>
      </c>
      <c r="P179" s="3">
        <v>45733.71024305555</v>
      </c>
      <c r="Q179" s="2" t="str">
        <f>=HYPERLINK("https://applink.feishu.cn/client/todo/task_list?guid=4d92b9af-66d1-4cd7-95d1-4b753a64ca6b", "跃入迷城")</f>
        <v>跃入迷城</v>
      </c>
      <c r="R179" t="inlineStr">
        <is>
          <t>4d92b9af-66d1-4cd7-95d1-4b753a64ca6b</t>
        </is>
      </c>
      <c r="S179" t="inlineStr">
        <is>
          <t>a0d5820e-aa8b-4852-9d33-d29385f18d00</t>
        </is>
      </c>
      <c r="T179">
        <v>0</v>
      </c>
      <c r="U179">
        <v>0</v>
      </c>
      <c r="V179" t="inlineStr">
        <is>
          <t>0.0.4</t>
        </is>
      </c>
      <c r="W179" t="inlineStr">
        <is>
          <t>已完成</t>
        </is>
      </c>
      <c r="X179"/>
      <c r="Y179" t="inlineStr">
        <is>
          <t>AI</t>
        </is>
      </c>
      <c r="Z179" t="inlineStr">
        <is>
          <t>P0 - Must (not) Have</t>
        </is>
      </c>
      <c r="AA179"/>
      <c r="AB179"/>
      <c r="AC179"/>
      <c r="AD179" t="inlineStr">
        <is>
          <t>NzUzMjAzNDQ5ODk2NDY2ODQ0NDphMGQ1ODIwZS1hYThiLTQ4NTItOWQzMy1kMjkzODVmMThkMDA6ZmM1NTdkNzFhZmJlN2NhOTNjN2M2NTdiMmViYjY2ZTU6MQ==</t>
        </is>
      </c>
      <c r="AE179"/>
    </row>
    <row r="180" ht="25.5" customHeight="1">
      <c r="A180" s="2" t="str">
        <f>=HYPERLINK("https://applink.feishu.cn/client/todo/detail?guid=75fdd796-4863-448f-a6bf-8464f226f76a&amp;suite_entity_num=t100354", "钉枪工")</f>
        <v>钉枪工</v>
      </c>
      <c r="B180"/>
      <c r="C180" t="inlineStr">
        <is>
          <t>默认分组</t>
        </is>
      </c>
      <c r="D180" t="inlineStr">
        <is>
          <t>1</t>
        </is>
      </c>
      <c r="E180" t="inlineStr">
        <is>
          <t>或签任务</t>
        </is>
      </c>
      <c r="F180"/>
      <c r="G180" t="inlineStr">
        <is>
          <t>0</t>
        </is>
      </c>
      <c r="H180"/>
      <c r="I180" t="inlineStr">
        <is>
          <t>李少秋</t>
        </is>
      </c>
      <c r="J180" t="inlineStr">
        <is>
          <t>龚政涛,李少秋</t>
        </is>
      </c>
      <c r="K180" t="inlineStr">
        <is>
          <t>龚政涛</t>
        </is>
      </c>
      <c r="L180" s="3">
        <v>45648.84224537037</v>
      </c>
      <c r="M180" s="3">
        <v>45652.333333333336</v>
      </c>
      <c r="N180" s="3">
        <v>45655.664826388886</v>
      </c>
      <c r="O180" s="3">
        <v>45652.333333333336</v>
      </c>
      <c r="P180" s="3">
        <v>45655.66484953704</v>
      </c>
      <c r="Q180" s="2" t="str">
        <f>=HYPERLINK("https://applink.feishu.cn/client/todo/task_list?guid=4d92b9af-66d1-4cd7-95d1-4b753a64ca6b", "跃入迷城")</f>
        <v>跃入迷城</v>
      </c>
      <c r="R180" t="inlineStr">
        <is>
          <t>4d92b9af-66d1-4cd7-95d1-4b753a64ca6b</t>
        </is>
      </c>
      <c r="S180" t="inlineStr">
        <is>
          <t>75fdd796-4863-448f-a6bf-8464f226f76a</t>
        </is>
      </c>
      <c r="T180">
        <v>0</v>
      </c>
      <c r="U180">
        <v>0</v>
      </c>
      <c r="V180" t="inlineStr">
        <is>
          <t>0.0.4</t>
        </is>
      </c>
      <c r="W180" t="inlineStr">
        <is>
          <t>未开始</t>
        </is>
      </c>
      <c r="X180"/>
      <c r="Y180" t="inlineStr">
        <is>
          <t>AI</t>
        </is>
      </c>
      <c r="Z180"/>
      <c r="AA180"/>
      <c r="AB180"/>
      <c r="AC180"/>
      <c r="AD180" t="inlineStr">
        <is>
          <t>NzUzMjAzNDQ5ODk2NDY2ODQ0NDo3NWZkZDc5Ni00ODYzLTQ0OGYtYTZiZi04NDY0ZjIyNmY3NmE6MjUxM2YxMTI2NGYwYzQ1NzIyNmNkZDkxZDkyMGQzYjE6MQ==</t>
        </is>
      </c>
      <c r="AE180"/>
    </row>
    <row r="181" ht="25.5" customHeight="1">
      <c r="A181" s="2" t="str">
        <f>=HYPERLINK("https://applink.feishu.cn/client/todo/detail?guid=29db56f9-8d80-45a4-80dd-ad7c28e41586&amp;suite_entity_num=t100364", "https://dikpa4hrtn9.feishu.cn/wiki/TVHDwqiUziiOeYkaluvcE9rdnJf- 角色制作 &lt; 🪡修改：调整了部分敌人的AI逻辑")</f>
        <v>https://dikpa4hrtn9.feishu.cn/wiki/TVHDwqiUziiOeYkaluvcE9rdnJf- 角色制作 &lt; 🪡修改：调整了部分敌人的AI逻辑</v>
      </c>
      <c r="B181"/>
      <c r="C181" t="inlineStr">
        <is>
          <t>默认分组</t>
        </is>
      </c>
      <c r="D181" t="inlineStr">
        <is>
          <t>0</t>
        </is>
      </c>
      <c r="E181" t="inlineStr">
        <is>
          <t>或签任务</t>
        </is>
      </c>
      <c r="F181"/>
      <c r="G181" t="inlineStr">
        <is>
          <t>0</t>
        </is>
      </c>
      <c r="H181"/>
      <c r="I181" t="inlineStr">
        <is>
          <t>陈麒升,龚政涛,Decay</t>
        </is>
      </c>
      <c r="J181" t="inlineStr">
        <is>
          <t>李少秋,Decay,龚政涛,陈麒升</t>
        </is>
      </c>
      <c r="K181" t="inlineStr">
        <is>
          <t>龚政涛</t>
        </is>
      </c>
      <c r="L181" s="3">
        <v>45649.46299768519</v>
      </c>
      <c r="M181" s="3"/>
      <c r="N181" s="3"/>
      <c r="O181" s="3">
        <v>45919.333333333336</v>
      </c>
      <c r="P181" s="3">
        <v>45911.40993055556</v>
      </c>
      <c r="Q181" s="2" t="str">
        <f>=HYPERLINK("https://applink.feishu.cn/client/todo/task_list?guid=4d92b9af-66d1-4cd7-95d1-4b753a64ca6b", "跃入迷城")</f>
        <v>跃入迷城</v>
      </c>
      <c r="R181" t="inlineStr">
        <is>
          <t>4d92b9af-66d1-4cd7-95d1-4b753a64ca6b</t>
        </is>
      </c>
      <c r="S181" t="inlineStr">
        <is>
          <t>29db56f9-8d80-45a4-80dd-ad7c28e41586</t>
        </is>
      </c>
      <c r="T181">
        <v>0</v>
      </c>
      <c r="U181">
        <v>10</v>
      </c>
      <c r="V181" t="inlineStr">
        <is>
          <t>0.0.5</t>
        </is>
      </c>
      <c r="W181" t="inlineStr">
        <is>
          <t>已拆分</t>
        </is>
      </c>
      <c r="X181" t="inlineStr">
        <is>
          <t>🎮玩法</t>
        </is>
      </c>
      <c r="Y181" t="inlineStr">
        <is>
          <t>AI</t>
        </is>
      </c>
      <c r="Z181" t="inlineStr">
        <is>
          <t>P1 - Bigger the Better</t>
        </is>
      </c>
      <c r="AA181" t="inlineStr">
        <is>
          <t>ae288124-eca5-4bb8-9c90-824a0dbb6abf</t>
        </is>
      </c>
      <c r="AB181"/>
      <c r="AC181" t="inlineStr">
        <is>
          <t>74155b8e-e39e-4605-8fff-083e0187df5a</t>
        </is>
      </c>
      <c r="AD181" t="inlineStr">
        <is>
          <t>NzUzMjAzNDQ5ODk2NDY2ODQ0NDoyOWRiNTZmOS04ZDgwLTQ1YTQtODBkZC1hZDdjMjhlNDE1ODY6ZjYwMjNjMmE4MzYzYzAwODljYzBjZmJmYTJjMjU3YWI6MQ==</t>
        </is>
      </c>
      <c r="AE181"/>
    </row>
    <row r="182" ht="25.5" customHeight="1">
      <c r="A182" s="2" t="str">
        <f>=HYPERLINK("https://applink.feishu.cn/client/todo/detail?guid=280df4fc-83b8-419a-b962-915ab1dc3c99&amp;suite_entity_num=t100378", "调整动画卡帧方案，拆成前、中、后摇3个步骤")</f>
        <v>调整动画卡帧方案，拆成前、中、后摇3个步骤</v>
      </c>
      <c r="B182"/>
      <c r="C182" t="inlineStr">
        <is>
          <t>默认分组</t>
        </is>
      </c>
      <c r="D182" t="inlineStr">
        <is>
          <t>1</t>
        </is>
      </c>
      <c r="E182" t="inlineStr">
        <is>
          <t>或签任务</t>
        </is>
      </c>
      <c r="F182"/>
      <c r="G182" t="inlineStr">
        <is>
          <t>0</t>
        </is>
      </c>
      <c r="H182"/>
      <c r="I182" t="inlineStr">
        <is>
          <t>Decay</t>
        </is>
      </c>
      <c r="J182" t="inlineStr">
        <is>
          <t>龚政涛,Decay</t>
        </is>
      </c>
      <c r="K182" t="inlineStr">
        <is>
          <t>龚政涛</t>
        </is>
      </c>
      <c r="L182" s="3">
        <v>45651.667233796295</v>
      </c>
      <c r="M182" s="3">
        <v>45733.333333333336</v>
      </c>
      <c r="N182" s="3">
        <v>45750.44429398148</v>
      </c>
      <c r="O182" s="3">
        <v>45733.333333333336</v>
      </c>
      <c r="P182" s="3">
        <v>45866.691608796296</v>
      </c>
      <c r="Q182" s="2" t="str">
        <f>=HYPERLINK("https://applink.feishu.cn/client/todo/task_list?guid=4d92b9af-66d1-4cd7-95d1-4b753a64ca6b", "跃入迷城")</f>
        <v>跃入迷城</v>
      </c>
      <c r="R182" t="inlineStr">
        <is>
          <t>4d92b9af-66d1-4cd7-95d1-4b753a64ca6b</t>
        </is>
      </c>
      <c r="S182" t="inlineStr">
        <is>
          <t>280df4fc-83b8-419a-b962-915ab1dc3c99</t>
        </is>
      </c>
      <c r="T182">
        <v>0</v>
      </c>
      <c r="U182">
        <v>5</v>
      </c>
      <c r="V182" t="inlineStr">
        <is>
          <t>0.0.5</t>
        </is>
      </c>
      <c r="W182" t="inlineStr">
        <is>
          <t>未开始</t>
        </is>
      </c>
      <c r="X182" t="inlineStr">
        <is>
          <t>🛠️技术</t>
        </is>
      </c>
      <c r="Y182" t="inlineStr">
        <is>
          <t>动画</t>
        </is>
      </c>
      <c r="Z182" t="inlineStr">
        <is>
          <t>P0 - Must (not) Have</t>
        </is>
      </c>
      <c r="AA182"/>
      <c r="AB182"/>
      <c r="AC182"/>
      <c r="AD182" t="inlineStr">
        <is>
          <t>NzUzMjAzNDQ5ODk2NDY2ODQ0NDoyODBkZjRmYy04M2I4LTQxOWEtYjk2Mi05MTVhYjFkYzNjOTk6ZDQwN2NiYThhODI4NGVlYjQ1ZWFmYzkzYjk0M2IzZWI6MQ==</t>
        </is>
      </c>
      <c r="AE182"/>
    </row>
    <row r="183" ht="25.5" customHeight="1">
      <c r="A183" s="2" t="str">
        <f>=HYPERLINK("https://applink.feishu.cn/client/todo/detail?guid=71712865-2724-4e31-9626-b8dd026070ce&amp;suite_entity_num=t100376", "尝试缩小现有模型的头部尺寸")</f>
        <v>尝试缩小现有模型的头部尺寸</v>
      </c>
      <c r="B183"/>
      <c r="C183" t="inlineStr">
        <is>
          <t>默认分组</t>
        </is>
      </c>
      <c r="D183" t="inlineStr">
        <is>
          <t>1</t>
        </is>
      </c>
      <c r="E183" t="inlineStr">
        <is>
          <t>或签任务</t>
        </is>
      </c>
      <c r="F183"/>
      <c r="G183" t="inlineStr">
        <is>
          <t>0</t>
        </is>
      </c>
      <c r="H183"/>
      <c r="I183"/>
      <c r="J183" t="inlineStr">
        <is>
          <t>龚政涛</t>
        </is>
      </c>
      <c r="K183" t="inlineStr">
        <is>
          <t>龚政涛</t>
        </is>
      </c>
      <c r="L183" s="3">
        <v>45651.60648148148</v>
      </c>
      <c r="M183" s="3">
        <v>45647.333333333336</v>
      </c>
      <c r="N183" s="3">
        <v>45673.03306712963</v>
      </c>
      <c r="O183" s="3">
        <v>45649.333333333336</v>
      </c>
      <c r="P183" s="3">
        <v>45673.03309027778</v>
      </c>
      <c r="Q183" s="2" t="str">
        <f>=HYPERLINK("https://applink.feishu.cn/client/todo/task_list?guid=4d92b9af-66d1-4cd7-95d1-4b753a64ca6b", "跃入迷城")</f>
        <v>跃入迷城</v>
      </c>
      <c r="R183" t="inlineStr">
        <is>
          <t>4d92b9af-66d1-4cd7-95d1-4b753a64ca6b</t>
        </is>
      </c>
      <c r="S183" t="inlineStr">
        <is>
          <t>71712865-2724-4e31-9626-b8dd026070ce</t>
        </is>
      </c>
      <c r="T183">
        <v>0</v>
      </c>
      <c r="U183">
        <v>0</v>
      </c>
      <c r="V183" t="inlineStr">
        <is>
          <t>0.0.4</t>
        </is>
      </c>
      <c r="W183" t="inlineStr">
        <is>
          <t>已完成</t>
        </is>
      </c>
      <c r="X183"/>
      <c r="Y183" t="inlineStr">
        <is>
          <t>模型</t>
        </is>
      </c>
      <c r="Z183"/>
      <c r="AA183"/>
      <c r="AB183"/>
      <c r="AC183"/>
      <c r="AD183" t="inlineStr">
        <is>
          <t>NzUzMjAzNDQ5ODk2NDY2ODQ0NDo3MTcxMjg2NS0yNzI0LTRlMzEtOTYyNi1iOGRkMDI2MDcwY2U6MTFlNDJmYjkzM2NjODUxMTdmNjU5YTBiZjMzYTk0YjU6MQ==</t>
        </is>
      </c>
      <c r="AE183"/>
    </row>
    <row r="184" ht="25.5" customHeight="1">
      <c r="A184" s="2" t="str">
        <f>=HYPERLINK("https://applink.feishu.cn/client/todo/detail?guid=0149f3fe-76df-436c-9884-b6eb4a232f13&amp;suite_entity_num=t100382", "冲刺（dash）上半身用奔跑的上半身")</f>
        <v>冲刺（dash）上半身用奔跑的上半身</v>
      </c>
      <c r="B184"/>
      <c r="C184" t="inlineStr">
        <is>
          <t>默认分组</t>
        </is>
      </c>
      <c r="D184" t="inlineStr">
        <is>
          <t>1</t>
        </is>
      </c>
      <c r="E184" t="inlineStr">
        <is>
          <t>或签任务</t>
        </is>
      </c>
      <c r="F184"/>
      <c r="G184" t="inlineStr">
        <is>
          <t>0</t>
        </is>
      </c>
      <c r="H184"/>
      <c r="I184"/>
      <c r="J184" t="inlineStr">
        <is>
          <t>龚政涛</t>
        </is>
      </c>
      <c r="K184" t="inlineStr">
        <is>
          <t>龚政涛</t>
        </is>
      </c>
      <c r="L184" s="3">
        <v>45652.724027777775</v>
      </c>
      <c r="M184" s="3"/>
      <c r="N184" s="3">
        <v>45719.57512731481</v>
      </c>
      <c r="O184" s="3"/>
      <c r="P184" s="3">
        <v>45719.57513888889</v>
      </c>
      <c r="Q184" s="2" t="str">
        <f>=HYPERLINK("https://applink.feishu.cn/client/todo/task_list?guid=4d92b9af-66d1-4cd7-95d1-4b753a64ca6b", "跃入迷城")</f>
        <v>跃入迷城</v>
      </c>
      <c r="R184" t="inlineStr">
        <is>
          <t>4d92b9af-66d1-4cd7-95d1-4b753a64ca6b</t>
        </is>
      </c>
      <c r="S184" t="inlineStr">
        <is>
          <t>0149f3fe-76df-436c-9884-b6eb4a232f13</t>
        </is>
      </c>
      <c r="T184">
        <v>0</v>
      </c>
      <c r="U184">
        <v>0</v>
      </c>
      <c r="V184" t="inlineStr">
        <is>
          <t>0.1.0</t>
        </is>
      </c>
      <c r="W184" t="inlineStr">
        <is>
          <t>已废弃</t>
        </is>
      </c>
      <c r="X184"/>
      <c r="Y184" t="inlineStr">
        <is>
          <t>动画</t>
        </is>
      </c>
      <c r="Z184" t="inlineStr">
        <is>
          <t>P2 - Nice to Have</t>
        </is>
      </c>
      <c r="AA184"/>
      <c r="AB184"/>
      <c r="AC184"/>
      <c r="AD184" t="inlineStr">
        <is>
          <t>NzUzMjAzNDQ5ODk2NDY2ODQ0NDowMTQ5ZjNmZS03NmRmLTQzNmMtOTg4NC1iNmViNGEyMzJmMTM6M2U2M2U3YmZmZWY1OWM5MWVjZWFiMTliZjQwYmY2MWI6MQ==</t>
        </is>
      </c>
      <c r="AE184"/>
    </row>
    <row r="185" ht="25.5" customHeight="1">
      <c r="A185" s="2" t="str">
        <f>=HYPERLINK("https://applink.feishu.cn/client/todo/detail?guid=8fb25792-624b-4f2f-8d43-ed55ac7ebe67&amp;suite_entity_num=t100361", "修复描边问题")</f>
        <v>修复描边问题</v>
      </c>
      <c r="B185"/>
      <c r="C185" t="inlineStr">
        <is>
          <t>默认分组</t>
        </is>
      </c>
      <c r="D185" t="inlineStr">
        <is>
          <t>1</t>
        </is>
      </c>
      <c r="E185" t="inlineStr">
        <is>
          <t>或签任务</t>
        </is>
      </c>
      <c r="F185"/>
      <c r="G185" t="inlineStr">
        <is>
          <t>0</t>
        </is>
      </c>
      <c r="H185"/>
      <c r="I185" t="inlineStr">
        <is>
          <t>成都TA小刘</t>
        </is>
      </c>
      <c r="J185" t="inlineStr">
        <is>
          <t>龚政涛,成都TA小刘</t>
        </is>
      </c>
      <c r="K185" t="inlineStr">
        <is>
          <t>龚政涛</t>
        </is>
      </c>
      <c r="L185" s="3">
        <v>45648.87605324074</v>
      </c>
      <c r="M185" s="3">
        <v>45670.333333333336</v>
      </c>
      <c r="N185" s="3">
        <v>45672.97304398148</v>
      </c>
      <c r="O185" s="3">
        <v>45672.333333333336</v>
      </c>
      <c r="P185" s="3">
        <v>45733.710381944446</v>
      </c>
      <c r="Q185" s="2" t="str">
        <f>=HYPERLINK("https://applink.feishu.cn/client/todo/task_list?guid=4d92b9af-66d1-4cd7-95d1-4b753a64ca6b", "跃入迷城")</f>
        <v>跃入迷城</v>
      </c>
      <c r="R185" t="inlineStr">
        <is>
          <t>4d92b9af-66d1-4cd7-95d1-4b753a64ca6b</t>
        </is>
      </c>
      <c r="S185" t="inlineStr">
        <is>
          <t>8fb25792-624b-4f2f-8d43-ed55ac7ebe67</t>
        </is>
      </c>
      <c r="T185">
        <v>0</v>
      </c>
      <c r="U185">
        <v>0</v>
      </c>
      <c r="V185" t="inlineStr">
        <is>
          <t>0.0.4</t>
        </is>
      </c>
      <c r="W185" t="inlineStr">
        <is>
          <t>已完成</t>
        </is>
      </c>
      <c r="X185"/>
      <c r="Y185" t="inlineStr">
        <is>
          <t>平面美术</t>
        </is>
      </c>
      <c r="Z185" t="inlineStr">
        <is>
          <t>P0 - Must (not) Have</t>
        </is>
      </c>
      <c r="AA185"/>
      <c r="AB185"/>
      <c r="AC185"/>
      <c r="AD185" t="inlineStr">
        <is>
          <t>NzUzMjAzNDQ5ODk2NDY2ODQ0NDo4ZmIyNTc5Mi02MjRiLTRmMmYtOGQ0My1lZDU1YWM3ZWJlNjc6ODkzOTExODYxZmI2NTNlNWUxMWY4Nzg5OTQyNGVlODk6MQ==</t>
        </is>
      </c>
      <c r="AE185"/>
    </row>
    <row r="186" ht="25.5" customHeight="1">
      <c r="A186" s="2" t="str">
        <f>=HYPERLINK("https://applink.feishu.cn/client/todo/detail?guid=024c1a50-339a-431c-aaba-be2391c32fd0&amp;suite_entity_num=t100371", "技能释放方式：引导")</f>
        <v>技能释放方式：引导</v>
      </c>
      <c r="B186"/>
      <c r="C186" t="inlineStr">
        <is>
          <t>默认分组</t>
        </is>
      </c>
      <c r="D186" t="inlineStr">
        <is>
          <t>1</t>
        </is>
      </c>
      <c r="E186" t="inlineStr">
        <is>
          <t>或签任务</t>
        </is>
      </c>
      <c r="F186"/>
      <c r="G186" t="inlineStr">
        <is>
          <t>0</t>
        </is>
      </c>
      <c r="H186"/>
      <c r="I186" t="inlineStr">
        <is>
          <t>Decay</t>
        </is>
      </c>
      <c r="J186" t="inlineStr">
        <is>
          <t>龚政涛,Decay</t>
        </is>
      </c>
      <c r="K186" t="inlineStr">
        <is>
          <t>龚政涛</t>
        </is>
      </c>
      <c r="L186" s="3">
        <v>45649.47253472222</v>
      </c>
      <c r="M186" s="3"/>
      <c r="N186" s="3">
        <v>45673.51412037037</v>
      </c>
      <c r="O186" s="3"/>
      <c r="P186" s="3">
        <v>45673.51414351852</v>
      </c>
      <c r="Q186" s="2" t="str">
        <f>=HYPERLINK("https://applink.feishu.cn/client/todo/task_list?guid=4d92b9af-66d1-4cd7-95d1-4b753a64ca6b", "跃入迷城")</f>
        <v>跃入迷城</v>
      </c>
      <c r="R186" t="inlineStr">
        <is>
          <t>4d92b9af-66d1-4cd7-95d1-4b753a64ca6b</t>
        </is>
      </c>
      <c r="S186" t="inlineStr">
        <is>
          <t>024c1a50-339a-431c-aaba-be2391c32fd0</t>
        </is>
      </c>
      <c r="T186">
        <v>0</v>
      </c>
      <c r="U186">
        <v>16</v>
      </c>
      <c r="V186" t="inlineStr">
        <is>
          <t>0.0.4</t>
        </is>
      </c>
      <c r="W186" t="inlineStr">
        <is>
          <t>已完成</t>
        </is>
      </c>
      <c r="X186"/>
      <c r="Y186" t="inlineStr">
        <is>
          <t>技能</t>
        </is>
      </c>
      <c r="Z186"/>
      <c r="AA186"/>
      <c r="AB186"/>
      <c r="AC186"/>
      <c r="AD186" t="inlineStr">
        <is>
          <t>NzUzMjAzNDQ5ODk2NDY2ODQ0NDowMjRjMWE1MC0zMzlhLTQzMWMtYWFiYS1iZTIzOTFjMzJmZDA6ZDk3MDE3MmZlN2RhMzQzYTVlZDgxZjRlZjM5MmU4ZjY6MQ==</t>
        </is>
      </c>
      <c r="AE186"/>
    </row>
    <row r="187" ht="25.5" customHeight="1">
      <c r="A187" s="2" t="str">
        <f>=HYPERLINK("https://applink.feishu.cn/client/todo/detail?guid=59388cc9-15eb-44b7-8896-d835441643e8&amp;suite_entity_num=t100362", "管线技师")</f>
        <v>管线技师</v>
      </c>
      <c r="B187"/>
      <c r="C187" t="inlineStr">
        <is>
          <t>默认分组</t>
        </is>
      </c>
      <c r="D187" t="inlineStr">
        <is>
          <t>1</t>
        </is>
      </c>
      <c r="E187" t="inlineStr">
        <is>
          <t>或签任务</t>
        </is>
      </c>
      <c r="F187"/>
      <c r="G187" t="inlineStr">
        <is>
          <t>0</t>
        </is>
      </c>
      <c r="H187"/>
      <c r="I187" t="inlineStr">
        <is>
          <t>李少秋</t>
        </is>
      </c>
      <c r="J187" t="inlineStr">
        <is>
          <t>龚政涛,李少秋</t>
        </is>
      </c>
      <c r="K187" t="inlineStr">
        <is>
          <t>龚政涛</t>
        </is>
      </c>
      <c r="L187" s="3">
        <v>45648.9831712963</v>
      </c>
      <c r="M187" s="3">
        <v>45655.333333333336</v>
      </c>
      <c r="N187" s="3">
        <v>45655.66480324074</v>
      </c>
      <c r="O187" s="3">
        <v>45655.333333333336</v>
      </c>
      <c r="P187" s="3">
        <v>45733.71008101852</v>
      </c>
      <c r="Q187" s="2" t="str">
        <f>=HYPERLINK("https://applink.feishu.cn/client/todo/task_list?guid=4d92b9af-66d1-4cd7-95d1-4b753a64ca6b", "跃入迷城")</f>
        <v>跃入迷城</v>
      </c>
      <c r="R187" t="inlineStr">
        <is>
          <t>4d92b9af-66d1-4cd7-95d1-4b753a64ca6b</t>
        </is>
      </c>
      <c r="S187" t="inlineStr">
        <is>
          <t>59388cc9-15eb-44b7-8896-d835441643e8</t>
        </is>
      </c>
      <c r="T187">
        <v>0</v>
      </c>
      <c r="U187">
        <v>0</v>
      </c>
      <c r="V187" t="inlineStr">
        <is>
          <t>0.0.4</t>
        </is>
      </c>
      <c r="W187" t="inlineStr">
        <is>
          <t>已完成</t>
        </is>
      </c>
      <c r="X187"/>
      <c r="Y187" t="inlineStr">
        <is>
          <t>AI</t>
        </is>
      </c>
      <c r="Z187" t="inlineStr">
        <is>
          <t>P0 - Must (not) Have</t>
        </is>
      </c>
      <c r="AA187"/>
      <c r="AB187"/>
      <c r="AC187"/>
      <c r="AD187" t="inlineStr">
        <is>
          <t>NzUzMjAzNDQ5ODk2NDY2ODQ0NDo1OTM4OGNjOS0xNWViLTQ0YjctODg5Ni1kODM1NDQxNjQzZTg6YzE2YjczNWNmOTljMTA1ZmMyYmRjNzUwNTZkY2M3ZWE6MQ==</t>
        </is>
      </c>
      <c r="AE187"/>
    </row>
    <row r="188" ht="25.5" customHeight="1">
      <c r="A188" s="2" t="str">
        <f>=HYPERLINK("https://applink.feishu.cn/client/todo/detail?guid=87ef08c6-f2e1-4ec1-97e7-af1973a41306&amp;suite_entity_num=t100369", "技能释放方式：蓄力")</f>
        <v>技能释放方式：蓄力</v>
      </c>
      <c r="B188"/>
      <c r="C188" t="inlineStr">
        <is>
          <t>默认分组</t>
        </is>
      </c>
      <c r="D188" t="inlineStr">
        <is>
          <t>1</t>
        </is>
      </c>
      <c r="E188" t="inlineStr">
        <is>
          <t>或签任务</t>
        </is>
      </c>
      <c r="F188"/>
      <c r="G188" t="inlineStr">
        <is>
          <t>0</t>
        </is>
      </c>
      <c r="H188"/>
      <c r="I188" t="inlineStr">
        <is>
          <t>Decay</t>
        </is>
      </c>
      <c r="J188" t="inlineStr">
        <is>
          <t>龚政涛,Decay</t>
        </is>
      </c>
      <c r="K188" t="inlineStr">
        <is>
          <t>龚政涛</t>
        </is>
      </c>
      <c r="L188" s="3">
        <v>45649.472453703704</v>
      </c>
      <c r="M188" s="3"/>
      <c r="N188" s="3">
        <v>45666.47085648148</v>
      </c>
      <c r="O188" s="3"/>
      <c r="P188" s="3">
        <v>45666.47084490741</v>
      </c>
      <c r="Q188" s="2" t="str">
        <f>=HYPERLINK("https://applink.feishu.cn/client/todo/task_list?guid=4d92b9af-66d1-4cd7-95d1-4b753a64ca6b", "跃入迷城")</f>
        <v>跃入迷城</v>
      </c>
      <c r="R188" t="inlineStr">
        <is>
          <t>4d92b9af-66d1-4cd7-95d1-4b753a64ca6b</t>
        </is>
      </c>
      <c r="S188" t="inlineStr">
        <is>
          <t>87ef08c6-f2e1-4ec1-97e7-af1973a41306</t>
        </is>
      </c>
      <c r="T188">
        <v>0</v>
      </c>
      <c r="U188">
        <v>2</v>
      </c>
      <c r="V188" t="inlineStr">
        <is>
          <t>0.0.4</t>
        </is>
      </c>
      <c r="W188" t="inlineStr">
        <is>
          <t>已完成</t>
        </is>
      </c>
      <c r="X188"/>
      <c r="Y188" t="inlineStr">
        <is>
          <t>技能</t>
        </is>
      </c>
      <c r="Z188"/>
      <c r="AA188"/>
      <c r="AB188"/>
      <c r="AC188"/>
      <c r="AD188" t="inlineStr">
        <is>
          <t>NzUzMjAzNDQ5ODk2NDY2ODQ0NDo4N2VmMDhjNi1mMmUxLTRlYzEtOTdlNy1hZjE5NzNhNDEzMDY6YjNlZGQxNmJkYzYzMjRmYzdkOGY3MzE5NTRkMWIyNjM6MQ==</t>
        </is>
      </c>
      <c r="AE188"/>
    </row>
    <row r="189" ht="25.5" customHeight="1">
      <c r="A189" s="2" t="str">
        <f>=HYPERLINK("https://applink.feishu.cn/client/todo/detail?guid=1bfba706-e2ef-4efe-a29f-628637704650&amp;suite_entity_num=t100359", "调整Toon/Cel Shade")</f>
        <v>调整Toon/Cel Shade</v>
      </c>
      <c r="B189"/>
      <c r="C189" t="inlineStr">
        <is>
          <t>默认分组</t>
        </is>
      </c>
      <c r="D189" t="inlineStr">
        <is>
          <t>1</t>
        </is>
      </c>
      <c r="E189" t="inlineStr">
        <is>
          <t>或签任务</t>
        </is>
      </c>
      <c r="F189"/>
      <c r="G189" t="inlineStr">
        <is>
          <t>0</t>
        </is>
      </c>
      <c r="H189"/>
      <c r="I189" t="inlineStr">
        <is>
          <t>成都TA小刘</t>
        </is>
      </c>
      <c r="J189" t="inlineStr">
        <is>
          <t>成都TA小刘,龚政涛</t>
        </is>
      </c>
      <c r="K189" t="inlineStr">
        <is>
          <t>龚政涛</t>
        </is>
      </c>
      <c r="L189" s="3">
        <v>45648.87604166667</v>
      </c>
      <c r="M189" s="3">
        <v>45650.333333333336</v>
      </c>
      <c r="N189" s="3">
        <v>45672.991689814815</v>
      </c>
      <c r="O189" s="3">
        <v>45656.333333333336</v>
      </c>
      <c r="P189" s="3">
        <v>45672.991689814815</v>
      </c>
      <c r="Q189" s="2" t="str">
        <f>=HYPERLINK("https://applink.feishu.cn/client/todo/task_list?guid=4d92b9af-66d1-4cd7-95d1-4b753a64ca6b", "跃入迷城")</f>
        <v>跃入迷城</v>
      </c>
      <c r="R189" t="inlineStr">
        <is>
          <t>4d92b9af-66d1-4cd7-95d1-4b753a64ca6b</t>
        </is>
      </c>
      <c r="S189" t="inlineStr">
        <is>
          <t>1bfba706-e2ef-4efe-a29f-628637704650</t>
        </is>
      </c>
      <c r="T189">
        <v>0</v>
      </c>
      <c r="U189">
        <v>1</v>
      </c>
      <c r="V189" t="inlineStr">
        <is>
          <t>0.0.4</t>
        </is>
      </c>
      <c r="W189" t="inlineStr">
        <is>
          <t>已完成</t>
        </is>
      </c>
      <c r="X189"/>
      <c r="Y189" t="inlineStr">
        <is>
          <t>平面美术</t>
        </is>
      </c>
      <c r="Z189"/>
      <c r="AA189"/>
      <c r="AB189" t="inlineStr">
        <is>
          <t>a9931c2b-7a5e-4036-8310-d1e47eaafe09</t>
        </is>
      </c>
      <c r="AC189"/>
      <c r="AD189" t="inlineStr">
        <is>
          <t>NzUzMjAzNDQ5ODk2NDY2ODQ0NDoxYmZiYTcwNi1lMmVmLTRlZmUtYTI5Zi02Mjg2Mzc3MDQ2NTA6ZTQxYzk0Mzg4NTdiZTM4OWJmOTU5ZjU1N2I4MTNkNDI6MQ==</t>
        </is>
      </c>
      <c r="AE189"/>
    </row>
    <row r="190" ht="25.5" customHeight="1">
      <c r="A190" s="2" t="str">
        <f>=HYPERLINK("https://applink.feishu.cn/client/todo/detail?guid=3a11feef-57d1-4c0d-8827-8ebbc666d786&amp;suite_entity_num=t100373", "尝试制作符合“苏醒之路”风格的无脸标准头尺寸模型，基于Synty素材修改")</f>
        <v>尝试制作符合“苏醒之路”风格的无脸标准头尺寸模型，基于Synty素材修改</v>
      </c>
      <c r="B190"/>
      <c r="C190" t="inlineStr">
        <is>
          <t>默认分组</t>
        </is>
      </c>
      <c r="D190" t="inlineStr">
        <is>
          <t>1</t>
        </is>
      </c>
      <c r="E190" t="inlineStr">
        <is>
          <t>或签任务</t>
        </is>
      </c>
      <c r="F190"/>
      <c r="G190" t="inlineStr">
        <is>
          <t>0</t>
        </is>
      </c>
      <c r="H190"/>
      <c r="I190" t="inlineStr">
        <is>
          <t>薛远临</t>
        </is>
      </c>
      <c r="J190" t="inlineStr">
        <is>
          <t>薛远临,成都TA小刘,龚政涛</t>
        </is>
      </c>
      <c r="K190" t="inlineStr">
        <is>
          <t>龚政涛</t>
        </is>
      </c>
      <c r="L190" s="3">
        <v>45649.9666087963</v>
      </c>
      <c r="M190" s="3">
        <v>45650.333333333336</v>
      </c>
      <c r="N190" s="3">
        <v>45673.033055555556</v>
      </c>
      <c r="O190" s="3">
        <v>45652.333333333336</v>
      </c>
      <c r="P190" s="3">
        <v>45673.03309027778</v>
      </c>
      <c r="Q190" s="2" t="str">
        <f>=HYPERLINK("https://applink.feishu.cn/client/todo/task_list?guid=4d92b9af-66d1-4cd7-95d1-4b753a64ca6b", "跃入迷城")</f>
        <v>跃入迷城</v>
      </c>
      <c r="R190" t="inlineStr">
        <is>
          <t>4d92b9af-66d1-4cd7-95d1-4b753a64ca6b</t>
        </is>
      </c>
      <c r="S190" t="inlineStr">
        <is>
          <t>3a11feef-57d1-4c0d-8827-8ebbc666d786</t>
        </is>
      </c>
      <c r="T190">
        <v>0</v>
      </c>
      <c r="U190">
        <v>1</v>
      </c>
      <c r="V190" t="inlineStr">
        <is>
          <t>0.0.4</t>
        </is>
      </c>
      <c r="W190" t="inlineStr">
        <is>
          <t>已完成</t>
        </is>
      </c>
      <c r="X190"/>
      <c r="Y190" t="inlineStr">
        <is>
          <t>模型</t>
        </is>
      </c>
      <c r="Z190"/>
      <c r="AA190"/>
      <c r="AB190"/>
      <c r="AC190"/>
      <c r="AD190" t="inlineStr">
        <is>
          <t>NzUzMjAzNDQ5ODk2NDY2ODQ0NDozYTExZmVlZi01N2QxLTRjMGQtODgyNy04ZWJiYzY2NmQ3ODY6YjkzZTkxYWY5MzA4OWVjN2YzNjU0ZTkwMmU4YWY2ZmM6MQ==</t>
        </is>
      </c>
      <c r="AE190"/>
    </row>
    <row r="191" ht="25.5" customHeight="1">
      <c r="A191" s="2" t="str">
        <f>=HYPERLINK("https://applink.feishu.cn/client/todo/detail?guid=7b4b9bab-eb4b-474f-b7dd-536d00ec8954&amp;suite_entity_num=t100360", "制作战争迷雾Shader - 近身一圈战争迷雾")</f>
        <v>制作战争迷雾Shader - 近身一圈战争迷雾</v>
      </c>
      <c r="B191"/>
      <c r="C191" t="inlineStr">
        <is>
          <t>默认分组</t>
        </is>
      </c>
      <c r="D191" t="inlineStr">
        <is>
          <t>1</t>
        </is>
      </c>
      <c r="E191" t="inlineStr">
        <is>
          <t>或签任务</t>
        </is>
      </c>
      <c r="F191"/>
      <c r="G191" t="inlineStr">
        <is>
          <t>0</t>
        </is>
      </c>
      <c r="H191"/>
      <c r="I191" t="inlineStr">
        <is>
          <t>Decay</t>
        </is>
      </c>
      <c r="J191" t="inlineStr">
        <is>
          <t>龚政涛,成都TA小刘,Decay</t>
        </is>
      </c>
      <c r="K191" t="inlineStr">
        <is>
          <t>龚政涛</t>
        </is>
      </c>
      <c r="L191" s="3">
        <v>45648.87604166667</v>
      </c>
      <c r="M191" s="3">
        <v>45665.333333333336</v>
      </c>
      <c r="N191" s="3">
        <v>45721.81878472222</v>
      </c>
      <c r="O191" s="3">
        <v>45676.333333333336</v>
      </c>
      <c r="P191" s="3">
        <v>45721.818773148145</v>
      </c>
      <c r="Q191" s="2" t="str">
        <f>=HYPERLINK("https://applink.feishu.cn/client/todo/task_list?guid=4d92b9af-66d1-4cd7-95d1-4b753a64ca6b", "跃入迷城")</f>
        <v>跃入迷城</v>
      </c>
      <c r="R191" t="inlineStr">
        <is>
          <t>4d92b9af-66d1-4cd7-95d1-4b753a64ca6b</t>
        </is>
      </c>
      <c r="S191" t="inlineStr">
        <is>
          <t>7b4b9bab-eb4b-474f-b7dd-536d00ec8954</t>
        </is>
      </c>
      <c r="T191">
        <v>0</v>
      </c>
      <c r="U191">
        <v>6</v>
      </c>
      <c r="V191" t="inlineStr">
        <is>
          <t>0.0.4</t>
        </is>
      </c>
      <c r="W191" t="inlineStr">
        <is>
          <t>已完成</t>
        </is>
      </c>
      <c r="X191"/>
      <c r="Y191" t="inlineStr">
        <is>
          <t>平面美术</t>
        </is>
      </c>
      <c r="Z191" t="inlineStr">
        <is>
          <t>P0 - Must (not) Have</t>
        </is>
      </c>
      <c r="AA191"/>
      <c r="AB191"/>
      <c r="AC191"/>
      <c r="AD191" t="inlineStr">
        <is>
          <t>NzUzMjAzNDQ5ODk2NDY2ODQ0NDo3YjRiOWJhYi1lYjRiLTQ3NGYtYjdkZC01MzZkMDBlYzg5NTQ6MDY4MWM0MDY0NmI1YWNiYWRhZGRlOTliMTkwMTY0YjQ6MQ==</t>
        </is>
      </c>
      <c r="AE191"/>
    </row>
    <row r="192" ht="25.5" customHeight="1">
      <c r="A192" s="2" t="str">
        <f>=HYPERLINK("https://applink.feishu.cn/client/todo/detail?guid=985dc0b6-dfe6-4121-8a53-ee6c8833aa67&amp;suite_entity_num=t100374", "尝试制作Voxel模型，通过程序化生成+微调")</f>
        <v>尝试制作Voxel模型，通过程序化生成+微调</v>
      </c>
      <c r="B192"/>
      <c r="C192" t="inlineStr">
        <is>
          <t>默认分组</t>
        </is>
      </c>
      <c r="D192" t="inlineStr">
        <is>
          <t>1</t>
        </is>
      </c>
      <c r="E192" t="inlineStr">
        <is>
          <t>或签任务</t>
        </is>
      </c>
      <c r="F192"/>
      <c r="G192" t="inlineStr">
        <is>
          <t>0</t>
        </is>
      </c>
      <c r="H192"/>
      <c r="I192"/>
      <c r="J192" t="inlineStr">
        <is>
          <t>龚政涛,成都TA小刘</t>
        </is>
      </c>
      <c r="K192" t="inlineStr">
        <is>
          <t>龚政涛</t>
        </is>
      </c>
      <c r="L192" s="3">
        <v>45649.966631944444</v>
      </c>
      <c r="M192" s="3"/>
      <c r="N192" s="3">
        <v>45660.45644675926</v>
      </c>
      <c r="O192" s="3"/>
      <c r="P192" s="3">
        <v>45664.67461805556</v>
      </c>
      <c r="Q192" s="2" t="str">
        <f>=HYPERLINK("https://applink.feishu.cn/client/todo/task_list?guid=4d92b9af-66d1-4cd7-95d1-4b753a64ca6b", "跃入迷城")</f>
        <v>跃入迷城</v>
      </c>
      <c r="R192" t="inlineStr">
        <is>
          <t>4d92b9af-66d1-4cd7-95d1-4b753a64ca6b</t>
        </is>
      </c>
      <c r="S192" t="inlineStr">
        <is>
          <t>985dc0b6-dfe6-4121-8a53-ee6c8833aa67</t>
        </is>
      </c>
      <c r="T192">
        <v>0</v>
      </c>
      <c r="U192">
        <v>1</v>
      </c>
      <c r="V192" t="inlineStr">
        <is>
          <t>0.0.4</t>
        </is>
      </c>
      <c r="W192" t="inlineStr">
        <is>
          <t>已废弃</t>
        </is>
      </c>
      <c r="X192"/>
      <c r="Y192" t="inlineStr">
        <is>
          <t>模型</t>
        </is>
      </c>
      <c r="Z192"/>
      <c r="AA192"/>
      <c r="AB192"/>
      <c r="AC192"/>
      <c r="AD192" t="inlineStr">
        <is>
          <t>NzUzMjAzNDQ5ODk2NDY2ODQ0NDo5ODVkYzBiNi1kZmU2LTQxMjEtOGE1My1lZTZjODgzM2FhNjc6M2RkMzhlYzY2ODdlMzQ5MzUzMDA2M2RhZmQ0NmZlZmQ6MQ==</t>
        </is>
      </c>
      <c r="AE192"/>
    </row>
    <row r="193" ht="25.5" customHeight="1">
      <c r="A193" s="2" t="str">
        <f>=HYPERLINK("https://applink.feishu.cn/client/todo/detail?guid=2a3362e9-fc7d-4e61-a0f5-df6db8ef0425&amp;suite_entity_num=t100425", "冲刺、奔跑期间隐藏瞄准激光")</f>
        <v>冲刺、奔跑期间隐藏瞄准激光</v>
      </c>
      <c r="B193"/>
      <c r="C193" t="inlineStr">
        <is>
          <t>默认分组</t>
        </is>
      </c>
      <c r="D193" t="inlineStr">
        <is>
          <t>0</t>
        </is>
      </c>
      <c r="E193" t="inlineStr">
        <is>
          <t>或签任务</t>
        </is>
      </c>
      <c r="F193"/>
      <c r="G193" t="inlineStr">
        <is>
          <t>0</t>
        </is>
      </c>
      <c r="H193"/>
      <c r="I193" t="inlineStr">
        <is>
          <t>Decay</t>
        </is>
      </c>
      <c r="J193" t="inlineStr">
        <is>
          <t>龚政涛,Decay</t>
        </is>
      </c>
      <c r="K193" t="inlineStr">
        <is>
          <t>龚政涛</t>
        </is>
      </c>
      <c r="L193" s="3">
        <v>45673.52681712963</v>
      </c>
      <c r="M193" s="3">
        <v>45902.333333333336</v>
      </c>
      <c r="N193" s="3"/>
      <c r="O193" s="3">
        <v>45919.333333333336</v>
      </c>
      <c r="P193" s="3">
        <v>45911.40996527778</v>
      </c>
      <c r="Q193" s="2" t="str">
        <f>=HYPERLINK("https://applink.feishu.cn/client/todo/task_list?guid=4d92b9af-66d1-4cd7-95d1-4b753a64ca6b", "跃入迷城")</f>
        <v>跃入迷城</v>
      </c>
      <c r="R193" t="inlineStr">
        <is>
          <t>4d92b9af-66d1-4cd7-95d1-4b753a64ca6b</t>
        </is>
      </c>
      <c r="S193" t="inlineStr">
        <is>
          <t>2a3362e9-fc7d-4e61-a0f5-df6db8ef0425</t>
        </is>
      </c>
      <c r="T193">
        <v>0</v>
      </c>
      <c r="U193">
        <v>0</v>
      </c>
      <c r="V193" t="inlineStr">
        <is>
          <t>0.0.5</t>
        </is>
      </c>
      <c r="W193"/>
      <c r="X193" t="inlineStr">
        <is>
          <t>🛠️技术</t>
        </is>
      </c>
      <c r="Y193" t="inlineStr">
        <is>
          <t>操作</t>
        </is>
      </c>
      <c r="Z193" t="inlineStr">
        <is>
          <t>P2 - Nice to Have</t>
        </is>
      </c>
      <c r="AA193" t="inlineStr">
        <is>
          <t>f21b3f5f-97d8-456a-97a3-73bbd9289375</t>
        </is>
      </c>
      <c r="AB193"/>
      <c r="AC193"/>
      <c r="AD193" t="inlineStr">
        <is>
          <t>NzUzMjAzNDQ5ODk2NDY2ODQ0NDoyYTMzNjJlOS1mYzdkLTRlNjEtYTBmNS1kZjZkYjhlZjA0MjU6Njg2Mjc5MWM4MTlkMDRlYmVlOTBjNjZkM2QxMWEwYWM6MQ==</t>
        </is>
      </c>
      <c r="AE193"/>
    </row>
    <row r="194" ht="25.5" customHeight="1">
      <c r="A194" s="2" t="str">
        <f>=HYPERLINK("https://applink.feishu.cn/client/todo/detail?guid=d6f4fc05-1a20-4379-80f5-f438834137e3&amp;suite_entity_num=t100409", "追加敌人攻击功能：边攻击边移动、旋转，速率可调")</f>
        <v>追加敌人攻击功能：边攻击边移动、旋转，速率可调</v>
      </c>
      <c r="B194"/>
      <c r="C194" t="inlineStr">
        <is>
          <t>默认分组</t>
        </is>
      </c>
      <c r="D194" t="inlineStr">
        <is>
          <t>1</t>
        </is>
      </c>
      <c r="E194" t="inlineStr">
        <is>
          <t>或签任务</t>
        </is>
      </c>
      <c r="F194"/>
      <c r="G194" t="inlineStr">
        <is>
          <t>0</t>
        </is>
      </c>
      <c r="H194"/>
      <c r="I194" t="inlineStr">
        <is>
          <t>李少秋</t>
        </is>
      </c>
      <c r="J194" t="inlineStr">
        <is>
          <t>李少秋,龚政涛</t>
        </is>
      </c>
      <c r="K194" t="inlineStr">
        <is>
          <t>龚政涛</t>
        </is>
      </c>
      <c r="L194" s="3">
        <v>45667.59974537037</v>
      </c>
      <c r="M194" s="3"/>
      <c r="N194" s="3">
        <v>45673.51347222222</v>
      </c>
      <c r="O194" s="3"/>
      <c r="P194" s="3">
        <v>45673.51349537037</v>
      </c>
      <c r="Q194" s="2" t="str">
        <f>=HYPERLINK("https://applink.feishu.cn/client/todo/task_list?guid=4d92b9af-66d1-4cd7-95d1-4b753a64ca6b", "跃入迷城")</f>
        <v>跃入迷城</v>
      </c>
      <c r="R194" t="inlineStr">
        <is>
          <t>4d92b9af-66d1-4cd7-95d1-4b753a64ca6b</t>
        </is>
      </c>
      <c r="S194" t="inlineStr">
        <is>
          <t>d6f4fc05-1a20-4379-80f5-f438834137e3</t>
        </is>
      </c>
      <c r="T194">
        <v>0</v>
      </c>
      <c r="U194">
        <v>0</v>
      </c>
      <c r="V194" t="inlineStr">
        <is>
          <t>0.0.4</t>
        </is>
      </c>
      <c r="W194" t="inlineStr">
        <is>
          <t>已完成</t>
        </is>
      </c>
      <c r="X194"/>
      <c r="Y194" t="inlineStr">
        <is>
          <t>AI</t>
        </is>
      </c>
      <c r="Z194"/>
      <c r="AA194"/>
      <c r="AB194"/>
      <c r="AC194"/>
      <c r="AD194" t="inlineStr">
        <is>
          <t>NzUzMjAzNDQ5ODk2NDY2ODQ0NDpkNmY0ZmMwNS0xYTIwLTQzNzktODBmNS1mNDM4ODM0MTM3ZTM6MTJhY2I0OTlmOTA2NTNjMTdkNTNjN2EzMTM3NzI0Mzg6MQ==</t>
        </is>
      </c>
      <c r="AE194"/>
    </row>
    <row r="195" ht="25.5" customHeight="1">
      <c r="A195" s="2" t="str">
        <f>=HYPERLINK("https://applink.feishu.cn/client/todo/detail?guid=33194356-abd9-439b-bb6e-87af1ea0bc65&amp;suite_entity_num=t100410", "修复近战武器攻击时按住移动，移动会被montage播放结束终端的bug")</f>
        <v>修复近战武器攻击时按住移动，移动会被montage播放结束终端的bug</v>
      </c>
      <c r="B195"/>
      <c r="C195" t="inlineStr">
        <is>
          <t>默认分组</t>
        </is>
      </c>
      <c r="D195" t="inlineStr">
        <is>
          <t>1</t>
        </is>
      </c>
      <c r="E195" t="inlineStr">
        <is>
          <t>或签任务</t>
        </is>
      </c>
      <c r="F195"/>
      <c r="G195" t="inlineStr">
        <is>
          <t>0</t>
        </is>
      </c>
      <c r="H195"/>
      <c r="I195" t="inlineStr">
        <is>
          <t>Decay</t>
        </is>
      </c>
      <c r="J195" t="inlineStr">
        <is>
          <t>龚政涛,李少秋,Decay</t>
        </is>
      </c>
      <c r="K195" t="inlineStr">
        <is>
          <t>龚政涛</t>
        </is>
      </c>
      <c r="L195" s="3">
        <v>45667.600381944445</v>
      </c>
      <c r="M195" s="3"/>
      <c r="N195" s="3">
        <v>45695.71915509259</v>
      </c>
      <c r="O195" s="3"/>
      <c r="P195" s="3">
        <v>45695.71917824074</v>
      </c>
      <c r="Q195" s="2" t="str">
        <f>=HYPERLINK("https://applink.feishu.cn/client/todo/task_list?guid=4d92b9af-66d1-4cd7-95d1-4b753a64ca6b", "跃入迷城")</f>
        <v>跃入迷城</v>
      </c>
      <c r="R195" t="inlineStr">
        <is>
          <t>4d92b9af-66d1-4cd7-95d1-4b753a64ca6b</t>
        </is>
      </c>
      <c r="S195" t="inlineStr">
        <is>
          <t>33194356-abd9-439b-bb6e-87af1ea0bc65</t>
        </is>
      </c>
      <c r="T195">
        <v>0</v>
      </c>
      <c r="U195">
        <v>0</v>
      </c>
      <c r="V195" t="inlineStr">
        <is>
          <t>0.0.4</t>
        </is>
      </c>
      <c r="W195" t="inlineStr">
        <is>
          <t>待验证</t>
        </is>
      </c>
      <c r="X195"/>
      <c r="Y195" t="inlineStr">
        <is>
          <t>操作</t>
        </is>
      </c>
      <c r="Z195"/>
      <c r="AA195"/>
      <c r="AB195"/>
      <c r="AC195"/>
      <c r="AD195" t="inlineStr">
        <is>
          <t>NzUzMjAzNDQ5ODk2NDY2ODQ0NDozMzE5NDM1Ni1hYmQ5LTQzOWItYmI2ZS04N2FmMWVhMGJjNjU6ZjRhNzNmZGIyODIzYzYxMTNhOWMwYzg3MmQ5YThmNzI6MQ==</t>
        </is>
      </c>
      <c r="AE195"/>
    </row>
    <row r="196" ht="25.5" customHeight="1">
      <c r="A196" s="2" t="str">
        <f>=HYPERLINK("https://applink.feishu.cn/client/todo/detail?guid=44de7776-c3af-4269-92ee-29a228cac38f&amp;suite_entity_num=t100424", "冲刺后按住空格键进入奔跑状态，移除单独的奔跑按键，释放后解除状态")</f>
        <v>冲刺后按住空格键进入奔跑状态，移除单独的奔跑按键，释放后解除状态</v>
      </c>
      <c r="B196"/>
      <c r="C196" t="inlineStr">
        <is>
          <t>默认分组</t>
        </is>
      </c>
      <c r="D196" t="inlineStr">
        <is>
          <t>1</t>
        </is>
      </c>
      <c r="E196" t="inlineStr">
        <is>
          <t>或签任务</t>
        </is>
      </c>
      <c r="F196"/>
      <c r="G196" t="inlineStr">
        <is>
          <t>0</t>
        </is>
      </c>
      <c r="H196"/>
      <c r="I196" t="inlineStr">
        <is>
          <t>Decay</t>
        </is>
      </c>
      <c r="J196" t="inlineStr">
        <is>
          <t>龚政涛,Decay</t>
        </is>
      </c>
      <c r="K196" t="inlineStr">
        <is>
          <t>龚政涛</t>
        </is>
      </c>
      <c r="L196" s="3">
        <v>45673.52658564815</v>
      </c>
      <c r="M196" s="3"/>
      <c r="N196" s="3">
        <v>45721.96324074074</v>
      </c>
      <c r="O196" s="3"/>
      <c r="P196" s="3">
        <v>45721.96324074074</v>
      </c>
      <c r="Q196" s="2" t="str">
        <f>=HYPERLINK("https://applink.feishu.cn/client/todo/task_list?guid=4d92b9af-66d1-4cd7-95d1-4b753a64ca6b", "跃入迷城")</f>
        <v>跃入迷城</v>
      </c>
      <c r="R196" t="inlineStr">
        <is>
          <t>4d92b9af-66d1-4cd7-95d1-4b753a64ca6b</t>
        </is>
      </c>
      <c r="S196" t="inlineStr">
        <is>
          <t>44de7776-c3af-4269-92ee-29a228cac38f</t>
        </is>
      </c>
      <c r="T196">
        <v>0</v>
      </c>
      <c r="U196">
        <v>1</v>
      </c>
      <c r="V196" t="inlineStr">
        <is>
          <t>0.0.4</t>
        </is>
      </c>
      <c r="W196" t="inlineStr">
        <is>
          <t>已完成</t>
        </is>
      </c>
      <c r="X196"/>
      <c r="Y196" t="inlineStr">
        <is>
          <t>操作</t>
        </is>
      </c>
      <c r="Z196" t="inlineStr">
        <is>
          <t>P1 - Bigger the Better</t>
        </is>
      </c>
      <c r="AA196"/>
      <c r="AB196"/>
      <c r="AC196"/>
      <c r="AD196" t="inlineStr">
        <is>
          <t>NzUzMjAzNDQ5ODk2NDY2ODQ0NDo0NGRlNzc3Ni1jM2FmLTQyNjktOTJlZS0yOWEyMjhjYWMzOGY6MGVkMjdmZmI4NjZmNzBlNmNlODExNTIzMGU3ZmI0ZWU6MQ==</t>
        </is>
      </c>
      <c r="AE196"/>
    </row>
    <row r="197" ht="25.5" customHeight="1">
      <c r="A197" s="2" t="str">
        <f>=HYPERLINK("https://applink.feishu.cn/client/todo/detail?guid=0b2a9e24-186e-4896-9dd4-a97e5791e44b&amp;suite_entity_num=t100405", "修复“挖掘工”精英版寻路问题")</f>
        <v>修复“挖掘工”精英版寻路问题</v>
      </c>
      <c r="B197"/>
      <c r="C197" t="inlineStr">
        <is>
          <t>默认分组</t>
        </is>
      </c>
      <c r="D197" t="inlineStr">
        <is>
          <t>1</t>
        </is>
      </c>
      <c r="E197" t="inlineStr">
        <is>
          <t>或签任务</t>
        </is>
      </c>
      <c r="F197"/>
      <c r="G197" t="inlineStr">
        <is>
          <t>0</t>
        </is>
      </c>
      <c r="H197"/>
      <c r="I197" t="inlineStr">
        <is>
          <t>李少秋</t>
        </is>
      </c>
      <c r="J197" t="inlineStr">
        <is>
          <t>龚政涛,李少秋</t>
        </is>
      </c>
      <c r="K197" t="inlineStr">
        <is>
          <t>龚政涛</t>
        </is>
      </c>
      <c r="L197" s="3">
        <v>45667.59690972222</v>
      </c>
      <c r="M197" s="3"/>
      <c r="N197" s="3">
        <v>45673.51336805556</v>
      </c>
      <c r="O197" s="3"/>
      <c r="P197" s="3">
        <v>45673.513402777775</v>
      </c>
      <c r="Q197" s="2" t="str">
        <f>=HYPERLINK("https://applink.feishu.cn/client/todo/task_list?guid=4d92b9af-66d1-4cd7-95d1-4b753a64ca6b", "跃入迷城")</f>
        <v>跃入迷城</v>
      </c>
      <c r="R197" t="inlineStr">
        <is>
          <t>4d92b9af-66d1-4cd7-95d1-4b753a64ca6b</t>
        </is>
      </c>
      <c r="S197" t="inlineStr">
        <is>
          <t>0b2a9e24-186e-4896-9dd4-a97e5791e44b</t>
        </is>
      </c>
      <c r="T197">
        <v>0</v>
      </c>
      <c r="U197">
        <v>0</v>
      </c>
      <c r="V197" t="inlineStr">
        <is>
          <t>0.0.4</t>
        </is>
      </c>
      <c r="W197" t="inlineStr">
        <is>
          <t>已完成</t>
        </is>
      </c>
      <c r="X197"/>
      <c r="Y197" t="inlineStr">
        <is>
          <t>AI</t>
        </is>
      </c>
      <c r="Z197"/>
      <c r="AA197"/>
      <c r="AB197"/>
      <c r="AC197"/>
      <c r="AD197" t="inlineStr">
        <is>
          <t>NzUzMjAzNDQ5ODk2NDY2ODQ0NDowYjJhOWUyNC0xODZlLTQ4OTYtOWRkNC1hOTdlNTc5MWU0NGI6OWQwYmRiZmRlZDQ3Y2I0NDg5ZDg5NGE5ZGIxODk1OTE6MQ==</t>
        </is>
      </c>
      <c r="AE197"/>
    </row>
    <row r="198" ht="25.5" customHeight="1">
      <c r="A198" s="2" t="str">
        <f>=HYPERLINK("https://applink.feishu.cn/client/todo/detail?guid=9503e9fc-5449-49eb-b7e8-01980f670373&amp;suite_entity_num=t100406", "修改“电磁护盾”技能")</f>
        <v>修改“电磁护盾”技能</v>
      </c>
      <c r="B198"/>
      <c r="C198" t="inlineStr">
        <is>
          <t>默认分组</t>
        </is>
      </c>
      <c r="D198" t="inlineStr">
        <is>
          <t>1</t>
        </is>
      </c>
      <c r="E198" t="inlineStr">
        <is>
          <t>或签任务</t>
        </is>
      </c>
      <c r="F198"/>
      <c r="G198" t="inlineStr">
        <is>
          <t>0</t>
        </is>
      </c>
      <c r="H198"/>
      <c r="I198" t="inlineStr">
        <is>
          <t>李少秋,Decay</t>
        </is>
      </c>
      <c r="J198" t="inlineStr">
        <is>
          <t>龚政涛,李少秋,Decay</t>
        </is>
      </c>
      <c r="K198" t="inlineStr">
        <is>
          <t>龚政涛</t>
        </is>
      </c>
      <c r="L198" s="3">
        <v>45667.59717592593</v>
      </c>
      <c r="M198" s="3"/>
      <c r="N198" s="3">
        <v>45709.45673611111</v>
      </c>
      <c r="O198" s="3"/>
      <c r="P198" s="3">
        <v>45709.45667824074</v>
      </c>
      <c r="Q198" s="2" t="str">
        <f>=HYPERLINK("https://applink.feishu.cn/client/todo/task_list?guid=4d92b9af-66d1-4cd7-95d1-4b753a64ca6b", "跃入迷城")</f>
        <v>跃入迷城</v>
      </c>
      <c r="R198" t="inlineStr">
        <is>
          <t>4d92b9af-66d1-4cd7-95d1-4b753a64ca6b</t>
        </is>
      </c>
      <c r="S198" t="inlineStr">
        <is>
          <t>9503e9fc-5449-49eb-b7e8-01980f670373</t>
        </is>
      </c>
      <c r="T198">
        <v>0</v>
      </c>
      <c r="U198">
        <v>0</v>
      </c>
      <c r="V198" t="inlineStr">
        <is>
          <t>0.0.4</t>
        </is>
      </c>
      <c r="W198" t="inlineStr">
        <is>
          <t>已废弃</t>
        </is>
      </c>
      <c r="X198"/>
      <c r="Y198" t="inlineStr">
        <is>
          <t>技能</t>
        </is>
      </c>
      <c r="Z198"/>
      <c r="AA198"/>
      <c r="AB198"/>
      <c r="AC198"/>
      <c r="AD198" t="inlineStr">
        <is>
          <t>NzUzMjAzNDQ5ODk2NDY2ODQ0NDo5NTAzZTlmYy01NDQ5LTQ5ZWItYjdlOC0wMTk4MGY2NzAzNzM6OGY1ZjU4NGQ4OWIyOTg0ZjljNzdlZWYzMTEwZjE4NDk6MQ==</t>
        </is>
      </c>
      <c r="AE198"/>
    </row>
    <row r="199" ht="25.5" customHeight="1">
      <c r="A199" s="2" t="str">
        <f>=HYPERLINK("https://applink.feishu.cn/client/todo/detail?guid=c6e73a18-155e-4287-9711-541cb320250a&amp;suite_entity_num=t100388", "技能释放方式：切换")</f>
        <v>技能释放方式：切换</v>
      </c>
      <c r="B199"/>
      <c r="C199" t="inlineStr">
        <is>
          <t>默认分组</t>
        </is>
      </c>
      <c r="D199" t="inlineStr">
        <is>
          <t>1</t>
        </is>
      </c>
      <c r="E199" t="inlineStr">
        <is>
          <t>或签任务</t>
        </is>
      </c>
      <c r="F199"/>
      <c r="G199" t="inlineStr">
        <is>
          <t>0</t>
        </is>
      </c>
      <c r="H199"/>
      <c r="I199" t="inlineStr">
        <is>
          <t>Decay</t>
        </is>
      </c>
      <c r="J199" t="inlineStr">
        <is>
          <t>Decay,龚政涛</t>
        </is>
      </c>
      <c r="K199" t="inlineStr">
        <is>
          <t>Decay</t>
        </is>
      </c>
      <c r="L199" s="3">
        <v>45661.67254629629</v>
      </c>
      <c r="M199" s="3"/>
      <c r="N199" s="3">
        <v>45667.47670138889</v>
      </c>
      <c r="O199" s="3"/>
      <c r="P199" s="3">
        <v>45667.47667824074</v>
      </c>
      <c r="Q199" s="2" t="str">
        <f>=HYPERLINK("https://applink.feishu.cn/client/todo/task_list?guid=4d92b9af-66d1-4cd7-95d1-4b753a64ca6b", "跃入迷城")</f>
        <v>跃入迷城</v>
      </c>
      <c r="R199" t="inlineStr">
        <is>
          <t>4d92b9af-66d1-4cd7-95d1-4b753a64ca6b</t>
        </is>
      </c>
      <c r="S199" t="inlineStr">
        <is>
          <t>c6e73a18-155e-4287-9711-541cb320250a</t>
        </is>
      </c>
      <c r="T199">
        <v>0</v>
      </c>
      <c r="U199">
        <v>2</v>
      </c>
      <c r="V199" t="inlineStr">
        <is>
          <t>0.0.4</t>
        </is>
      </c>
      <c r="W199" t="inlineStr">
        <is>
          <t>已完成</t>
        </is>
      </c>
      <c r="X199"/>
      <c r="Y199" t="inlineStr">
        <is>
          <t>技能</t>
        </is>
      </c>
      <c r="Z199"/>
      <c r="AA199"/>
      <c r="AB199"/>
      <c r="AC199"/>
      <c r="AD199" t="inlineStr">
        <is>
          <t>NzUzMjAzNDQ5ODk2NDY2ODQ0NDpjNmU3M2ExOC0xNTVlLTQyODctOTcxMS01NDFjYjMyMDI1MGE6MDFiNjI3NGRmMTA4OWZkZjgzM2FhMjljZjY1NjJhNDU6MQ==</t>
        </is>
      </c>
      <c r="AE199"/>
    </row>
    <row r="200" ht="25.5" customHeight="1">
      <c r="A200" s="2" t="str">
        <f>=HYPERLINK("https://applink.feishu.cn/client/todo/detail?guid=a5c08e57-527e-4c0e-b910-c1d209da2f58&amp;suite_entity_num=t100397", "尝试为角色增加立体的鼻子，参考“苏醒之路”风格")</f>
        <v>尝试为角色增加立体的鼻子，参考“苏醒之路”风格</v>
      </c>
      <c r="B200"/>
      <c r="C200" t="inlineStr">
        <is>
          <t>默认分组</t>
        </is>
      </c>
      <c r="D200" t="inlineStr">
        <is>
          <t>1</t>
        </is>
      </c>
      <c r="E200" t="inlineStr">
        <is>
          <t>或签任务</t>
        </is>
      </c>
      <c r="F200"/>
      <c r="G200" t="inlineStr">
        <is>
          <t>0</t>
        </is>
      </c>
      <c r="H200"/>
      <c r="I200" t="inlineStr">
        <is>
          <t>薛远临</t>
        </is>
      </c>
      <c r="J200" t="inlineStr">
        <is>
          <t>龚政涛,薛远临</t>
        </is>
      </c>
      <c r="K200" t="inlineStr">
        <is>
          <t>龚政涛</t>
        </is>
      </c>
      <c r="L200" s="3">
        <v>45664.67519675926</v>
      </c>
      <c r="M200" s="3">
        <v>45653.333333333336</v>
      </c>
      <c r="N200" s="3">
        <v>45673.033055555556</v>
      </c>
      <c r="O200" s="3">
        <v>45662.333333333336</v>
      </c>
      <c r="P200" s="3">
        <v>45673.033055555556</v>
      </c>
      <c r="Q200" s="2" t="str">
        <f>=HYPERLINK("https://applink.feishu.cn/client/todo/task_list?guid=4d92b9af-66d1-4cd7-95d1-4b753a64ca6b", "跃入迷城")</f>
        <v>跃入迷城</v>
      </c>
      <c r="R200" t="inlineStr">
        <is>
          <t>4d92b9af-66d1-4cd7-95d1-4b753a64ca6b</t>
        </is>
      </c>
      <c r="S200" t="inlineStr">
        <is>
          <t>a5c08e57-527e-4c0e-b910-c1d209da2f58</t>
        </is>
      </c>
      <c r="T200">
        <v>0</v>
      </c>
      <c r="U200">
        <v>0</v>
      </c>
      <c r="V200" t="inlineStr">
        <is>
          <t>0.0.4</t>
        </is>
      </c>
      <c r="W200" t="inlineStr">
        <is>
          <t>已完成</t>
        </is>
      </c>
      <c r="X200"/>
      <c r="Y200" t="inlineStr">
        <is>
          <t>模型</t>
        </is>
      </c>
      <c r="Z200"/>
      <c r="AA200"/>
      <c r="AB200"/>
      <c r="AC200"/>
      <c r="AD200" t="inlineStr">
        <is>
          <t>NzUzMjAzNDQ5ODk2NDY2ODQ0NDphNWMwOGU1Ny01MjdlLTRjMGUtYjkxMC1jMWQyMDlkYTJmNTg6MTVhYTJmMjRlMDkwYzdjNjZiZGNmZWIzY2JjZDE1MWI6MQ==</t>
        </is>
      </c>
      <c r="AE200"/>
    </row>
    <row r="201" ht="25.5" customHeight="1">
      <c r="A201" s="2" t="str">
        <f>=HYPERLINK("https://applink.feishu.cn/client/todo/detail?guid=bc468084-9d28-4fb7-b79c-4d2c864525c4&amp;suite_entity_num=t100536", "子弹需要真实的弹道，并且适当减速")</f>
        <v>子弹需要真实的弹道，并且适当减速</v>
      </c>
      <c r="B201"/>
      <c r="C201" t="inlineStr">
        <is>
          <t>默认分组</t>
        </is>
      </c>
      <c r="D201" t="inlineStr">
        <is>
          <t>1</t>
        </is>
      </c>
      <c r="E201" t="inlineStr">
        <is>
          <t>或签任务</t>
        </is>
      </c>
      <c r="F201"/>
      <c r="G201" t="inlineStr">
        <is>
          <t>0</t>
        </is>
      </c>
      <c r="H201"/>
      <c r="I201" t="inlineStr">
        <is>
          <t>龚政涛</t>
        </is>
      </c>
      <c r="J201" t="inlineStr">
        <is>
          <t>龚政涛</t>
        </is>
      </c>
      <c r="K201" t="inlineStr">
        <is>
          <t>龚政涛</t>
        </is>
      </c>
      <c r="L201" s="3">
        <v>45695.725752314815</v>
      </c>
      <c r="M201" s="3"/>
      <c r="N201" s="3">
        <v>45866.66878472222</v>
      </c>
      <c r="O201" s="3"/>
      <c r="P201" s="3">
        <v>45874.40435185185</v>
      </c>
      <c r="Q201" s="2" t="str">
        <f>=HYPERLINK("https://applink.feishu.cn/client/todo/task_list?guid=4d92b9af-66d1-4cd7-95d1-4b753a64ca6b", "跃入迷城")</f>
        <v>跃入迷城</v>
      </c>
      <c r="R201" t="inlineStr">
        <is>
          <t>4d92b9af-66d1-4cd7-95d1-4b753a64ca6b</t>
        </is>
      </c>
      <c r="S201" t="inlineStr">
        <is>
          <t>bc468084-9d28-4fb7-b79c-4d2c864525c4</t>
        </is>
      </c>
      <c r="T201">
        <v>0</v>
      </c>
      <c r="U201">
        <v>0</v>
      </c>
      <c r="V201" t="inlineStr">
        <is>
          <t>0.0.5</t>
        </is>
      </c>
      <c r="W201" t="inlineStr">
        <is>
          <t>未开始</t>
        </is>
      </c>
      <c r="X201" t="inlineStr">
        <is>
          <t>🎮玩法</t>
        </is>
      </c>
      <c r="Y201" t="inlineStr">
        <is>
          <t>装备</t>
        </is>
      </c>
      <c r="Z201" t="inlineStr">
        <is>
          <t>P1 - Bigger the Better</t>
        </is>
      </c>
      <c r="AA201"/>
      <c r="AB201"/>
      <c r="AC201"/>
      <c r="AD201" t="inlineStr">
        <is>
          <t>NzUzMjAzNDQ5ODk2NDY2ODQ0NDpiYzQ2ODA4NC05ZDI4LTRmYjctYjc5Yy00ZDJjODY0NTI1YzQ6OGJmY2ZkY2ExMWU5MzIzM2Y3NTAwYTY0Mzk1YTQ3YTU6MQ==</t>
        </is>
      </c>
      <c r="AE201"/>
    </row>
    <row r="202" ht="25.5" customHeight="1">
      <c r="A202" s="2" t="str">
        <f>=HYPERLINK("https://applink.feishu.cn/client/todo/detail?guid=d148a880-a5f8-44e6-8125-e175e5170fab&amp;suite_entity_num=t100411", "v0.0.4 - 迭代结束")</f>
        <v>v0.0.4 - 迭代结束</v>
      </c>
      <c r="B202"/>
      <c r="C202" t="inlineStr">
        <is>
          <t>默认分组</t>
        </is>
      </c>
      <c r="D202" t="inlineStr">
        <is>
          <t>1</t>
        </is>
      </c>
      <c r="E202" t="inlineStr">
        <is>
          <t>或签任务</t>
        </is>
      </c>
      <c r="F202"/>
      <c r="G202" t="inlineStr">
        <is>
          <t>1</t>
        </is>
      </c>
      <c r="H202"/>
      <c r="I202" t="inlineStr">
        <is>
          <t>龚政涛</t>
        </is>
      </c>
      <c r="J202" t="inlineStr">
        <is>
          <t>龚政涛</t>
        </is>
      </c>
      <c r="K202" t="inlineStr">
        <is>
          <t>龚政涛</t>
        </is>
      </c>
      <c r="L202" s="3">
        <v>45667.602476851855</v>
      </c>
      <c r="M202" s="3">
        <v>45711.333333333336</v>
      </c>
      <c r="N202" s="3">
        <v>45728.4059837963</v>
      </c>
      <c r="O202" s="3">
        <v>45727.333333333336</v>
      </c>
      <c r="P202" s="3">
        <v>45733.71042824074</v>
      </c>
      <c r="Q202" s="2" t="str">
        <f>=HYPERLINK("https://applink.feishu.cn/client/todo/task_list?guid=4d92b9af-66d1-4cd7-95d1-4b753a64ca6b", "跃入迷城")</f>
        <v>跃入迷城</v>
      </c>
      <c r="R202" t="inlineStr">
        <is>
          <t>4d92b9af-66d1-4cd7-95d1-4b753a64ca6b</t>
        </is>
      </c>
      <c r="S202" t="inlineStr">
        <is>
          <t>d148a880-a5f8-44e6-8125-e175e5170fab</t>
        </is>
      </c>
      <c r="T202">
        <v>0</v>
      </c>
      <c r="U202">
        <v>0</v>
      </c>
      <c r="V202" t="inlineStr">
        <is>
          <t>0.0.4</t>
        </is>
      </c>
      <c r="W202" t="inlineStr">
        <is>
          <t>已完成</t>
        </is>
      </c>
      <c r="X202"/>
      <c r="Y202" t="inlineStr">
        <is>
          <t>项目管理</t>
        </is>
      </c>
      <c r="Z202" t="inlineStr">
        <is>
          <t>P0 - Must (not) Have</t>
        </is>
      </c>
      <c r="AA202"/>
      <c r="AB202"/>
      <c r="AC202"/>
      <c r="AD202" t="inlineStr">
        <is>
          <t>NzUzMjAzNDQ5ODk2NDY2ODQ0NDpkMTQ4YTg4MC1hNWY4LTQ0ZTYtODEyNS1lMTc1ZTUxNzBmYWI6MTY4ZGJkMGZmZjhmNDFkNWQwY2M4OTcyZmE4MmFlY2Q6MQ==</t>
        </is>
      </c>
      <c r="AE202"/>
    </row>
    <row r="203" ht="25.5" customHeight="1">
      <c r="A203" s="2" t="str">
        <f>=HYPERLINK("https://applink.feishu.cn/client/todo/detail?guid=428ae679-1731-4e67-8d4d-5607735e6a7a&amp;suite_entity_num=t100426", "奔跑状态使用单独的动画，不在正常移动出现，隐藏远程武器激光")</f>
        <v>奔跑状态使用单独的动画，不在正常移动出现，隐藏远程武器激光</v>
      </c>
      <c r="B203"/>
      <c r="C203" t="inlineStr">
        <is>
          <t>默认分组</t>
        </is>
      </c>
      <c r="D203" t="inlineStr">
        <is>
          <t>0</t>
        </is>
      </c>
      <c r="E203" t="inlineStr">
        <is>
          <t>或签任务</t>
        </is>
      </c>
      <c r="F203"/>
      <c r="G203" t="inlineStr">
        <is>
          <t>0</t>
        </is>
      </c>
      <c r="H203"/>
      <c r="I203"/>
      <c r="J203" t="inlineStr">
        <is>
          <t>龚政涛</t>
        </is>
      </c>
      <c r="K203" t="inlineStr">
        <is>
          <t>龚政涛</t>
        </is>
      </c>
      <c r="L203" s="3">
        <v>45673.52700231481</v>
      </c>
      <c r="M203" s="3"/>
      <c r="N203" s="3"/>
      <c r="O203" s="3"/>
      <c r="P203" s="3">
        <v>45719.56978009259</v>
      </c>
      <c r="Q203" s="2" t="str">
        <f>=HYPERLINK("https://applink.feishu.cn/client/todo/task_list?guid=4d92b9af-66d1-4cd7-95d1-4b753a64ca6b", "跃入迷城")</f>
        <v>跃入迷城</v>
      </c>
      <c r="R203" t="inlineStr">
        <is>
          <t>4d92b9af-66d1-4cd7-95d1-4b753a64ca6b</t>
        </is>
      </c>
      <c r="S203" t="inlineStr">
        <is>
          <t>428ae679-1731-4e67-8d4d-5607735e6a7a</t>
        </is>
      </c>
      <c r="T203">
        <v>0</v>
      </c>
      <c r="U203">
        <v>0</v>
      </c>
      <c r="V203" t="inlineStr">
        <is>
          <t>0.1.0</t>
        </is>
      </c>
      <c r="W203" t="inlineStr">
        <is>
          <t>未开始</t>
        </is>
      </c>
      <c r="X203"/>
      <c r="Y203" t="inlineStr">
        <is>
          <t>动画</t>
        </is>
      </c>
      <c r="Z203" t="inlineStr">
        <is>
          <t>P1 - Bigger the Better</t>
        </is>
      </c>
      <c r="AA203"/>
      <c r="AB203"/>
      <c r="AC203"/>
      <c r="AD203" t="inlineStr">
        <is>
          <t>NzUzMjAzNDQ5ODk2NDY2ODQ0NDo0MjhhZTY3OS0xNzMxLTRlNjctOGQ0ZC01NjA3NzM1ZTZhN2E6ZTE4NTIyYWJiM2JhYTk3Yjk5YzY3NDRkNTVkNGE0MGM6MQ==</t>
        </is>
      </c>
      <c r="AE203"/>
    </row>
    <row r="204" ht="25.5" customHeight="1">
      <c r="A204" s="2" t="str">
        <f>=HYPERLINK("https://applink.feishu.cn/client/todo/detail?guid=7b20d840-79cc-4a3d-a52b-b61bd092fe16&amp;suite_entity_num=t100537", "🪡修改：优化了游戏中的VFX效果")</f>
        <v>🪡修改：优化了游戏中的VFX效果</v>
      </c>
      <c r="B204"/>
      <c r="C204" t="inlineStr">
        <is>
          <t>默认分组</t>
        </is>
      </c>
      <c r="D204" t="inlineStr">
        <is>
          <t>0</t>
        </is>
      </c>
      <c r="E204" t="inlineStr">
        <is>
          <t>或签任务</t>
        </is>
      </c>
      <c r="F204"/>
      <c r="G204" t="inlineStr">
        <is>
          <t>0</t>
        </is>
      </c>
      <c r="H204">
        <v>0</v>
      </c>
      <c r="I204" t="inlineStr">
        <is>
          <t>Decay</t>
        </is>
      </c>
      <c r="J204" t="inlineStr">
        <is>
          <t>龚政涛,Decay</t>
        </is>
      </c>
      <c r="K204" t="inlineStr">
        <is>
          <t>龚政涛</t>
        </is>
      </c>
      <c r="L204" s="3">
        <v>45695.72620370371</v>
      </c>
      <c r="M204" s="3">
        <v>45904.333333333336</v>
      </c>
      <c r="N204" s="3"/>
      <c r="O204" s="3">
        <v>45912.333333333336</v>
      </c>
      <c r="P204" s="3">
        <v>45918.56037037037</v>
      </c>
      <c r="Q204" s="2" t="str">
        <f>=HYPERLINK("https://applink.feishu.cn/client/todo/task_list?guid=4d92b9af-66d1-4cd7-95d1-4b753a64ca6b", "跃入迷城")</f>
        <v>跃入迷城</v>
      </c>
      <c r="R204" t="inlineStr">
        <is>
          <t>4d92b9af-66d1-4cd7-95d1-4b753a64ca6b</t>
        </is>
      </c>
      <c r="S204" t="inlineStr">
        <is>
          <t>7b20d840-79cc-4a3d-a52b-b61bd092fe16</t>
        </is>
      </c>
      <c r="T204">
        <v>1</v>
      </c>
      <c r="U204">
        <v>0</v>
      </c>
      <c r="V204" t="inlineStr">
        <is>
          <t>0.0.5</t>
        </is>
      </c>
      <c r="W204"/>
      <c r="X204"/>
      <c r="Y204" t="inlineStr">
        <is>
          <t>装备</t>
        </is>
      </c>
      <c r="Z204" t="inlineStr">
        <is>
          <t>P3 - Not Related</t>
        </is>
      </c>
      <c r="AA204"/>
      <c r="AB204"/>
      <c r="AC204"/>
      <c r="AD204" t="inlineStr">
        <is>
          <t>NzUzMjAzNDQ5ODk2NDY2ODQ0NDo3YjIwZDg0MC03OWNjLTRhM2QtYTUyYi1iNjFiZDA5MmZlMTY6Y2U5N2EwNzBmNDU1ZGU1OWYwZWI4YTRjOWVlOWQyZDQ6MQ==</t>
        </is>
      </c>
      <c r="AE204"/>
    </row>
    <row r="205" ht="25.5" customHeight="1">
      <c r="A205" s="2" t="str">
        <f>=HYPERLINK("https://applink.feishu.cn/client/todo/detail?guid=a9931c2b-7a5e-4036-8310-d1e47eaafe09&amp;suite_entity_num=t100396", "制作小规模DEMO场景，验证Shdaer更新")</f>
        <v>制作小规模DEMO场景，验证Shdaer更新</v>
      </c>
      <c r="B205"/>
      <c r="C205" t="inlineStr">
        <is>
          <t>默认分组</t>
        </is>
      </c>
      <c r="D205" t="inlineStr">
        <is>
          <t>1</t>
        </is>
      </c>
      <c r="E205" t="inlineStr">
        <is>
          <t>或签任务</t>
        </is>
      </c>
      <c r="F205"/>
      <c r="G205" t="inlineStr">
        <is>
          <t>0</t>
        </is>
      </c>
      <c r="H205"/>
      <c r="I205" t="inlineStr">
        <is>
          <t>成都TA小刘</t>
        </is>
      </c>
      <c r="J205" t="inlineStr">
        <is>
          <t>成都TA小刘,龚政涛</t>
        </is>
      </c>
      <c r="K205" t="inlineStr">
        <is>
          <t>龚政涛</t>
        </is>
      </c>
      <c r="L205" s="3">
        <v>45664.65709490741</v>
      </c>
      <c r="M205" s="3">
        <v>45657.333333333336</v>
      </c>
      <c r="N205" s="3">
        <v>45672.971817129626</v>
      </c>
      <c r="O205" s="3">
        <v>45664.333333333336</v>
      </c>
      <c r="P205" s="3">
        <v>45672.971817129626</v>
      </c>
      <c r="Q205" s="2" t="str">
        <f>=HYPERLINK("https://applink.feishu.cn/client/todo/task_list?guid=4d92b9af-66d1-4cd7-95d1-4b753a64ca6b", "跃入迷城")</f>
        <v>跃入迷城</v>
      </c>
      <c r="R205" t="inlineStr">
        <is>
          <t>4d92b9af-66d1-4cd7-95d1-4b753a64ca6b</t>
        </is>
      </c>
      <c r="S205" t="inlineStr">
        <is>
          <t>a9931c2b-7a5e-4036-8310-d1e47eaafe09</t>
        </is>
      </c>
      <c r="T205">
        <v>0</v>
      </c>
      <c r="U205">
        <v>0</v>
      </c>
      <c r="V205" t="inlineStr">
        <is>
          <t>0.0.4</t>
        </is>
      </c>
      <c r="W205" t="inlineStr">
        <is>
          <t>工作中</t>
        </is>
      </c>
      <c r="X205"/>
      <c r="Y205" t="inlineStr">
        <is>
          <t>平面美术</t>
        </is>
      </c>
      <c r="Z205" t="inlineStr">
        <is>
          <t>P0 - Must (not) Have</t>
        </is>
      </c>
      <c r="AA205" t="inlineStr">
        <is>
          <t>1bfba706-e2ef-4efe-a29f-628637704650</t>
        </is>
      </c>
      <c r="AB205"/>
      <c r="AC205"/>
      <c r="AD205" t="inlineStr">
        <is>
          <t>NzUzMjAzNDQ5ODk2NDY2ODQ0NDphOTkzMWMyYi03YTVlLTQwMzYtODMxMC1kMWU0N2VhYWZlMDk6OWRkODJmYTBjODk0MmE1MTdlZTA5YjExNGEwZDY5ZWE6MQ==</t>
        </is>
      </c>
      <c r="AE205"/>
    </row>
    <row r="206" ht="25.5" customHeight="1">
      <c r="A206" s="2" t="str">
        <f>=HYPERLINK("https://applink.feishu.cn/client/todo/detail?guid=dc5fd7ad-e71a-4312-bf7b-58e305f6ad73&amp;suite_entity_num=t100408", "修复“管线技师”攻击和自爆触发问题")</f>
        <v>修复“管线技师”攻击和自爆触发问题</v>
      </c>
      <c r="B206"/>
      <c r="C206" t="inlineStr">
        <is>
          <t>默认分组</t>
        </is>
      </c>
      <c r="D206" t="inlineStr">
        <is>
          <t>1</t>
        </is>
      </c>
      <c r="E206" t="inlineStr">
        <is>
          <t>或签任务</t>
        </is>
      </c>
      <c r="F206"/>
      <c r="G206" t="inlineStr">
        <is>
          <t>0</t>
        </is>
      </c>
      <c r="H206"/>
      <c r="I206" t="inlineStr">
        <is>
          <t>李少秋</t>
        </is>
      </c>
      <c r="J206" t="inlineStr">
        <is>
          <t>龚政涛,李少秋</t>
        </is>
      </c>
      <c r="K206" t="inlineStr">
        <is>
          <t>龚政涛</t>
        </is>
      </c>
      <c r="L206" s="3">
        <v>45667.59763888889</v>
      </c>
      <c r="M206" s="3"/>
      <c r="N206" s="3">
        <v>45673.51341435185</v>
      </c>
      <c r="O206" s="3"/>
      <c r="P206" s="3">
        <v>45673.5134375</v>
      </c>
      <c r="Q206" s="2" t="str">
        <f>=HYPERLINK("https://applink.feishu.cn/client/todo/task_list?guid=4d92b9af-66d1-4cd7-95d1-4b753a64ca6b", "跃入迷城")</f>
        <v>跃入迷城</v>
      </c>
      <c r="R206" t="inlineStr">
        <is>
          <t>4d92b9af-66d1-4cd7-95d1-4b753a64ca6b</t>
        </is>
      </c>
      <c r="S206" t="inlineStr">
        <is>
          <t>dc5fd7ad-e71a-4312-bf7b-58e305f6ad73</t>
        </is>
      </c>
      <c r="T206">
        <v>0</v>
      </c>
      <c r="U206">
        <v>0</v>
      </c>
      <c r="V206" t="inlineStr">
        <is>
          <t>0.0.4</t>
        </is>
      </c>
      <c r="W206" t="inlineStr">
        <is>
          <t>已完成</t>
        </is>
      </c>
      <c r="X206"/>
      <c r="Y206" t="inlineStr">
        <is>
          <t>AI</t>
        </is>
      </c>
      <c r="Z206"/>
      <c r="AA206"/>
      <c r="AB206"/>
      <c r="AC206"/>
      <c r="AD206" t="inlineStr">
        <is>
          <t>NzUzMjAzNDQ5ODk2NDY2ODQ0NDpkYzVmZDdhZC1lNzFhLTQzMTItYmY3Yi01OGUzMDVmNmFkNzM6ODdhMjU5ZTBiODczZTkyNDQxZDgxZWM1OGE3OTg5MmM6MQ==</t>
        </is>
      </c>
      <c r="AE206"/>
    </row>
    <row r="207" ht="25.5" customHeight="1">
      <c r="A207" s="2" t="str">
        <f>=HYPERLINK("https://applink.feishu.cn/client/todo/detail?guid=f13757d5-44f3-4120-ace3-8e2d59451c18&amp;suite_entity_num=t100423", "🪡修改：优化关卡切换的演出")</f>
        <v>🪡修改：优化关卡切换的演出</v>
      </c>
      <c r="B207"/>
      <c r="C207" t="inlineStr">
        <is>
          <t>默认分组</t>
        </is>
      </c>
      <c r="D207" t="inlineStr">
        <is>
          <t>0</t>
        </is>
      </c>
      <c r="E207" t="inlineStr">
        <is>
          <t>或签任务</t>
        </is>
      </c>
      <c r="F207"/>
      <c r="G207" t="inlineStr">
        <is>
          <t>0</t>
        </is>
      </c>
      <c r="H207">
        <v>0</v>
      </c>
      <c r="I207" t="inlineStr">
        <is>
          <t>Decay</t>
        </is>
      </c>
      <c r="J207" t="inlineStr">
        <is>
          <t>龚政涛,Decay</t>
        </is>
      </c>
      <c r="K207" t="inlineStr">
        <is>
          <t>龚政涛</t>
        </is>
      </c>
      <c r="L207" s="3">
        <v>45673.03194444445</v>
      </c>
      <c r="M207" s="3">
        <v>45901.333333333336</v>
      </c>
      <c r="N207" s="3"/>
      <c r="O207" s="3">
        <v>45918.333333333336</v>
      </c>
      <c r="P207" s="3">
        <v>45918.560381944444</v>
      </c>
      <c r="Q207" s="2" t="str">
        <f>=HYPERLINK("https://applink.feishu.cn/client/todo/task_list?guid=4d92b9af-66d1-4cd7-95d1-4b753a64ca6b", "跃入迷城")</f>
        <v>跃入迷城</v>
      </c>
      <c r="R207" t="inlineStr">
        <is>
          <t>4d92b9af-66d1-4cd7-95d1-4b753a64ca6b</t>
        </is>
      </c>
      <c r="S207" t="inlineStr">
        <is>
          <t>f13757d5-44f3-4120-ace3-8e2d59451c18</t>
        </is>
      </c>
      <c r="T207">
        <v>2</v>
      </c>
      <c r="U207">
        <v>1</v>
      </c>
      <c r="V207" t="inlineStr">
        <is>
          <t>0.0.5</t>
        </is>
      </c>
      <c r="W207" t="inlineStr">
        <is>
          <t>未开始</t>
        </is>
      </c>
      <c r="X207"/>
      <c r="Y207" t="inlineStr">
        <is>
          <t>关卡</t>
        </is>
      </c>
      <c r="Z207" t="inlineStr">
        <is>
          <t>P2 - Nice to Have</t>
        </is>
      </c>
      <c r="AA207"/>
      <c r="AB207" t="inlineStr">
        <is>
          <t>ac428c2f-96e9-4cd8-83aa-b78ec9473ea1</t>
        </is>
      </c>
      <c r="AC207"/>
      <c r="AD207" t="inlineStr">
        <is>
          <t>NzUzMjAzNDQ5ODk2NDY2ODQ0NDpmMTM3NTdkNS00NGYzLTQxMjAtYWNlMy04ZTJkNTk0NTFjMTg6ZDFjMmRmZmMxYzUzNGY3NzFiM2FiZDRlYmNiMGFlNWM6MQ==</t>
        </is>
      </c>
      <c r="AE207"/>
    </row>
    <row r="208" ht="25.5" customHeight="1">
      <c r="A208" s="2" t="str">
        <f>=HYPERLINK("https://applink.feishu.cn/client/todo/detail?guid=47d4a90b-3493-4e54-940f-232b966821bb&amp;suite_entity_num=t100381", "制作“喷射器”武器类型")</f>
        <v>制作“喷射器”武器类型</v>
      </c>
      <c r="B208"/>
      <c r="C208" t="inlineStr">
        <is>
          <t>默认分组</t>
        </is>
      </c>
      <c r="D208" t="inlineStr">
        <is>
          <t>1</t>
        </is>
      </c>
      <c r="E208" t="inlineStr">
        <is>
          <t>或签任务</t>
        </is>
      </c>
      <c r="F208"/>
      <c r="G208" t="inlineStr">
        <is>
          <t>0</t>
        </is>
      </c>
      <c r="H208"/>
      <c r="I208" t="inlineStr">
        <is>
          <t>Decay</t>
        </is>
      </c>
      <c r="J208" t="inlineStr">
        <is>
          <t>Decay,李少秋,龚政涛</t>
        </is>
      </c>
      <c r="K208" t="inlineStr">
        <is>
          <t>龚政涛</t>
        </is>
      </c>
      <c r="L208" s="3">
        <v>45651.686875</v>
      </c>
      <c r="M208" s="3">
        <v>45634.333333333336</v>
      </c>
      <c r="N208" s="3">
        <v>45672.98957175926</v>
      </c>
      <c r="O208" s="3">
        <v>45634.333333333336</v>
      </c>
      <c r="P208" s="3">
        <v>45672.989583333336</v>
      </c>
      <c r="Q208" s="2" t="str">
        <f>=HYPERLINK("https://applink.feishu.cn/client/todo/task_list?guid=4d92b9af-66d1-4cd7-95d1-4b753a64ca6b", "跃入迷城")</f>
        <v>跃入迷城</v>
      </c>
      <c r="R208" t="inlineStr">
        <is>
          <t>4d92b9af-66d1-4cd7-95d1-4b753a64ca6b</t>
        </is>
      </c>
      <c r="S208" t="inlineStr">
        <is>
          <t>47d4a90b-3493-4e54-940f-232b966821bb</t>
        </is>
      </c>
      <c r="T208">
        <v>0</v>
      </c>
      <c r="U208">
        <v>1</v>
      </c>
      <c r="V208" t="inlineStr">
        <is>
          <t>0.0.4</t>
        </is>
      </c>
      <c r="W208" t="inlineStr">
        <is>
          <t>已完成</t>
        </is>
      </c>
      <c r="X208"/>
      <c r="Y208" t="inlineStr">
        <is>
          <t>装备</t>
        </is>
      </c>
      <c r="Z208"/>
      <c r="AA208"/>
      <c r="AB208"/>
      <c r="AC208"/>
      <c r="AD208" t="inlineStr">
        <is>
          <t>NzUzMjAzNDQ5ODk2NDY2ODQ0NDo0N2Q0YTkwYi0zNDkzLTRlNTQtOTQwZi0yMzJiOTY2ODIxYmI6N2E2ODRmM2I4NmRjNWZhNmYxNGZlMGNhMmEzM2Q1YWM6MQ==</t>
        </is>
      </c>
      <c r="AE208"/>
    </row>
    <row r="209" ht="25.5" customHeight="1">
      <c r="A209" s="2" t="str">
        <f>=HYPERLINK("https://applink.feishu.cn/client/todo/detail?guid=1daf5653-8e0d-47b0-aafb-dd807601f288&amp;suite_entity_num=t100398", "尝试将完整的模型迁回UE5")</f>
        <v>尝试将完整的模型迁回UE5</v>
      </c>
      <c r="B209"/>
      <c r="C209" t="inlineStr">
        <is>
          <t>默认分组</t>
        </is>
      </c>
      <c r="D209" t="inlineStr">
        <is>
          <t>1</t>
        </is>
      </c>
      <c r="E209" t="inlineStr">
        <is>
          <t>或签任务</t>
        </is>
      </c>
      <c r="F209"/>
      <c r="G209" t="inlineStr">
        <is>
          <t>0</t>
        </is>
      </c>
      <c r="H209"/>
      <c r="I209" t="inlineStr">
        <is>
          <t>薛远临</t>
        </is>
      </c>
      <c r="J209" t="inlineStr">
        <is>
          <t>薛远临,龚政涛</t>
        </is>
      </c>
      <c r="K209" t="inlineStr">
        <is>
          <t>龚政涛</t>
        </is>
      </c>
      <c r="L209" s="3">
        <v>45664.70753472222</v>
      </c>
      <c r="M209" s="3">
        <v>45663.333333333336</v>
      </c>
      <c r="N209" s="3">
        <v>45673.03304398148</v>
      </c>
      <c r="O209" s="3">
        <v>45664.333333333336</v>
      </c>
      <c r="P209" s="3">
        <v>45673.033055555556</v>
      </c>
      <c r="Q209" s="2" t="str">
        <f>=HYPERLINK("https://applink.feishu.cn/client/todo/task_list?guid=4d92b9af-66d1-4cd7-95d1-4b753a64ca6b", "跃入迷城")</f>
        <v>跃入迷城</v>
      </c>
      <c r="R209" t="inlineStr">
        <is>
          <t>4d92b9af-66d1-4cd7-95d1-4b753a64ca6b</t>
        </is>
      </c>
      <c r="S209" t="inlineStr">
        <is>
          <t>1daf5653-8e0d-47b0-aafb-dd807601f288</t>
        </is>
      </c>
      <c r="T209">
        <v>0</v>
      </c>
      <c r="U209">
        <v>0</v>
      </c>
      <c r="V209" t="inlineStr">
        <is>
          <t>0.0.4</t>
        </is>
      </c>
      <c r="W209" t="inlineStr">
        <is>
          <t>已完成</t>
        </is>
      </c>
      <c r="X209"/>
      <c r="Y209" t="inlineStr">
        <is>
          <t>模型</t>
        </is>
      </c>
      <c r="Z209"/>
      <c r="AA209"/>
      <c r="AB209"/>
      <c r="AC209"/>
      <c r="AD209" t="inlineStr">
        <is>
          <t>NzUzMjAzNDQ5ODk2NDY2ODQ0NDoxZGFmNTY1My04ZTBkLTQ3YjAtYWFmYi1kZDgwNzYwMWYyODg6ZmExMmEyZDM3ZTAyYmI1OGE1ZDI0MjMzMzJkNjM5ODk6MQ==</t>
        </is>
      </c>
      <c r="AE209"/>
    </row>
    <row r="210" ht="25.5" customHeight="1">
      <c r="A210" s="2" t="str">
        <f>=HYPERLINK("https://applink.feishu.cn/client/todo/detail?guid=108509d6-95e8-4cc8-a5c1-a5619b9c73f6&amp;suite_entity_num=t100358", "制作波点阴影/高光")</f>
        <v>制作波点阴影/高光</v>
      </c>
      <c r="B210"/>
      <c r="C210" t="inlineStr">
        <is>
          <t>默认分组</t>
        </is>
      </c>
      <c r="D210" t="inlineStr">
        <is>
          <t>1</t>
        </is>
      </c>
      <c r="E210" t="inlineStr">
        <is>
          <t>或签任务</t>
        </is>
      </c>
      <c r="F210"/>
      <c r="G210" t="inlineStr">
        <is>
          <t>0</t>
        </is>
      </c>
      <c r="H210"/>
      <c r="I210" t="inlineStr">
        <is>
          <t>成都TA小刘</t>
        </is>
      </c>
      <c r="J210" t="inlineStr">
        <is>
          <t>龚政涛,成都TA小刘</t>
        </is>
      </c>
      <c r="K210" t="inlineStr">
        <is>
          <t>龚政涛</t>
        </is>
      </c>
      <c r="L210" s="3">
        <v>45648.87603009259</v>
      </c>
      <c r="M210" s="3">
        <v>45657.333333333336</v>
      </c>
      <c r="N210" s="3">
        <v>45672.97310185185</v>
      </c>
      <c r="O210" s="3">
        <v>45664.333333333336</v>
      </c>
      <c r="P210" s="3">
        <v>45672.97311342593</v>
      </c>
      <c r="Q210" s="2" t="str">
        <f>=HYPERLINK("https://applink.feishu.cn/client/todo/task_list?guid=4d92b9af-66d1-4cd7-95d1-4b753a64ca6b", "跃入迷城")</f>
        <v>跃入迷城</v>
      </c>
      <c r="R210" t="inlineStr">
        <is>
          <t>4d92b9af-66d1-4cd7-95d1-4b753a64ca6b</t>
        </is>
      </c>
      <c r="S210" t="inlineStr">
        <is>
          <t>108509d6-95e8-4cc8-a5c1-a5619b9c73f6</t>
        </is>
      </c>
      <c r="T210">
        <v>0</v>
      </c>
      <c r="U210">
        <v>0</v>
      </c>
      <c r="V210" t="inlineStr">
        <is>
          <t>0.0.4</t>
        </is>
      </c>
      <c r="W210" t="inlineStr">
        <is>
          <t>工作中</t>
        </is>
      </c>
      <c r="X210"/>
      <c r="Y210" t="inlineStr">
        <is>
          <t>平面美术</t>
        </is>
      </c>
      <c r="Z210" t="inlineStr">
        <is>
          <t>P0 - Must (not) Have</t>
        </is>
      </c>
      <c r="AA210"/>
      <c r="AB210"/>
      <c r="AC210"/>
      <c r="AD210" t="inlineStr">
        <is>
          <t>NzUzMjAzNDQ5ODk2NDY2ODQ0NDoxMDg1MDlkNi05NWU4LTRjYzgtYTVjMS1hNTYxOWI5YzczZjY6YTExMDA3ODU3MWYyMWIxYjJiOGIxY2E5NGYxOWIzNTY6MQ==</t>
        </is>
      </c>
      <c r="AE210"/>
    </row>
    <row r="211" ht="25.5" customHeight="1">
      <c r="A211" s="2" t="str">
        <f>=HYPERLINK("https://applink.feishu.cn/client/todo/detail?guid=e6170299-f46d-4338-8056-b48e12cde798&amp;suite_entity_num=t100379", "制作“麻痹射击”技能物品列表")</f>
        <v>制作“麻痹射击”技能物品列表</v>
      </c>
      <c r="B211"/>
      <c r="C211" t="inlineStr">
        <is>
          <t>默认分组</t>
        </is>
      </c>
      <c r="D211" t="inlineStr">
        <is>
          <t>1</t>
        </is>
      </c>
      <c r="E211" t="inlineStr">
        <is>
          <t>或签任务</t>
        </is>
      </c>
      <c r="F211"/>
      <c r="G211" t="inlineStr">
        <is>
          <t>0</t>
        </is>
      </c>
      <c r="H211"/>
      <c r="I211" t="inlineStr">
        <is>
          <t>李少秋</t>
        </is>
      </c>
      <c r="J211" t="inlineStr">
        <is>
          <t>龚政涛,李少秋</t>
        </is>
      </c>
      <c r="K211" t="inlineStr">
        <is>
          <t>龚政涛</t>
        </is>
      </c>
      <c r="L211" s="3">
        <v>45651.67821759259</v>
      </c>
      <c r="M211" s="3"/>
      <c r="N211" s="3">
        <v>45664.67346064815</v>
      </c>
      <c r="O211" s="3"/>
      <c r="P211" s="3">
        <v>45664.67350694445</v>
      </c>
      <c r="Q211" s="2" t="str">
        <f>=HYPERLINK("https://applink.feishu.cn/client/todo/task_list?guid=4d92b9af-66d1-4cd7-95d1-4b753a64ca6b", "跃入迷城")</f>
        <v>跃入迷城</v>
      </c>
      <c r="R211" t="inlineStr">
        <is>
          <t>4d92b9af-66d1-4cd7-95d1-4b753a64ca6b</t>
        </is>
      </c>
      <c r="S211" t="inlineStr">
        <is>
          <t>e6170299-f46d-4338-8056-b48e12cde798</t>
        </is>
      </c>
      <c r="T211">
        <v>0</v>
      </c>
      <c r="U211">
        <v>0</v>
      </c>
      <c r="V211" t="inlineStr">
        <is>
          <t>0.0.4</t>
        </is>
      </c>
      <c r="W211" t="inlineStr">
        <is>
          <t>已完成</t>
        </is>
      </c>
      <c r="X211"/>
      <c r="Y211" t="inlineStr">
        <is>
          <t>技能</t>
        </is>
      </c>
      <c r="Z211"/>
      <c r="AA211"/>
      <c r="AB211"/>
      <c r="AC211"/>
      <c r="AD211" t="inlineStr">
        <is>
          <t>NzUzMjAzNDQ5ODk2NDY2ODQ0NDplNjE3MDI5OS1mNDZkLTQzMzgtODA1Ni1iNDhlMTJjZGU3OTg6OThiMDM2MmUyZDQ2MTE4MDg3NGI3YjlhNjJjNmJlNjc6MQ==</t>
        </is>
      </c>
      <c r="AE211"/>
    </row>
    <row r="212" ht="25.5" customHeight="1">
      <c r="A212" s="2" t="str">
        <f>=HYPERLINK("https://applink.feishu.cn/client/todo/detail?guid=0d9f9695-a7b2-4ffa-88bc-5e9b74ee0e42&amp;suite_entity_num=t100541", "重武器的动画")</f>
        <v>重武器的动画</v>
      </c>
      <c r="B212"/>
      <c r="C212" t="inlineStr">
        <is>
          <t>默认分组</t>
        </is>
      </c>
      <c r="D212" t="inlineStr">
        <is>
          <t>0</t>
        </is>
      </c>
      <c r="E212" t="inlineStr">
        <is>
          <t>或签任务</t>
        </is>
      </c>
      <c r="F212"/>
      <c r="G212" t="inlineStr">
        <is>
          <t>0</t>
        </is>
      </c>
      <c r="H212"/>
      <c r="I212" t="inlineStr">
        <is>
          <t>龚政涛</t>
        </is>
      </c>
      <c r="J212" t="inlineStr">
        <is>
          <t>龚政涛</t>
        </is>
      </c>
      <c r="K212" t="inlineStr">
        <is>
          <t>龚政涛</t>
        </is>
      </c>
      <c r="L212" s="3">
        <v>45696.59365740741</v>
      </c>
      <c r="M212" s="3"/>
      <c r="N212" s="3"/>
      <c r="O212" s="3"/>
      <c r="P212" s="3">
        <v>45866.66929398148</v>
      </c>
      <c r="Q212" s="2" t="str">
        <f>=HYPERLINK("https://applink.feishu.cn/client/todo/task_list?guid=4d92b9af-66d1-4cd7-95d1-4b753a64ca6b", "跃入迷城")</f>
        <v>跃入迷城</v>
      </c>
      <c r="R212" t="inlineStr">
        <is>
          <t>4d92b9af-66d1-4cd7-95d1-4b753a64ca6b</t>
        </is>
      </c>
      <c r="S212" t="inlineStr">
        <is>
          <t>0d9f9695-a7b2-4ffa-88bc-5e9b74ee0e42</t>
        </is>
      </c>
      <c r="T212">
        <v>0</v>
      </c>
      <c r="U212">
        <v>0</v>
      </c>
      <c r="V212" t="inlineStr">
        <is>
          <t>0.0.5</t>
        </is>
      </c>
      <c r="W212" t="inlineStr">
        <is>
          <t>未开始</t>
        </is>
      </c>
      <c r="X212" t="inlineStr">
        <is>
          <t>🎨艺术</t>
        </is>
      </c>
      <c r="Y212" t="inlineStr">
        <is>
          <t>动画</t>
        </is>
      </c>
      <c r="Z212" t="inlineStr">
        <is>
          <t>P1 - Bigger the Better</t>
        </is>
      </c>
      <c r="AA212"/>
      <c r="AB212"/>
      <c r="AC212"/>
      <c r="AD212" t="inlineStr">
        <is>
          <t>NzUzMjAzNDQ5ODk2NDY2ODQ0NDowZDlmOTY5NS1hN2IyLTRmZmEtODhiYy01ZTliNzRlZTBlNDI6Yzk5ODY5OWRkODdhMGIxMzhjZGY5MmNlZjlkZDM3M2M6MQ==</t>
        </is>
      </c>
      <c r="AE212"/>
    </row>
    <row r="213" ht="25.5" customHeight="1">
      <c r="A213" s="2" t="str">
        <f>=HYPERLINK("https://applink.feishu.cn/client/todo/detail?guid=b158e490-bc63-4f64-a870-7105c0124b09&amp;suite_entity_num=t100538", "近战攻击未完成时，应该无法切换远程武器，现在切了激光笔会穿帮，而且GUI也会有点问题。")</f>
        <v>近战攻击未完成时，应该无法切换远程武器，现在切了激光笔会穿帮，而且GUI也会有点问题。</v>
      </c>
      <c r="B213"/>
      <c r="C213" t="inlineStr">
        <is>
          <t>默认分组</t>
        </is>
      </c>
      <c r="D213" t="inlineStr">
        <is>
          <t>1</t>
        </is>
      </c>
      <c r="E213" t="inlineStr">
        <is>
          <t>或签任务</t>
        </is>
      </c>
      <c r="F213"/>
      <c r="G213" t="inlineStr">
        <is>
          <t>0</t>
        </is>
      </c>
      <c r="H213"/>
      <c r="I213" t="inlineStr">
        <is>
          <t>Decay</t>
        </is>
      </c>
      <c r="J213" t="inlineStr">
        <is>
          <t>龚政涛,Decay</t>
        </is>
      </c>
      <c r="K213" t="inlineStr">
        <is>
          <t>龚政涛</t>
        </is>
      </c>
      <c r="L213" s="3">
        <v>45695.7266087963</v>
      </c>
      <c r="M213" s="3"/>
      <c r="N213" s="3">
        <v>45709.456296296295</v>
      </c>
      <c r="O213" s="3"/>
      <c r="P213" s="3">
        <v>45709.456238425926</v>
      </c>
      <c r="Q213" s="2" t="str">
        <f>=HYPERLINK("https://applink.feishu.cn/client/todo/task_list?guid=4d92b9af-66d1-4cd7-95d1-4b753a64ca6b", "跃入迷城")</f>
        <v>跃入迷城</v>
      </c>
      <c r="R213" t="inlineStr">
        <is>
          <t>4d92b9af-66d1-4cd7-95d1-4b753a64ca6b</t>
        </is>
      </c>
      <c r="S213" t="inlineStr">
        <is>
          <t>b158e490-bc63-4f64-a870-7105c0124b09</t>
        </is>
      </c>
      <c r="T213">
        <v>0</v>
      </c>
      <c r="U213">
        <v>0</v>
      </c>
      <c r="V213" t="inlineStr">
        <is>
          <t>0.0.4</t>
        </is>
      </c>
      <c r="W213" t="inlineStr">
        <is>
          <t>已完成</t>
        </is>
      </c>
      <c r="X213"/>
      <c r="Y213" t="inlineStr">
        <is>
          <t>装备</t>
        </is>
      </c>
      <c r="Z213" t="inlineStr">
        <is>
          <t>P0 - Must (not) Have</t>
        </is>
      </c>
      <c r="AA213"/>
      <c r="AB213"/>
      <c r="AC213"/>
      <c r="AD213" t="inlineStr">
        <is>
          <t>NzUzMjAzNDQ5ODk2NDY2ODQ0NDpiMTU4ZTQ5MC1iYzYzLTRmNjQtYTg3MC03MTA1YzAxMjRiMDk6NGQxZGMyMWYxNTExNjUxZmQ4NTc1ZTkyZmI4NmZmYzg6MQ==</t>
        </is>
      </c>
      <c r="AE213"/>
    </row>
    <row r="214" ht="25.5" customHeight="1">
      <c r="A214" s="2" t="str">
        <f>=HYPERLINK("https://applink.feishu.cn/client/todo/detail?guid=135548d4-02aa-4a09-83cc-914732151472&amp;suite_entity_num=t100560", "EnemySpawn调整")</f>
        <v>EnemySpawn调整</v>
      </c>
      <c r="B214"/>
      <c r="C214" t="inlineStr">
        <is>
          <t>默认分组</t>
        </is>
      </c>
      <c r="D214" t="inlineStr">
        <is>
          <t>1</t>
        </is>
      </c>
      <c r="E214" t="inlineStr">
        <is>
          <t>或签任务</t>
        </is>
      </c>
      <c r="F214"/>
      <c r="G214" t="inlineStr">
        <is>
          <t>0</t>
        </is>
      </c>
      <c r="H214"/>
      <c r="I214" t="inlineStr">
        <is>
          <t>Decay</t>
        </is>
      </c>
      <c r="J214" t="inlineStr">
        <is>
          <t>Decay</t>
        </is>
      </c>
      <c r="K214" t="inlineStr">
        <is>
          <t>Decay</t>
        </is>
      </c>
      <c r="L214" s="3">
        <v>45716.69673611111</v>
      </c>
      <c r="M214" s="3"/>
      <c r="N214" s="3">
        <v>45719.55982638889</v>
      </c>
      <c r="O214" s="3"/>
      <c r="P214" s="3">
        <v>45719.55982638889</v>
      </c>
      <c r="Q214" s="2" t="str">
        <f>=HYPERLINK("https://applink.feishu.cn/client/todo/task_list?guid=4d92b9af-66d1-4cd7-95d1-4b753a64ca6b", "跃入迷城")</f>
        <v>跃入迷城</v>
      </c>
      <c r="R214" t="inlineStr">
        <is>
          <t>4d92b9af-66d1-4cd7-95d1-4b753a64ca6b</t>
        </is>
      </c>
      <c r="S214" t="inlineStr">
        <is>
          <t>135548d4-02aa-4a09-83cc-914732151472</t>
        </is>
      </c>
      <c r="T214">
        <v>0</v>
      </c>
      <c r="U214">
        <v>1</v>
      </c>
      <c r="V214" t="inlineStr">
        <is>
          <t>0.0.4</t>
        </is>
      </c>
      <c r="W214" t="inlineStr">
        <is>
          <t>已完成</t>
        </is>
      </c>
      <c r="X214"/>
      <c r="Y214" t="inlineStr">
        <is>
          <t>AI</t>
        </is>
      </c>
      <c r="Z214" t="inlineStr">
        <is>
          <t>P2 - Nice to Have</t>
        </is>
      </c>
      <c r="AA214"/>
      <c r="AB214"/>
      <c r="AC214"/>
      <c r="AD214" t="inlineStr">
        <is>
          <t>NzUzMjAzNDQ5ODk2NDY2ODQ0NDoxMzU1NDhkNC0wMmFhLTRhMDktODNjYy05MTQ3MzIxNTE0NzI6YzkwODlhOWFlMmRiOTVlZjcyNjczMjY5M2MxNzQxZGQ6MQ==</t>
        </is>
      </c>
      <c r="AE214"/>
    </row>
    <row r="215" ht="25.5" customHeight="1">
      <c r="A215" s="2" t="str">
        <f>=HYPERLINK("https://applink.feishu.cn/client/todo/detail?guid=3cd10cb7-5b87-4550-af5c-3bb0d2b1e180&amp;suite_entity_num=t100550", "BUG：技能 - 战术翻滚；缺少弹药重装填")</f>
        <v>BUG：技能 - 战术翻滚；缺少弹药重装填</v>
      </c>
      <c r="B215"/>
      <c r="C215" t="inlineStr">
        <is>
          <t>默认分组</t>
        </is>
      </c>
      <c r="D215" t="inlineStr">
        <is>
          <t>1</t>
        </is>
      </c>
      <c r="E215" t="inlineStr">
        <is>
          <t>或签任务</t>
        </is>
      </c>
      <c r="F215"/>
      <c r="G215" t="inlineStr">
        <is>
          <t>0</t>
        </is>
      </c>
      <c r="H215"/>
      <c r="I215" t="inlineStr">
        <is>
          <t>Decay</t>
        </is>
      </c>
      <c r="J215" t="inlineStr">
        <is>
          <t>Decay</t>
        </is>
      </c>
      <c r="K215" t="inlineStr">
        <is>
          <t>Decay</t>
        </is>
      </c>
      <c r="L215" s="3">
        <v>45714.72987268519</v>
      </c>
      <c r="M215" s="3"/>
      <c r="N215" s="3">
        <v>45730.673310185186</v>
      </c>
      <c r="O215" s="3">
        <v>45724.333333333336</v>
      </c>
      <c r="P215" s="3">
        <v>45730.67329861111</v>
      </c>
      <c r="Q215" s="2" t="str">
        <f>=HYPERLINK("https://applink.feishu.cn/client/todo/task_list?guid=4d92b9af-66d1-4cd7-95d1-4b753a64ca6b", "跃入迷城")</f>
        <v>跃入迷城</v>
      </c>
      <c r="R215" t="inlineStr">
        <is>
          <t>4d92b9af-66d1-4cd7-95d1-4b753a64ca6b</t>
        </is>
      </c>
      <c r="S215" t="inlineStr">
        <is>
          <t>3cd10cb7-5b87-4550-af5c-3bb0d2b1e180</t>
        </is>
      </c>
      <c r="T215">
        <v>0</v>
      </c>
      <c r="U215">
        <v>0</v>
      </c>
      <c r="V215" t="inlineStr">
        <is>
          <t>0.0.4</t>
        </is>
      </c>
      <c r="W215" t="inlineStr">
        <is>
          <t>已完成</t>
        </is>
      </c>
      <c r="X215"/>
      <c r="Y215" t="inlineStr">
        <is>
          <t>技能</t>
        </is>
      </c>
      <c r="Z215" t="inlineStr">
        <is>
          <t>P1 - Bigger the Better</t>
        </is>
      </c>
      <c r="AA215"/>
      <c r="AB215"/>
      <c r="AC215"/>
      <c r="AD215" t="inlineStr">
        <is>
          <t>NzUzMjAzNDQ5ODk2NDY2ODQ0NDozY2QxMGNiNy01Yjg3LTQ1NTAtYWY1Yy0zYmIwZDJiMWUxODA6ZGNhMjA4YjM4ODAyNzBhNDQxNzE1YmQxMDdkZGM5NTY6MQ==</t>
        </is>
      </c>
      <c r="AE215"/>
    </row>
    <row r="216" ht="25.5" customHeight="1">
      <c r="A216" s="2" t="str">
        <f>=HYPERLINK("https://applink.feishu.cn/client/todo/detail?guid=97a36a54-fd4b-4d6b-bb96-03de494d23f5&amp;suite_entity_num=t100552", "电磁异常导致敌人定身")</f>
        <v>电磁异常导致敌人定身</v>
      </c>
      <c r="B216"/>
      <c r="C216" t="inlineStr">
        <is>
          <t>默认分组</t>
        </is>
      </c>
      <c r="D216" t="inlineStr">
        <is>
          <t>1</t>
        </is>
      </c>
      <c r="E216" t="inlineStr">
        <is>
          <t>或签任务</t>
        </is>
      </c>
      <c r="F216"/>
      <c r="G216" t="inlineStr">
        <is>
          <t>0</t>
        </is>
      </c>
      <c r="H216"/>
      <c r="I216" t="inlineStr">
        <is>
          <t>Decay</t>
        </is>
      </c>
      <c r="J216" t="inlineStr">
        <is>
          <t>Decay</t>
        </is>
      </c>
      <c r="K216" t="inlineStr">
        <is>
          <t>Decay</t>
        </is>
      </c>
      <c r="L216" s="3">
        <v>45715.55247685185</v>
      </c>
      <c r="M216" s="3"/>
      <c r="N216" s="3">
        <v>45720.716990740744</v>
      </c>
      <c r="O216" s="3">
        <v>45719.333333333336</v>
      </c>
      <c r="P216" s="3">
        <v>45720.716990740744</v>
      </c>
      <c r="Q216" s="2" t="str">
        <f>=HYPERLINK("https://applink.feishu.cn/client/todo/task_list?guid=4d92b9af-66d1-4cd7-95d1-4b753a64ca6b", "跃入迷城")</f>
        <v>跃入迷城</v>
      </c>
      <c r="R216" t="inlineStr">
        <is>
          <t>4d92b9af-66d1-4cd7-95d1-4b753a64ca6b</t>
        </is>
      </c>
      <c r="S216" t="inlineStr">
        <is>
          <t>97a36a54-fd4b-4d6b-bb96-03de494d23f5</t>
        </is>
      </c>
      <c r="T216">
        <v>0</v>
      </c>
      <c r="U216">
        <v>2</v>
      </c>
      <c r="V216" t="inlineStr">
        <is>
          <t>0.0.4</t>
        </is>
      </c>
      <c r="W216" t="inlineStr">
        <is>
          <t>已废弃</t>
        </is>
      </c>
      <c r="X216"/>
      <c r="Y216" t="inlineStr">
        <is>
          <t>装备</t>
        </is>
      </c>
      <c r="Z216" t="inlineStr">
        <is>
          <t>P0 - Must (not) Have</t>
        </is>
      </c>
      <c r="AA216"/>
      <c r="AB216"/>
      <c r="AC216"/>
      <c r="AD216" t="inlineStr">
        <is>
          <t>NzUzMjAzNDQ5ODk2NDY2ODQ0NDo5N2EzNmE1NC1mZDRiLTRkNmItYmI5Ni0wM2RlNDk0ZDIzZjU6MGJhMDQ1ZjZlMTBmOTM0MzY4MDQ2Mjg1MTIxN2U5ODk6MQ==</t>
        </is>
      </c>
      <c r="AE216"/>
    </row>
    <row r="217" ht="25.5" customHeight="1">
      <c r="A217" s="2" t="str">
        <f>=HYPERLINK("https://applink.feishu.cn/client/todo/detail?guid=6607c84c-8531-40d5-9fa9-156d4b692b98&amp;suite_entity_num=t100559", "伤害数字 &lt; 🪡修改：彻底更新了场景内、HUD的UI效果")</f>
        <v>伤害数字 &lt; 🪡修改：彻底更新了场景内、HUD的UI效果</v>
      </c>
      <c r="B217"/>
      <c r="C217" t="inlineStr">
        <is>
          <t>默认分组</t>
        </is>
      </c>
      <c r="D217" t="inlineStr">
        <is>
          <t>0</t>
        </is>
      </c>
      <c r="E217" t="inlineStr">
        <is>
          <t>或签任务</t>
        </is>
      </c>
      <c r="F217"/>
      <c r="G217" t="inlineStr">
        <is>
          <t>0</t>
        </is>
      </c>
      <c r="H217"/>
      <c r="I217" t="inlineStr">
        <is>
          <t>郭斯已</t>
        </is>
      </c>
      <c r="J217" t="inlineStr">
        <is>
          <t>Decay,龚政涛,郭斯已</t>
        </is>
      </c>
      <c r="K217" t="inlineStr">
        <is>
          <t>Decay</t>
        </is>
      </c>
      <c r="L217" s="3">
        <v>45716.69261574074</v>
      </c>
      <c r="M217" s="3">
        <v>45898.333333333336</v>
      </c>
      <c r="N217" s="3"/>
      <c r="O217" s="3">
        <v>45917.333333333336</v>
      </c>
      <c r="P217" s="3">
        <v>45917.44814814815</v>
      </c>
      <c r="Q217" s="2" t="str">
        <f>=HYPERLINK("https://applink.feishu.cn/client/todo/task_list?guid=4d92b9af-66d1-4cd7-95d1-4b753a64ca6b", "跃入迷城")</f>
        <v>跃入迷城</v>
      </c>
      <c r="R217" t="inlineStr">
        <is>
          <t>4d92b9af-66d1-4cd7-95d1-4b753a64ca6b</t>
        </is>
      </c>
      <c r="S217" t="inlineStr">
        <is>
          <t>6607c84c-8531-40d5-9fa9-156d4b692b98</t>
        </is>
      </c>
      <c r="T217">
        <v>0</v>
      </c>
      <c r="U217">
        <v>1</v>
      </c>
      <c r="V217" t="inlineStr">
        <is>
          <t>0.0.5</t>
        </is>
      </c>
      <c r="W217" t="inlineStr">
        <is>
          <t>工作中</t>
        </is>
      </c>
      <c r="X217" t="inlineStr">
        <is>
          <t>🎨艺术</t>
        </is>
      </c>
      <c r="Y217" t="inlineStr">
        <is>
          <t>UIUX</t>
        </is>
      </c>
      <c r="Z217" t="inlineStr">
        <is>
          <t>P1 - Bigger the Better</t>
        </is>
      </c>
      <c r="AA217"/>
      <c r="AB217"/>
      <c r="AC217" t="inlineStr">
        <is>
          <t>ee9e782f-8625-473f-ba1b-d97ed6c6e2f9</t>
        </is>
      </c>
      <c r="AD217" t="inlineStr">
        <is>
          <t>NzUzMjAzNDQ5ODk2NDY2ODQ0NDo2NjA3Yzg0Yy04NTMxLTQwZDUtOWZhOS0xNTZkNGI2OTJiOTg6ZWRjOTYwMTk0OWRmMzFiZjU0OGY2NTEyNmM2Y2VlN2Q6MQ==</t>
        </is>
      </c>
      <c r="AE217">
        <v>2</v>
      </c>
    </row>
    <row r="218" ht="25.5" customHeight="1">
      <c r="A218" s="2" t="str">
        <f>=HYPERLINK("https://applink.feishu.cn/client/todo/detail?guid=f5d7abc0-b293-4e47-a722-4649479910cb&amp;suite_entity_num=t100549", "Hint VFX自己的Fade Out太拖沓")</f>
        <v>Hint VFX自己的Fade Out太拖沓</v>
      </c>
      <c r="B218"/>
      <c r="C218" t="inlineStr">
        <is>
          <t>默认分组</t>
        </is>
      </c>
      <c r="D218" t="inlineStr">
        <is>
          <t>0</t>
        </is>
      </c>
      <c r="E218" t="inlineStr">
        <is>
          <t>或签任务</t>
        </is>
      </c>
      <c r="F218"/>
      <c r="G218" t="inlineStr">
        <is>
          <t>0</t>
        </is>
      </c>
      <c r="H218"/>
      <c r="I218"/>
      <c r="J218" t="inlineStr">
        <is>
          <t>龚政涛</t>
        </is>
      </c>
      <c r="K218" t="inlineStr">
        <is>
          <t>龚政涛</t>
        </is>
      </c>
      <c r="L218" s="3">
        <v>45714.49799768518</v>
      </c>
      <c r="M218" s="3"/>
      <c r="N218" s="3"/>
      <c r="O218" s="3"/>
      <c r="P218" s="3">
        <v>45866.669016203705</v>
      </c>
      <c r="Q218" s="2" t="str">
        <f>=HYPERLINK("https://applink.feishu.cn/client/todo/task_list?guid=4d92b9af-66d1-4cd7-95d1-4b753a64ca6b", "跃入迷城")</f>
        <v>跃入迷城</v>
      </c>
      <c r="R218" t="inlineStr">
        <is>
          <t>4d92b9af-66d1-4cd7-95d1-4b753a64ca6b</t>
        </is>
      </c>
      <c r="S218" t="inlineStr">
        <is>
          <t>f5d7abc0-b293-4e47-a722-4649479910cb</t>
        </is>
      </c>
      <c r="T218">
        <v>0</v>
      </c>
      <c r="U218">
        <v>1</v>
      </c>
      <c r="V218" t="inlineStr">
        <is>
          <t>0.0.5</t>
        </is>
      </c>
      <c r="W218" t="inlineStr">
        <is>
          <t>未开始</t>
        </is>
      </c>
      <c r="X218" t="inlineStr">
        <is>
          <t>🎨艺术</t>
        </is>
      </c>
      <c r="Y218" t="inlineStr">
        <is>
          <t>VFX</t>
        </is>
      </c>
      <c r="Z218" t="inlineStr">
        <is>
          <t>P1 - Bigger the Better</t>
        </is>
      </c>
      <c r="AA218"/>
      <c r="AB218"/>
      <c r="AC218"/>
      <c r="AD218" t="inlineStr">
        <is>
          <t>NzUzMjAzNDQ5ODk2NDY2ODQ0NDpmNWQ3YWJjMC1iMjkzLTRlNDctYTcyMi00NjQ5NDc5OTEwY2I6NGQ2MjA1ZDRkNDVhODY0ZTk1ZmFmZTE3YWM0MjkzZTM6MQ==</t>
        </is>
      </c>
      <c r="AE218"/>
    </row>
    <row r="219" ht="25.5" customHeight="1">
      <c r="A219" s="2" t="str">
        <f>=HYPERLINK("https://applink.feishu.cn/client/todo/detail?guid=81916951-2277-4b51-9327-27e8746accd4&amp;suite_entity_num=t100562", "玩家死亡后不再跳伤害数字 / AI不再攻击玩家")</f>
        <v>玩家死亡后不再跳伤害数字 / AI不再攻击玩家</v>
      </c>
      <c r="B219"/>
      <c r="C219" t="inlineStr">
        <is>
          <t>默认分组</t>
        </is>
      </c>
      <c r="D219" t="inlineStr">
        <is>
          <t>1</t>
        </is>
      </c>
      <c r="E219" t="inlineStr">
        <is>
          <t>或签任务</t>
        </is>
      </c>
      <c r="F219"/>
      <c r="G219" t="inlineStr">
        <is>
          <t>0</t>
        </is>
      </c>
      <c r="H219"/>
      <c r="I219" t="inlineStr">
        <is>
          <t>Decay</t>
        </is>
      </c>
      <c r="J219" t="inlineStr">
        <is>
          <t>Decay,龚政涛</t>
        </is>
      </c>
      <c r="K219" t="inlineStr">
        <is>
          <t>Decay</t>
        </is>
      </c>
      <c r="L219" s="3">
        <v>45716.73947916667</v>
      </c>
      <c r="M219" s="3"/>
      <c r="N219" s="3">
        <v>45733.70854166667</v>
      </c>
      <c r="O219" s="3"/>
      <c r="P219" s="3">
        <v>45733.708553240744</v>
      </c>
      <c r="Q219" s="2" t="str">
        <f>=HYPERLINK("https://applink.feishu.cn/client/todo/task_list?guid=4d92b9af-66d1-4cd7-95d1-4b753a64ca6b", "跃入迷城")</f>
        <v>跃入迷城</v>
      </c>
      <c r="R219" t="inlineStr">
        <is>
          <t>4d92b9af-66d1-4cd7-95d1-4b753a64ca6b</t>
        </is>
      </c>
      <c r="S219" t="inlineStr">
        <is>
          <t>81916951-2277-4b51-9327-27e8746accd4</t>
        </is>
      </c>
      <c r="T219">
        <v>0</v>
      </c>
      <c r="U219">
        <v>2</v>
      </c>
      <c r="V219" t="inlineStr">
        <is>
          <t>0.0.5</t>
        </is>
      </c>
      <c r="W219" t="inlineStr">
        <is>
          <t>已完成</t>
        </is>
      </c>
      <c r="X219"/>
      <c r="Y219" t="inlineStr">
        <is>
          <t>程序底层</t>
        </is>
      </c>
      <c r="Z219" t="inlineStr">
        <is>
          <t>P1 - Bigger the Better</t>
        </is>
      </c>
      <c r="AA219"/>
      <c r="AB219"/>
      <c r="AC219"/>
      <c r="AD219" t="inlineStr">
        <is>
          <t>NzUzMjAzNDQ5ODk2NDY2ODQ0NDo4MTkxNjk1MS0yMjc3LTRiNTEtOTMyNy0yN2U4NzQ2YWNjZDQ6Y2Q1YWU1M2VjNjNjM2JhMWNjMGQ0NmUzMmMxYWQ0Yzc6MQ==</t>
        </is>
      </c>
      <c r="AE219"/>
    </row>
    <row r="220" ht="25.5" customHeight="1">
      <c r="A220" s="2" t="str">
        <f>=HYPERLINK("https://applink.feishu.cn/client/todo/detail?guid=d7bb80b5-92c7-4f3e-8268-4915be8b245c&amp;suite_entity_num=t100554", "技能 - 麻痹射击；需要调整弹道速度")</f>
        <v>技能 - 麻痹射击；需要调整弹道速度</v>
      </c>
      <c r="B220"/>
      <c r="C220" t="inlineStr">
        <is>
          <t>默认分组</t>
        </is>
      </c>
      <c r="D220" t="inlineStr">
        <is>
          <t>1</t>
        </is>
      </c>
      <c r="E220" t="inlineStr">
        <is>
          <t>或签任务</t>
        </is>
      </c>
      <c r="F220"/>
      <c r="G220" t="inlineStr">
        <is>
          <t>0</t>
        </is>
      </c>
      <c r="H220"/>
      <c r="I220" t="inlineStr">
        <is>
          <t>Decay</t>
        </is>
      </c>
      <c r="J220" t="inlineStr">
        <is>
          <t>龚政涛,Decay</t>
        </is>
      </c>
      <c r="K220" t="inlineStr">
        <is>
          <t>龚政涛</t>
        </is>
      </c>
      <c r="L220" s="3">
        <v>45715.66814814815</v>
      </c>
      <c r="M220" s="3"/>
      <c r="N220" s="3">
        <v>45730.658101851855</v>
      </c>
      <c r="O220" s="3"/>
      <c r="P220" s="3">
        <v>45730.65809027778</v>
      </c>
      <c r="Q220" s="2" t="str">
        <f>=HYPERLINK("https://applink.feishu.cn/client/todo/task_list?guid=4d92b9af-66d1-4cd7-95d1-4b753a64ca6b", "跃入迷城")</f>
        <v>跃入迷城</v>
      </c>
      <c r="R220" t="inlineStr">
        <is>
          <t>4d92b9af-66d1-4cd7-95d1-4b753a64ca6b</t>
        </is>
      </c>
      <c r="S220" t="inlineStr">
        <is>
          <t>d7bb80b5-92c7-4f3e-8268-4915be8b245c</t>
        </is>
      </c>
      <c r="T220">
        <v>0</v>
      </c>
      <c r="U220">
        <v>1</v>
      </c>
      <c r="V220" t="inlineStr">
        <is>
          <t>0.0.4</t>
        </is>
      </c>
      <c r="W220" t="inlineStr">
        <is>
          <t>已完成</t>
        </is>
      </c>
      <c r="X220"/>
      <c r="Y220" t="inlineStr">
        <is>
          <t>技能</t>
        </is>
      </c>
      <c r="Z220" t="inlineStr">
        <is>
          <t>P1 - Bigger the Better</t>
        </is>
      </c>
      <c r="AA220"/>
      <c r="AB220"/>
      <c r="AC220"/>
      <c r="AD220" t="inlineStr">
        <is>
          <t>NzUzMjAzNDQ5ODk2NDY2ODQ0NDpkN2JiODBiNS05MmM3LTRmM2UtODI2OC00OTE1YmU4YjI0NWM6ZDFlMDE0ODJhZmYwMWRmOTYzNWQyYzU3ZDViNjc3MWQ6MQ==</t>
        </is>
      </c>
      <c r="AE220"/>
    </row>
    <row r="221" ht="25.5" customHeight="1">
      <c r="A221" s="2" t="str">
        <f>=HYPERLINK("https://applink.feishu.cn/client/todo/detail?guid=8028df31-26a5-4b82-b78f-bfac19551bab&amp;suite_entity_num=t100547", "BUG：技能 - 战术翻滚")</f>
        <v>BUG：技能 - 战术翻滚</v>
      </c>
      <c r="B221"/>
      <c r="C221" t="inlineStr">
        <is>
          <t>默认分组</t>
        </is>
      </c>
      <c r="D221" t="inlineStr">
        <is>
          <t>1</t>
        </is>
      </c>
      <c r="E221" t="inlineStr">
        <is>
          <t>或签任务</t>
        </is>
      </c>
      <c r="F221"/>
      <c r="G221" t="inlineStr">
        <is>
          <t>0</t>
        </is>
      </c>
      <c r="H221"/>
      <c r="I221" t="inlineStr">
        <is>
          <t>Decay</t>
        </is>
      </c>
      <c r="J221" t="inlineStr">
        <is>
          <t>龚政涛,Decay</t>
        </is>
      </c>
      <c r="K221" t="inlineStr">
        <is>
          <t>龚政涛</t>
        </is>
      </c>
      <c r="L221" s="3">
        <v>45709.475011574075</v>
      </c>
      <c r="M221" s="3"/>
      <c r="N221" s="3">
        <v>45719.54006944445</v>
      </c>
      <c r="O221" s="3"/>
      <c r="P221" s="3">
        <v>45719.54006944445</v>
      </c>
      <c r="Q221" s="2" t="str">
        <f>=HYPERLINK("https://applink.feishu.cn/client/todo/task_list?guid=4d92b9af-66d1-4cd7-95d1-4b753a64ca6b", "跃入迷城")</f>
        <v>跃入迷城</v>
      </c>
      <c r="R221" t="inlineStr">
        <is>
          <t>4d92b9af-66d1-4cd7-95d1-4b753a64ca6b</t>
        </is>
      </c>
      <c r="S221" t="inlineStr">
        <is>
          <t>8028df31-26a5-4b82-b78f-bfac19551bab</t>
        </is>
      </c>
      <c r="T221">
        <v>0</v>
      </c>
      <c r="U221">
        <v>2</v>
      </c>
      <c r="V221" t="inlineStr">
        <is>
          <t>0.0.4</t>
        </is>
      </c>
      <c r="W221" t="inlineStr">
        <is>
          <t>已废弃</t>
        </is>
      </c>
      <c r="X221"/>
      <c r="Y221" t="inlineStr">
        <is>
          <t>技能</t>
        </is>
      </c>
      <c r="Z221"/>
      <c r="AA221"/>
      <c r="AB221"/>
      <c r="AC221"/>
      <c r="AD221" t="inlineStr">
        <is>
          <t>NzUzMjAzNDQ5ODk2NDY2ODQ0NDo4MDI4ZGYzMS0yNmE1LTRiODItYjc4Zi1iZmFjMTk1NTFiYWI6MjM3ZjQ3ZWM4MjFhZDUzYmE0YmEyMjU5ZTNiM2Y1YjQ6MQ==</t>
        </is>
      </c>
      <c r="AE221"/>
    </row>
    <row r="222" ht="25.5" customHeight="1">
      <c r="A222" s="2" t="str">
        <f>=HYPERLINK("https://applink.feishu.cn/client/todo/detail?guid=f71f03de-1d60-465a-9796-64b07fc581f1&amp;suite_entity_num=t100556", "需要制作Boss血条UI，目前小怪UI被隐藏")</f>
        <v>需要制作Boss血条UI，目前小怪UI被隐藏</v>
      </c>
      <c r="B222"/>
      <c r="C222" t="inlineStr">
        <is>
          <t>默认分组</t>
        </is>
      </c>
      <c r="D222" t="inlineStr">
        <is>
          <t>1</t>
        </is>
      </c>
      <c r="E222" t="inlineStr">
        <is>
          <t>或签任务</t>
        </is>
      </c>
      <c r="F222"/>
      <c r="G222" t="inlineStr">
        <is>
          <t>0</t>
        </is>
      </c>
      <c r="H222"/>
      <c r="I222"/>
      <c r="J222" t="inlineStr">
        <is>
          <t>龚政涛</t>
        </is>
      </c>
      <c r="K222" t="inlineStr">
        <is>
          <t>龚政涛</t>
        </is>
      </c>
      <c r="L222" s="3">
        <v>45715.70520833333</v>
      </c>
      <c r="M222" s="3"/>
      <c r="N222" s="3">
        <v>45719.58193287037</v>
      </c>
      <c r="O222" s="3"/>
      <c r="P222" s="3">
        <v>45719.58194444444</v>
      </c>
      <c r="Q222" s="2" t="str">
        <f>=HYPERLINK("https://applink.feishu.cn/client/todo/task_list?guid=4d92b9af-66d1-4cd7-95d1-4b753a64ca6b", "跃入迷城")</f>
        <v>跃入迷城</v>
      </c>
      <c r="R222" t="inlineStr">
        <is>
          <t>4d92b9af-66d1-4cd7-95d1-4b753a64ca6b</t>
        </is>
      </c>
      <c r="S222" t="inlineStr">
        <is>
          <t>f71f03de-1d60-465a-9796-64b07fc581f1</t>
        </is>
      </c>
      <c r="T222">
        <v>0</v>
      </c>
      <c r="U222">
        <v>1</v>
      </c>
      <c r="V222" t="inlineStr">
        <is>
          <t>0.0.4</t>
        </is>
      </c>
      <c r="W222" t="inlineStr">
        <is>
          <t>已废弃</t>
        </is>
      </c>
      <c r="X222"/>
      <c r="Y222" t="inlineStr">
        <is>
          <t>平面美术</t>
        </is>
      </c>
      <c r="Z222" t="inlineStr">
        <is>
          <t>P0 - Must (not) Have</t>
        </is>
      </c>
      <c r="AA222"/>
      <c r="AB222"/>
      <c r="AC222"/>
      <c r="AD222" t="inlineStr">
        <is>
          <t>NzUzMjAzNDQ5ODk2NDY2ODQ0NDpmNzFmMDNkZS0xZDYwLTQ2NWEtOTc5Ni02NGIwN2ZjNTgxZjE6Y2Y3MDZjNDQ4NjA5MGU2MWRlN2IzM2UxMzc2YjgxYTI6MQ==</t>
        </is>
      </c>
      <c r="AE222"/>
    </row>
    <row r="223" ht="25.5" customHeight="1">
      <c r="A223" s="2" t="str">
        <f>=HYPERLINK("https://applink.feishu.cn/client/todo/detail?guid=81f6fedb-a8b9-4fe2-ae93-d64f7b561027&amp;suite_entity_num=t100539", "敌人在死了以后还有一小段时间能吸收伤害和子弹，是bug")</f>
        <v>敌人在死了以后还有一小段时间能吸收伤害和子弹，是bug</v>
      </c>
      <c r="B223"/>
      <c r="C223" t="inlineStr">
        <is>
          <t>默认分组</t>
        </is>
      </c>
      <c r="D223" t="inlineStr">
        <is>
          <t>1</t>
        </is>
      </c>
      <c r="E223" t="inlineStr">
        <is>
          <t>或签任务</t>
        </is>
      </c>
      <c r="F223"/>
      <c r="G223" t="inlineStr">
        <is>
          <t>0</t>
        </is>
      </c>
      <c r="H223"/>
      <c r="I223" t="inlineStr">
        <is>
          <t>Decay</t>
        </is>
      </c>
      <c r="J223" t="inlineStr">
        <is>
          <t>龚政涛,Decay</t>
        </is>
      </c>
      <c r="K223" t="inlineStr">
        <is>
          <t>龚政涛</t>
        </is>
      </c>
      <c r="L223" s="3">
        <v>45696.49055555555</v>
      </c>
      <c r="M223" s="3"/>
      <c r="N223" s="3">
        <v>45709.454884259256</v>
      </c>
      <c r="O223" s="3"/>
      <c r="P223" s="3">
        <v>45709.45482638889</v>
      </c>
      <c r="Q223" s="2" t="str">
        <f>=HYPERLINK("https://applink.feishu.cn/client/todo/task_list?guid=4d92b9af-66d1-4cd7-95d1-4b753a64ca6b", "跃入迷城")</f>
        <v>跃入迷城</v>
      </c>
      <c r="R223" t="inlineStr">
        <is>
          <t>4d92b9af-66d1-4cd7-95d1-4b753a64ca6b</t>
        </is>
      </c>
      <c r="S223" t="inlineStr">
        <is>
          <t>81f6fedb-a8b9-4fe2-ae93-d64f7b561027</t>
        </is>
      </c>
      <c r="T223">
        <v>0</v>
      </c>
      <c r="U223">
        <v>0</v>
      </c>
      <c r="V223" t="inlineStr">
        <is>
          <t>0.0.4</t>
        </is>
      </c>
      <c r="W223" t="inlineStr">
        <is>
          <t>已完成</t>
        </is>
      </c>
      <c r="X223"/>
      <c r="Y223" t="inlineStr">
        <is>
          <t>AI</t>
        </is>
      </c>
      <c r="Z223" t="inlineStr">
        <is>
          <t>P0 - Must (not) Have</t>
        </is>
      </c>
      <c r="AA223"/>
      <c r="AB223"/>
      <c r="AC223"/>
      <c r="AD223" t="inlineStr">
        <is>
          <t>NzUzMjAzNDQ5ODk2NDY2ODQ0NDo4MWY2ZmVkYi1hOGI5LTRmZTItYWU5My1kNjRmN2I1NjEwMjc6MjM3YjA1MjIwMTk4MjhkYmQzNzcwNTllMTAwNzZiYTU6MQ==</t>
        </is>
      </c>
      <c r="AE223"/>
    </row>
    <row r="224" ht="25.5" customHeight="1">
      <c r="A224" s="2" t="str">
        <f>=HYPERLINK("https://applink.feishu.cn/client/todo/detail?guid=f5803ba0-12a6-4854-9a6b-1028296d1e0b&amp;suite_entity_num=t100564", "✨新增：安全屋增加了仓库配置功能")</f>
        <v>✨新增：安全屋增加了仓库配置功能</v>
      </c>
      <c r="B224"/>
      <c r="C224" t="inlineStr">
        <is>
          <t>默认分组</t>
        </is>
      </c>
      <c r="D224" t="inlineStr">
        <is>
          <t>0</t>
        </is>
      </c>
      <c r="E224" t="inlineStr">
        <is>
          <t>或签任务</t>
        </is>
      </c>
      <c r="F224"/>
      <c r="G224" t="inlineStr">
        <is>
          <t>0</t>
        </is>
      </c>
      <c r="H224"/>
      <c r="I224" t="inlineStr">
        <is>
          <t>Decay</t>
        </is>
      </c>
      <c r="J224" t="inlineStr">
        <is>
          <t>Decay</t>
        </is>
      </c>
      <c r="K224" t="inlineStr">
        <is>
          <t>Decay</t>
        </is>
      </c>
      <c r="L224" s="3">
        <v>45716.7434375</v>
      </c>
      <c r="M224" s="3">
        <v>45905.333333333336</v>
      </c>
      <c r="N224" s="3"/>
      <c r="O224" s="3">
        <v>45918.333333333336</v>
      </c>
      <c r="P224" s="3">
        <v>45918.56024305556</v>
      </c>
      <c r="Q224" s="2" t="str">
        <f>=HYPERLINK("https://applink.feishu.cn/client/todo/task_list?guid=4d92b9af-66d1-4cd7-95d1-4b753a64ca6b", "跃入迷城")</f>
        <v>跃入迷城</v>
      </c>
      <c r="R224" t="inlineStr">
        <is>
          <t>4d92b9af-66d1-4cd7-95d1-4b753a64ca6b</t>
        </is>
      </c>
      <c r="S224" t="inlineStr">
        <is>
          <t>f5803ba0-12a6-4854-9a6b-1028296d1e0b</t>
        </is>
      </c>
      <c r="T224">
        <v>0</v>
      </c>
      <c r="U224">
        <v>2</v>
      </c>
      <c r="V224" t="inlineStr">
        <is>
          <t>0.0.5</t>
        </is>
      </c>
      <c r="W224"/>
      <c r="X224" t="inlineStr">
        <is>
          <t>🎮玩法</t>
        </is>
      </c>
      <c r="Y224" t="inlineStr">
        <is>
          <t>装备</t>
        </is>
      </c>
      <c r="Z224" t="inlineStr">
        <is>
          <t>P0 - Must (not) Have</t>
        </is>
      </c>
      <c r="AA224"/>
      <c r="AB224"/>
      <c r="AC224"/>
      <c r="AD224" t="inlineStr">
        <is>
          <t>NzUzMjAzNDQ5ODk2NDY2ODQ0NDpmNTgwM2JhMC0xMmE2LTQ4NTQtOWE2Yi0xMDI4Mjk2ZDFlMGI6MGY2ODhlMzFiNTkxZDliMjYzOGQ4YmYzOWZjNjFhYTI6MQ==</t>
        </is>
      </c>
      <c r="AE224"/>
    </row>
    <row r="225" ht="25.5" customHeight="1">
      <c r="A225" s="2" t="str">
        <f>=HYPERLINK("https://applink.feishu.cn/client/todo/detail?guid=d701f38b-762e-4205-b484-d2328e2c5ccb&amp;suite_entity_num=t100563", "🪡修改：随着楼层的上升，奖励设施体提供了更稀有的装备或武器")</f>
        <v>🪡修改：随着楼层的上升，奖励设施体提供了更稀有的装备或武器</v>
      </c>
      <c r="B225"/>
      <c r="C225" t="inlineStr">
        <is>
          <t>默认分组</t>
        </is>
      </c>
      <c r="D225" t="inlineStr">
        <is>
          <t>0</t>
        </is>
      </c>
      <c r="E225" t="inlineStr">
        <is>
          <t>或签任务</t>
        </is>
      </c>
      <c r="F225"/>
      <c r="G225" t="inlineStr">
        <is>
          <t>0</t>
        </is>
      </c>
      <c r="H225"/>
      <c r="I225" t="inlineStr">
        <is>
          <t>Decay</t>
        </is>
      </c>
      <c r="J225" t="inlineStr">
        <is>
          <t>Decay</t>
        </is>
      </c>
      <c r="K225" t="inlineStr">
        <is>
          <t>Decay</t>
        </is>
      </c>
      <c r="L225" s="3">
        <v>45716.74182870371</v>
      </c>
      <c r="M225" s="3">
        <v>45903.333333333336</v>
      </c>
      <c r="N225" s="3"/>
      <c r="O225" s="3">
        <v>45912.333333333336</v>
      </c>
      <c r="P225" s="3">
        <v>45918.56028935185</v>
      </c>
      <c r="Q225" s="2" t="str">
        <f>=HYPERLINK("https://applink.feishu.cn/client/todo/task_list?guid=4d92b9af-66d1-4cd7-95d1-4b753a64ca6b", "跃入迷城")</f>
        <v>跃入迷城</v>
      </c>
      <c r="R225" t="inlineStr">
        <is>
          <t>4d92b9af-66d1-4cd7-95d1-4b753a64ca6b</t>
        </is>
      </c>
      <c r="S225" t="inlineStr">
        <is>
          <t>d701f38b-762e-4205-b484-d2328e2c5ccb</t>
        </is>
      </c>
      <c r="T225">
        <v>0</v>
      </c>
      <c r="U225">
        <v>0</v>
      </c>
      <c r="V225" t="inlineStr">
        <is>
          <t>0.0.5</t>
        </is>
      </c>
      <c r="W225"/>
      <c r="X225" t="inlineStr">
        <is>
          <t>🎮玩法</t>
        </is>
      </c>
      <c r="Y225" t="inlineStr">
        <is>
          <t>装备</t>
        </is>
      </c>
      <c r="Z225" t="inlineStr">
        <is>
          <t>P2 - Nice to Have</t>
        </is>
      </c>
      <c r="AA225" t="inlineStr">
        <is>
          <t>350a3a9a-342b-4547-8bf1-61f409611911</t>
        </is>
      </c>
      <c r="AB225" t="inlineStr">
        <is>
          <t>fa0159e7-ccc8-48bb-b78a-5acdd62cf97c</t>
        </is>
      </c>
      <c r="AC225"/>
      <c r="AD225" t="inlineStr">
        <is>
          <t>NzUzMjAzNDQ5ODk2NDY2ODQ0NDpkNzAxZjM4Yi03NjJlLTQyMDUtYjQ4NC1kMjMyOGUyYzVjY2I6ZmEzZDEyOTc0MTE4ZTI5YmEyNTNlZGU3ZTUxYzZhNmI6MQ==</t>
        </is>
      </c>
      <c r="AE225"/>
    </row>
    <row r="226" ht="25.5" customHeight="1">
      <c r="A226" s="2" t="str">
        <f>=HYPERLINK("https://applink.feishu.cn/client/todo/detail?guid=e84c1c04-add2-4c96-bb7b-a104034ba1d4&amp;suite_entity_num=t100540", "步枪的远程手持动画换成MoCap的，和手枪一致，跑步动画单独制作")</f>
        <v>步枪的远程手持动画换成MoCap的，和手枪一致，跑步动画单独制作</v>
      </c>
      <c r="B226"/>
      <c r="C226" t="inlineStr">
        <is>
          <t>默认分组</t>
        </is>
      </c>
      <c r="D226" t="inlineStr">
        <is>
          <t>1</t>
        </is>
      </c>
      <c r="E226" t="inlineStr">
        <is>
          <t>或签任务</t>
        </is>
      </c>
      <c r="F226"/>
      <c r="G226" t="inlineStr">
        <is>
          <t>0</t>
        </is>
      </c>
      <c r="H226"/>
      <c r="I226"/>
      <c r="J226" t="inlineStr">
        <is>
          <t>龚政涛</t>
        </is>
      </c>
      <c r="K226" t="inlineStr">
        <is>
          <t>龚政涛</t>
        </is>
      </c>
      <c r="L226" s="3">
        <v>45696.59355324074</v>
      </c>
      <c r="M226" s="3"/>
      <c r="N226" s="3">
        <v>45719.575219907405</v>
      </c>
      <c r="O226" s="3"/>
      <c r="P226" s="3">
        <v>45719.575219907405</v>
      </c>
      <c r="Q226" s="2" t="str">
        <f>=HYPERLINK("https://applink.feishu.cn/client/todo/task_list?guid=4d92b9af-66d1-4cd7-95d1-4b753a64ca6b", "跃入迷城")</f>
        <v>跃入迷城</v>
      </c>
      <c r="R226" t="inlineStr">
        <is>
          <t>4d92b9af-66d1-4cd7-95d1-4b753a64ca6b</t>
        </is>
      </c>
      <c r="S226" t="inlineStr">
        <is>
          <t>e84c1c04-add2-4c96-bb7b-a104034ba1d4</t>
        </is>
      </c>
      <c r="T226">
        <v>0</v>
      </c>
      <c r="U226">
        <v>0</v>
      </c>
      <c r="V226" t="inlineStr">
        <is>
          <t>0.1.0</t>
        </is>
      </c>
      <c r="W226" t="inlineStr">
        <is>
          <t>已废弃</t>
        </is>
      </c>
      <c r="X226"/>
      <c r="Y226" t="inlineStr">
        <is>
          <t>动画</t>
        </is>
      </c>
      <c r="Z226"/>
      <c r="AA226"/>
      <c r="AB226"/>
      <c r="AC226"/>
      <c r="AD226" t="inlineStr">
        <is>
          <t>NzUzMjAzNDQ5ODk2NDY2ODQ0NDplODRjMWMwNC1hZGQyLTRjOTYtYmI3Yi1hMTA0MDM0YmExZDQ6ZjkyYzM0NDBmM2VhZjY3ODgyNDY0YTZkMjY2N2JiNTY6MQ==</t>
        </is>
      </c>
      <c r="AE226"/>
    </row>
    <row r="227" ht="25.5" customHeight="1">
      <c r="A227" s="2" t="str">
        <f>=HYPERLINK("https://applink.feishu.cn/client/todo/detail?guid=1b21144c-8171-4024-8a0a-759ffe7ccca8&amp;suite_entity_num=t100561", "装备相关 - 智脑 / 行为芯片 / 同部位多义体")</f>
        <v>装备相关 - 智脑 / 行为芯片 / 同部位多义体</v>
      </c>
      <c r="B227"/>
      <c r="C227" t="inlineStr">
        <is>
          <t>默认分组</t>
        </is>
      </c>
      <c r="D227" t="inlineStr">
        <is>
          <t>1</t>
        </is>
      </c>
      <c r="E227" t="inlineStr">
        <is>
          <t>或签任务</t>
        </is>
      </c>
      <c r="F227"/>
      <c r="G227" t="inlineStr">
        <is>
          <t>0</t>
        </is>
      </c>
      <c r="H227"/>
      <c r="I227" t="inlineStr">
        <is>
          <t>Decay</t>
        </is>
      </c>
      <c r="J227" t="inlineStr">
        <is>
          <t>Decay,龚政涛,朱金标</t>
        </is>
      </c>
      <c r="K227" t="inlineStr">
        <is>
          <t>Decay</t>
        </is>
      </c>
      <c r="L227" s="3">
        <v>45716.71364583333</v>
      </c>
      <c r="M227" s="3"/>
      <c r="N227" s="3">
        <v>45812.4390162037</v>
      </c>
      <c r="O227" s="3"/>
      <c r="P227" s="3">
        <v>45874.40480324074</v>
      </c>
      <c r="Q227" s="2" t="str">
        <f>=HYPERLINK("https://applink.feishu.cn/client/todo/task_list?guid=4d92b9af-66d1-4cd7-95d1-4b753a64ca6b", "跃入迷城")</f>
        <v>跃入迷城</v>
      </c>
      <c r="R227" t="inlineStr">
        <is>
          <t>4d92b9af-66d1-4cd7-95d1-4b753a64ca6b</t>
        </is>
      </c>
      <c r="S227" t="inlineStr">
        <is>
          <t>1b21144c-8171-4024-8a0a-759ffe7ccca8</t>
        </is>
      </c>
      <c r="T227">
        <v>0</v>
      </c>
      <c r="U227">
        <v>5</v>
      </c>
      <c r="V227" t="inlineStr">
        <is>
          <t>0.0.5</t>
        </is>
      </c>
      <c r="W227" t="inlineStr">
        <is>
          <t>已完成</t>
        </is>
      </c>
      <c r="X227" t="inlineStr">
        <is>
          <t>🛠️技术</t>
        </is>
      </c>
      <c r="Y227" t="inlineStr">
        <is>
          <t>装备</t>
        </is>
      </c>
      <c r="Z227" t="inlineStr">
        <is>
          <t>P1 - Bigger the Better</t>
        </is>
      </c>
      <c r="AA227"/>
      <c r="AB227"/>
      <c r="AC227"/>
      <c r="AD227" t="inlineStr">
        <is>
          <t>NzUzMjAzNDQ5ODk2NDY2ODQ0NDoxYjIxMTQ0Yy04MTcxLTQwMjQtOGEwYS03NTlmZmU3Y2NjYTg6NGRmYjBmNTYyYjlkMWI5OGQ4YmE5YmI3YmVkNTc1MmI6MQ==</t>
        </is>
      </c>
      <c r="AE227"/>
    </row>
    <row r="228" ht="25.5" customHeight="1">
      <c r="A228" s="2" t="str">
        <f>=HYPERLINK("https://applink.feishu.cn/client/todo/detail?guid=7a30ad5d-aa1a-4e5a-9937-567f46d69f20&amp;suite_entity_num=t100548", "近战攻击动画不混合移动")</f>
        <v>近战攻击动画不混合移动</v>
      </c>
      <c r="B228"/>
      <c r="C228" t="inlineStr">
        <is>
          <t>默认分组</t>
        </is>
      </c>
      <c r="D228" t="inlineStr">
        <is>
          <t>0</t>
        </is>
      </c>
      <c r="E228" t="inlineStr">
        <is>
          <t>或签任务</t>
        </is>
      </c>
      <c r="F228"/>
      <c r="G228" t="inlineStr">
        <is>
          <t>0</t>
        </is>
      </c>
      <c r="H228"/>
      <c r="I228" t="inlineStr">
        <is>
          <t>Decay</t>
        </is>
      </c>
      <c r="J228" t="inlineStr">
        <is>
          <t>龚政涛,Decay</t>
        </is>
      </c>
      <c r="K228" t="inlineStr">
        <is>
          <t>龚政涛</t>
        </is>
      </c>
      <c r="L228" s="3">
        <v>45713.74820601852</v>
      </c>
      <c r="M228" s="3"/>
      <c r="N228" s="3"/>
      <c r="O228" s="3"/>
      <c r="P228" s="3">
        <v>45866.66925925926</v>
      </c>
      <c r="Q228" s="2" t="str">
        <f>=HYPERLINK("https://applink.feishu.cn/client/todo/task_list?guid=4d92b9af-66d1-4cd7-95d1-4b753a64ca6b", "跃入迷城")</f>
        <v>跃入迷城</v>
      </c>
      <c r="R228" t="inlineStr">
        <is>
          <t>4d92b9af-66d1-4cd7-95d1-4b753a64ca6b</t>
        </is>
      </c>
      <c r="S228" t="inlineStr">
        <is>
          <t>7a30ad5d-aa1a-4e5a-9937-567f46d69f20</t>
        </is>
      </c>
      <c r="T228">
        <v>0</v>
      </c>
      <c r="U228">
        <v>2</v>
      </c>
      <c r="V228" t="inlineStr">
        <is>
          <t>0.0.5</t>
        </is>
      </c>
      <c r="W228" t="inlineStr">
        <is>
          <t>未开始</t>
        </is>
      </c>
      <c r="X228" t="inlineStr">
        <is>
          <t>🛠️技术</t>
        </is>
      </c>
      <c r="Y228" t="inlineStr">
        <is>
          <t>动画</t>
        </is>
      </c>
      <c r="Z228" t="inlineStr">
        <is>
          <t>P1 - Bigger the Better</t>
        </is>
      </c>
      <c r="AA228"/>
      <c r="AB228"/>
      <c r="AC228"/>
      <c r="AD228" t="inlineStr">
        <is>
          <t>NzUzMjAzNDQ5ODk2NDY2ODQ0NDo3YTMwYWQ1ZC1hYTFhLTRlNWEtOTkzNy01NjdmNDZkNjlmMjA6MWYyZjgyMDI0ODE5NjBmNmRkZDYzYzlkYTY3MDFiZTg6MQ==</t>
        </is>
      </c>
      <c r="AE228"/>
    </row>
    <row r="229" ht="25.5" customHeight="1">
      <c r="A229" s="2" t="str">
        <f>=HYPERLINK("https://applink.feishu.cn/client/todo/detail?guid=accb6661-544b-4cd6-b18c-8a66f4a686ac&amp;suite_entity_num=t100555", "居合斩的damage rate不生效")</f>
        <v>居合斩的damage rate不生效</v>
      </c>
      <c r="B229"/>
      <c r="C229" t="inlineStr">
        <is>
          <t>默认分组</t>
        </is>
      </c>
      <c r="D229" t="inlineStr">
        <is>
          <t>1</t>
        </is>
      </c>
      <c r="E229" t="inlineStr">
        <is>
          <t>或签任务</t>
        </is>
      </c>
      <c r="F229"/>
      <c r="G229" t="inlineStr">
        <is>
          <t>0</t>
        </is>
      </c>
      <c r="H229"/>
      <c r="I229" t="inlineStr">
        <is>
          <t>Decay</t>
        </is>
      </c>
      <c r="J229" t="inlineStr">
        <is>
          <t>龚政涛,Decay</t>
        </is>
      </c>
      <c r="K229" t="inlineStr">
        <is>
          <t>龚政涛</t>
        </is>
      </c>
      <c r="L229" s="3">
        <v>45715.704409722224</v>
      </c>
      <c r="M229" s="3"/>
      <c r="N229" s="3">
        <v>45730.67501157407</v>
      </c>
      <c r="O229" s="3"/>
      <c r="P229" s="3">
        <v>45730.67501157407</v>
      </c>
      <c r="Q229" s="2" t="str">
        <f>=HYPERLINK("https://applink.feishu.cn/client/todo/task_list?guid=4d92b9af-66d1-4cd7-95d1-4b753a64ca6b", "跃入迷城")</f>
        <v>跃入迷城</v>
      </c>
      <c r="R229" t="inlineStr">
        <is>
          <t>4d92b9af-66d1-4cd7-95d1-4b753a64ca6b</t>
        </is>
      </c>
      <c r="S229" t="inlineStr">
        <is>
          <t>accb6661-544b-4cd6-b18c-8a66f4a686ac</t>
        </is>
      </c>
      <c r="T229">
        <v>0</v>
      </c>
      <c r="U229">
        <v>0</v>
      </c>
      <c r="V229" t="inlineStr">
        <is>
          <t>0.0.4</t>
        </is>
      </c>
      <c r="W229" t="inlineStr">
        <is>
          <t>已完成</t>
        </is>
      </c>
      <c r="X229"/>
      <c r="Y229" t="inlineStr">
        <is>
          <t>技能</t>
        </is>
      </c>
      <c r="Z229" t="inlineStr">
        <is>
          <t>P1 - Bigger the Better</t>
        </is>
      </c>
      <c r="AA229"/>
      <c r="AB229"/>
      <c r="AC229"/>
      <c r="AD229" t="inlineStr">
        <is>
          <t>NzUzMjAzNDQ5ODk2NDY2ODQ0NDphY2NiNjY2MS01NDRiLTRjZDYtYjE4Yy04YTY2ZjRhNjg2YWM6YWEzMzcwNjhhNDIwNzIyMmRjMmYxMzAyZjRjMGRhZTA6MQ==</t>
        </is>
      </c>
      <c r="AE229"/>
    </row>
    <row r="230" ht="25.5" customHeight="1">
      <c r="A230" s="2" t="str">
        <f>=HYPERLINK("https://applink.feishu.cn/client/todo/detail?guid=30b7f61c-ccb5-40db-8cbe-b168bae7ae36&amp;suite_entity_num=t100580", "Boss血条")</f>
        <v>Boss血条</v>
      </c>
      <c r="B230"/>
      <c r="C230" t="inlineStr">
        <is>
          <t>默认分组</t>
        </is>
      </c>
      <c r="D230" t="inlineStr">
        <is>
          <t>1</t>
        </is>
      </c>
      <c r="E230" t="inlineStr">
        <is>
          <t>或签任务</t>
        </is>
      </c>
      <c r="F230"/>
      <c r="G230" t="inlineStr">
        <is>
          <t>0</t>
        </is>
      </c>
      <c r="H230"/>
      <c r="I230" t="inlineStr">
        <is>
          <t>Decay</t>
        </is>
      </c>
      <c r="J230" t="inlineStr">
        <is>
          <t>Decay,龚政涛</t>
        </is>
      </c>
      <c r="K230" t="inlineStr">
        <is>
          <t>龚政涛</t>
        </is>
      </c>
      <c r="L230" s="3">
        <v>45719.55289351852</v>
      </c>
      <c r="M230" s="3"/>
      <c r="N230" s="3">
        <v>45722.862222222226</v>
      </c>
      <c r="O230" s="3"/>
      <c r="P230" s="3">
        <v>45866.68662037037</v>
      </c>
      <c r="Q230" s="2" t="str">
        <f>=HYPERLINK("https://applink.feishu.cn/client/todo/task_list?guid=4d92b9af-66d1-4cd7-95d1-4b753a64ca6b", "跃入迷城")</f>
        <v>跃入迷城</v>
      </c>
      <c r="R230" t="inlineStr">
        <is>
          <t>4d92b9af-66d1-4cd7-95d1-4b753a64ca6b</t>
        </is>
      </c>
      <c r="S230" t="inlineStr">
        <is>
          <t>30b7f61c-ccb5-40db-8cbe-b168bae7ae36</t>
        </is>
      </c>
      <c r="T230">
        <v>0</v>
      </c>
      <c r="U230">
        <v>0</v>
      </c>
      <c r="V230" t="inlineStr">
        <is>
          <t>0.0.4</t>
        </is>
      </c>
      <c r="W230" t="inlineStr">
        <is>
          <t>已完成</t>
        </is>
      </c>
      <c r="X230" t="inlineStr">
        <is>
          <t>🎨艺术</t>
        </is>
      </c>
      <c r="Y230" t="inlineStr">
        <is>
          <t>UIUX</t>
        </is>
      </c>
      <c r="Z230" t="inlineStr">
        <is>
          <t>P0 - Must (not) Have</t>
        </is>
      </c>
      <c r="AA230"/>
      <c r="AB230"/>
      <c r="AC230"/>
      <c r="AD230" t="inlineStr">
        <is>
          <t>NzUzMjAzNDQ5ODk2NDY2ODQ0NDozMGI3ZjYxYy1jY2I1LTQwZGItOGNiZS1iMTY4YmFlN2FlMzY6ZjhkMWUzYjE2YTExYmQyNmRhNGUyMjk1Mjg5NjMyZjU6MQ==</t>
        </is>
      </c>
      <c r="AE230"/>
    </row>
    <row r="231" ht="25.5" customHeight="1">
      <c r="A231" s="2" t="str">
        <f>=HYPERLINK("https://applink.feishu.cn/client/todo/detail?guid=58ada5a1-235f-4d51-9117-10646159a896&amp;suite_entity_num=t100575", "✨新增：增加了动态刷怪功能")</f>
        <v>✨新增：增加了动态刷怪功能</v>
      </c>
      <c r="B231"/>
      <c r="C231" t="inlineStr">
        <is>
          <t>默认分组</t>
        </is>
      </c>
      <c r="D231" t="inlineStr">
        <is>
          <t>0</t>
        </is>
      </c>
      <c r="E231" t="inlineStr">
        <is>
          <t>或签任务</t>
        </is>
      </c>
      <c r="F231"/>
      <c r="G231" t="inlineStr">
        <is>
          <t>0</t>
        </is>
      </c>
      <c r="H231"/>
      <c r="I231" t="inlineStr">
        <is>
          <t>Decay</t>
        </is>
      </c>
      <c r="J231" t="inlineStr">
        <is>
          <t>Decay</t>
        </is>
      </c>
      <c r="K231" t="inlineStr">
        <is>
          <t>Decay</t>
        </is>
      </c>
      <c r="L231" s="3">
        <v>45717.66978009259</v>
      </c>
      <c r="M231" s="3"/>
      <c r="N231" s="3"/>
      <c r="O231" s="3"/>
      <c r="P231" s="3">
        <v>45896.50078703704</v>
      </c>
      <c r="Q231" s="2" t="str">
        <f>=HYPERLINK("https://applink.feishu.cn/client/todo/task_list?guid=4d92b9af-66d1-4cd7-95d1-4b753a64ca6b", "跃入迷城")</f>
        <v>跃入迷城</v>
      </c>
      <c r="R231" t="inlineStr">
        <is>
          <t>4d92b9af-66d1-4cd7-95d1-4b753a64ca6b</t>
        </is>
      </c>
      <c r="S231" t="inlineStr">
        <is>
          <t>58ada5a1-235f-4d51-9117-10646159a896</t>
        </is>
      </c>
      <c r="T231">
        <v>0</v>
      </c>
      <c r="U231">
        <v>1</v>
      </c>
      <c r="V231" t="inlineStr">
        <is>
          <t>0.0.5</t>
        </is>
      </c>
      <c r="W231" t="inlineStr">
        <is>
          <t>已拆分</t>
        </is>
      </c>
      <c r="X231" t="inlineStr">
        <is>
          <t>🛠️技术</t>
        </is>
      </c>
      <c r="Y231" t="inlineStr">
        <is>
          <t>AI</t>
        </is>
      </c>
      <c r="Z231" t="inlineStr">
        <is>
          <t>P1 - Bigger the Better</t>
        </is>
      </c>
      <c r="AA231"/>
      <c r="AB231"/>
      <c r="AC231"/>
      <c r="AD231" t="inlineStr">
        <is>
          <t>NzUzMjAzNDQ5ODk2NDY2ODQ0NDo1OGFkYTVhMS0yMzVmLTRkNTEtOTExNy0xMDY0NjE1OWE4OTY6N2JmMTg2MjJkMmEzMWU3MWRhNDE1OGI1ZGFlNDg5ODU6MQ==</t>
        </is>
      </c>
      <c r="AE231"/>
    </row>
    <row r="232" ht="25.5" customHeight="1">
      <c r="A232" s="2" t="str">
        <f>=HYPERLINK("https://applink.feishu.cn/client/todo/detail?guid=054bc381-3daf-46be-bb91-924c9a7acbfd&amp;suite_entity_num=t100579", "GUI布局调整&amp;字段关联")</f>
        <v>GUI布局调整&amp;字段关联</v>
      </c>
      <c r="B232"/>
      <c r="C232" t="inlineStr">
        <is>
          <t>默认分组</t>
        </is>
      </c>
      <c r="D232" t="inlineStr">
        <is>
          <t>1</t>
        </is>
      </c>
      <c r="E232" t="inlineStr">
        <is>
          <t>或签任务</t>
        </is>
      </c>
      <c r="F232"/>
      <c r="G232" t="inlineStr">
        <is>
          <t>0</t>
        </is>
      </c>
      <c r="H232"/>
      <c r="I232" t="inlineStr">
        <is>
          <t>苏祺恒,Decay</t>
        </is>
      </c>
      <c r="J232" t="inlineStr">
        <is>
          <t>龚政涛,Decay,苏祺恒</t>
        </is>
      </c>
      <c r="K232" t="inlineStr">
        <is>
          <t>龚政涛</t>
        </is>
      </c>
      <c r="L232" s="3">
        <v>45719.55017361111</v>
      </c>
      <c r="M232" s="3"/>
      <c r="N232" s="3">
        <v>45866.6641087963</v>
      </c>
      <c r="O232" s="3"/>
      <c r="P232" s="3">
        <v>45866.68675925926</v>
      </c>
      <c r="Q232" s="2" t="str">
        <f>=HYPERLINK("https://applink.feishu.cn/client/todo/task_list?guid=4d92b9af-66d1-4cd7-95d1-4b753a64ca6b", "跃入迷城")</f>
        <v>跃入迷城</v>
      </c>
      <c r="R232" t="inlineStr">
        <is>
          <t>4d92b9af-66d1-4cd7-95d1-4b753a64ca6b</t>
        </is>
      </c>
      <c r="S232" t="inlineStr">
        <is>
          <t>054bc381-3daf-46be-bb91-924c9a7acbfd</t>
        </is>
      </c>
      <c r="T232">
        <v>0</v>
      </c>
      <c r="U232">
        <v>0</v>
      </c>
      <c r="V232" t="inlineStr">
        <is>
          <t>0.0.4</t>
        </is>
      </c>
      <c r="W232" t="inlineStr">
        <is>
          <t>工作中</t>
        </is>
      </c>
      <c r="X232" t="inlineStr">
        <is>
          <t>🎨艺术</t>
        </is>
      </c>
      <c r="Y232" t="inlineStr">
        <is>
          <t>UIUX</t>
        </is>
      </c>
      <c r="Z232" t="inlineStr">
        <is>
          <t>P0 - Must (not) Have</t>
        </is>
      </c>
      <c r="AA232"/>
      <c r="AB232"/>
      <c r="AC232"/>
      <c r="AD232" t="inlineStr">
        <is>
          <t>NzUzMjAzNDQ5ODk2NDY2ODQ0NDowNTRiYzM4MS0zZGFmLTQ2YmUtYmI5MS05MjRjOWE3YWNiZmQ6NGRhODllMWY0ZGEwZGYzZjVkMmI2NDJjM2Q1MGVlN2Y6MQ==</t>
        </is>
      </c>
      <c r="AE232"/>
    </row>
    <row r="233" ht="25.5" customHeight="1">
      <c r="A233" s="2" t="str">
        <f>=HYPERLINK("https://applink.feishu.cn/client/todo/detail?guid=c95ce90c-3279-41e9-bece-b70a5be0ecc1&amp;suite_entity_num=t100581", "测试指令：指定加载level cnt和map index")</f>
        <v>测试指令：指定加载level cnt和map index</v>
      </c>
      <c r="B233"/>
      <c r="C233" t="inlineStr">
        <is>
          <t>默认分组</t>
        </is>
      </c>
      <c r="D233" t="inlineStr">
        <is>
          <t>1</t>
        </is>
      </c>
      <c r="E233" t="inlineStr">
        <is>
          <t>或签任务</t>
        </is>
      </c>
      <c r="F233"/>
      <c r="G233" t="inlineStr">
        <is>
          <t>0</t>
        </is>
      </c>
      <c r="H233"/>
      <c r="I233" t="inlineStr">
        <is>
          <t>Decay</t>
        </is>
      </c>
      <c r="J233" t="inlineStr">
        <is>
          <t>龚政涛,Decay</t>
        </is>
      </c>
      <c r="K233" t="inlineStr">
        <is>
          <t>龚政涛</t>
        </is>
      </c>
      <c r="L233" s="3">
        <v>45719.55574074074</v>
      </c>
      <c r="M233" s="3"/>
      <c r="N233" s="3">
        <v>45721.81866898148</v>
      </c>
      <c r="O233" s="3"/>
      <c r="P233" s="3">
        <v>45721.818657407406</v>
      </c>
      <c r="Q233" s="2" t="str">
        <f>=HYPERLINK("https://applink.feishu.cn/client/todo/task_list?guid=4d92b9af-66d1-4cd7-95d1-4b753a64ca6b", "跃入迷城")</f>
        <v>跃入迷城</v>
      </c>
      <c r="R233" t="inlineStr">
        <is>
          <t>4d92b9af-66d1-4cd7-95d1-4b753a64ca6b</t>
        </is>
      </c>
      <c r="S233" t="inlineStr">
        <is>
          <t>c95ce90c-3279-41e9-bece-b70a5be0ecc1</t>
        </is>
      </c>
      <c r="T233">
        <v>0</v>
      </c>
      <c r="U233">
        <v>1</v>
      </c>
      <c r="V233" t="inlineStr">
        <is>
          <t>0.0.4</t>
        </is>
      </c>
      <c r="W233" t="inlineStr">
        <is>
          <t>已完成</t>
        </is>
      </c>
      <c r="X233"/>
      <c r="Y233" t="inlineStr">
        <is>
          <t>关卡</t>
        </is>
      </c>
      <c r="Z233" t="inlineStr">
        <is>
          <t>P1 - Bigger the Better</t>
        </is>
      </c>
      <c r="AA233"/>
      <c r="AB233"/>
      <c r="AC233"/>
      <c r="AD233" t="inlineStr">
        <is>
          <t>NzUzMjAzNDQ5ODk2NDY2ODQ0NDpjOTVjZTkwYy0zMjc5LTQxZTktYmVjZS1iNzBhNWJlMGVjYzE6Y2UyOGEzMzY1YzUyMjJkODRiYTA4ZTg2ZGZkNDY4OWY6MQ==</t>
        </is>
      </c>
      <c r="AE233"/>
    </row>
    <row r="234" ht="25.5" customHeight="1">
      <c r="A234" s="2" t="str">
        <f>=HYPERLINK("https://applink.feishu.cn/client/todo/detail?guid=350a3a9a-342b-4547-8bf1-61f409611911&amp;suite_entity_num=t100582", "🪡修改：武器打印机增加升级当前武器功能")</f>
        <v>🪡修改：武器打印机增加升级当前武器功能</v>
      </c>
      <c r="B234"/>
      <c r="C234" t="inlineStr">
        <is>
          <t>默认分组</t>
        </is>
      </c>
      <c r="D234" t="inlineStr">
        <is>
          <t>0</t>
        </is>
      </c>
      <c r="E234" t="inlineStr">
        <is>
          <t>或签任务</t>
        </is>
      </c>
      <c r="F234"/>
      <c r="G234" t="inlineStr">
        <is>
          <t>0</t>
        </is>
      </c>
      <c r="H234"/>
      <c r="I234" t="inlineStr">
        <is>
          <t>Decay</t>
        </is>
      </c>
      <c r="J234" t="inlineStr">
        <is>
          <t>龚政涛,Decay</t>
        </is>
      </c>
      <c r="K234" t="inlineStr">
        <is>
          <t>龚政涛</t>
        </is>
      </c>
      <c r="L234" s="3">
        <v>45719.55872685185</v>
      </c>
      <c r="M234" s="3">
        <v>45902.333333333336</v>
      </c>
      <c r="N234" s="3"/>
      <c r="O234" s="3"/>
      <c r="P234" s="3">
        <v>45895.47199074074</v>
      </c>
      <c r="Q234" s="2" t="str">
        <f>=HYPERLINK("https://applink.feishu.cn/client/todo/task_list?guid=4d92b9af-66d1-4cd7-95d1-4b753a64ca6b", "跃入迷城")</f>
        <v>跃入迷城</v>
      </c>
      <c r="R234" t="inlineStr">
        <is>
          <t>4d92b9af-66d1-4cd7-95d1-4b753a64ca6b</t>
        </is>
      </c>
      <c r="S234" t="inlineStr">
        <is>
          <t>350a3a9a-342b-4547-8bf1-61f409611911</t>
        </is>
      </c>
      <c r="T234">
        <v>0</v>
      </c>
      <c r="U234">
        <v>0</v>
      </c>
      <c r="V234" t="inlineStr">
        <is>
          <t>0.0.5</t>
        </is>
      </c>
      <c r="W234"/>
      <c r="X234" t="inlineStr">
        <is>
          <t>🎮玩法</t>
        </is>
      </c>
      <c r="Y234" t="inlineStr">
        <is>
          <t>装备</t>
        </is>
      </c>
      <c r="Z234" t="inlineStr">
        <is>
          <t>P0 - Must (not) Have</t>
        </is>
      </c>
      <c r="AA234" t="inlineStr">
        <is>
          <t>e71b9659-0505-4182-a2e8-e70df773715f</t>
        </is>
      </c>
      <c r="AB234" t="inlineStr">
        <is>
          <t>d701f38b-762e-4205-b484-d2328e2c5ccb</t>
        </is>
      </c>
      <c r="AC234"/>
      <c r="AD234" t="inlineStr">
        <is>
          <t>NzUzMjAzNDQ5ODk2NDY2ODQ0NDozNTBhM2E5YS0zNDJiLTQ1NDctOGJmMS02MWY0MDk2MTE5MTE6NjI0OWM5NGVhZGI2ZGIyYWFjMGUyM2NjNGE5YzAxMWE6MQ==</t>
        </is>
      </c>
      <c r="AE234"/>
    </row>
    <row r="235" ht="25.5" customHeight="1">
      <c r="A235" s="2" t="str">
        <f>=HYPERLINK("https://applink.feishu.cn/client/todo/detail?guid=6460f324-a1f6-47ea-bdae-c0e78ac80e88&amp;suite_entity_num=t100571", "公寓战争迷雾")</f>
        <v>公寓战争迷雾</v>
      </c>
      <c r="B235"/>
      <c r="C235" t="inlineStr">
        <is>
          <t>默认分组</t>
        </is>
      </c>
      <c r="D235" t="inlineStr">
        <is>
          <t>1</t>
        </is>
      </c>
      <c r="E235" t="inlineStr">
        <is>
          <t>或签任务</t>
        </is>
      </c>
      <c r="F235"/>
      <c r="G235" t="inlineStr">
        <is>
          <t>0</t>
        </is>
      </c>
      <c r="H235"/>
      <c r="I235" t="inlineStr">
        <is>
          <t>Decay</t>
        </is>
      </c>
      <c r="J235" t="inlineStr">
        <is>
          <t>Decay</t>
        </is>
      </c>
      <c r="K235" t="inlineStr">
        <is>
          <t>Decay</t>
        </is>
      </c>
      <c r="L235" s="3">
        <v>45716.75462962963</v>
      </c>
      <c r="M235" s="3"/>
      <c r="N235" s="3">
        <v>45726.62464120371</v>
      </c>
      <c r="O235" s="3"/>
      <c r="P235" s="3">
        <v>45726.62464120371</v>
      </c>
      <c r="Q235" s="2" t="str">
        <f>=HYPERLINK("https://applink.feishu.cn/client/todo/task_list?guid=4d92b9af-66d1-4cd7-95d1-4b753a64ca6b", "跃入迷城")</f>
        <v>跃入迷城</v>
      </c>
      <c r="R235" t="inlineStr">
        <is>
          <t>4d92b9af-66d1-4cd7-95d1-4b753a64ca6b</t>
        </is>
      </c>
      <c r="S235" t="inlineStr">
        <is>
          <t>6460f324-a1f6-47ea-bdae-c0e78ac80e88</t>
        </is>
      </c>
      <c r="T235">
        <v>0</v>
      </c>
      <c r="U235">
        <v>0</v>
      </c>
      <c r="V235" t="inlineStr">
        <is>
          <t>0.0.4</t>
        </is>
      </c>
      <c r="W235" t="inlineStr">
        <is>
          <t>已完成</t>
        </is>
      </c>
      <c r="X235"/>
      <c r="Y235" t="inlineStr">
        <is>
          <t>镜头</t>
        </is>
      </c>
      <c r="Z235" t="inlineStr">
        <is>
          <t>P0 - Must (not) Have</t>
        </is>
      </c>
      <c r="AA235"/>
      <c r="AB235"/>
      <c r="AC235"/>
      <c r="AD235" t="inlineStr">
        <is>
          <t>NzUzMjAzNDQ5ODk2NDY2ODQ0NDo2NDYwZjMyNC1hMWY2LTQ3ZWEtYmRhZS1jMGU3OGFjODBlODg6N2Y1ZDM4OWIwMmU2NTEwMTNiNTQ5NTU4Y2I1NDQ2OWQ6MQ==</t>
        </is>
      </c>
      <c r="AE235"/>
    </row>
    <row r="236" ht="25.5" customHeight="1">
      <c r="A236" s="2" t="str">
        <f>=HYPERLINK("https://applink.feishu.cn/client/todo/detail?guid=fa5542c1-025d-4303-87d0-ec040f5e5378&amp;suite_entity_num=t100574", "公寓武器禁用逻辑（持枪行走但不可开火）")</f>
        <v>公寓武器禁用逻辑（持枪行走但不可开火）</v>
      </c>
      <c r="B236"/>
      <c r="C236" t="inlineStr">
        <is>
          <t>默认分组</t>
        </is>
      </c>
      <c r="D236" t="inlineStr">
        <is>
          <t>0</t>
        </is>
      </c>
      <c r="E236" t="inlineStr">
        <is>
          <t>或签任务</t>
        </is>
      </c>
      <c r="F236"/>
      <c r="G236" t="inlineStr">
        <is>
          <t>0</t>
        </is>
      </c>
      <c r="H236"/>
      <c r="I236" t="inlineStr">
        <is>
          <t>Decay</t>
        </is>
      </c>
      <c r="J236" t="inlineStr">
        <is>
          <t>Decay</t>
        </is>
      </c>
      <c r="K236" t="inlineStr">
        <is>
          <t>Decay</t>
        </is>
      </c>
      <c r="L236" s="3">
        <v>45716.756898148145</v>
      </c>
      <c r="M236" s="3"/>
      <c r="N236" s="3"/>
      <c r="O236" s="3"/>
      <c r="P236" s="3">
        <v>45890.47792824074</v>
      </c>
      <c r="Q236" s="2" t="str">
        <f>=HYPERLINK("https://applink.feishu.cn/client/todo/task_list?guid=4d92b9af-66d1-4cd7-95d1-4b753a64ca6b", "跃入迷城")</f>
        <v>跃入迷城</v>
      </c>
      <c r="R236" t="inlineStr">
        <is>
          <t>4d92b9af-66d1-4cd7-95d1-4b753a64ca6b</t>
        </is>
      </c>
      <c r="S236" t="inlineStr">
        <is>
          <t>fa5542c1-025d-4303-87d0-ec040f5e5378</t>
        </is>
      </c>
      <c r="T236">
        <v>0</v>
      </c>
      <c r="U236">
        <v>0</v>
      </c>
      <c r="V236" t="inlineStr">
        <is>
          <t>0.0.5</t>
        </is>
      </c>
      <c r="W236"/>
      <c r="X236" t="inlineStr">
        <is>
          <t>🛠️技术</t>
        </is>
      </c>
      <c r="Y236" t="inlineStr">
        <is>
          <t>操作</t>
        </is>
      </c>
      <c r="Z236" t="inlineStr">
        <is>
          <t>P2 - Nice to Have</t>
        </is>
      </c>
      <c r="AA236"/>
      <c r="AB236"/>
      <c r="AC236"/>
      <c r="AD236" t="inlineStr">
        <is>
          <t>NzUzMjAzNDQ5ODk2NDY2ODQ0NDpmYTU1NDJjMS0wMjVkLTQzMDMtODdkMC1lYzA0MGY1ZTUzNzg6MTdmYTk3NGEyZGE5NDg3MGU0OWUzYjZhMGNhOTVlYWI6MQ==</t>
        </is>
      </c>
      <c r="AE236"/>
    </row>
    <row r="237" ht="25.5" customHeight="1">
      <c r="A237" s="2" t="str">
        <f>=HYPERLINK("https://applink.feishu.cn/client/todo/detail?guid=defea95e-6ef8-492e-83b7-0f145badbe52&amp;suite_entity_num=t100573", "武器收纳方向调整（现在太刀什么的都刀剑朝前在腰上）")</f>
        <v>武器收纳方向调整（现在太刀什么的都刀剑朝前在腰上）</v>
      </c>
      <c r="B237"/>
      <c r="C237" t="inlineStr">
        <is>
          <t>默认分组</t>
        </is>
      </c>
      <c r="D237" t="inlineStr">
        <is>
          <t>0</t>
        </is>
      </c>
      <c r="E237" t="inlineStr">
        <is>
          <t>或签任务</t>
        </is>
      </c>
      <c r="F237"/>
      <c r="G237" t="inlineStr">
        <is>
          <t>0</t>
        </is>
      </c>
      <c r="H237"/>
      <c r="I237" t="inlineStr">
        <is>
          <t>Decay</t>
        </is>
      </c>
      <c r="J237" t="inlineStr">
        <is>
          <t>Decay</t>
        </is>
      </c>
      <c r="K237" t="inlineStr">
        <is>
          <t>Decay</t>
        </is>
      </c>
      <c r="L237" s="3">
        <v>45716.756319444445</v>
      </c>
      <c r="M237" s="3"/>
      <c r="N237" s="3"/>
      <c r="O237" s="3"/>
      <c r="P237" s="3">
        <v>45890.47833333333</v>
      </c>
      <c r="Q237" s="2" t="str">
        <f>=HYPERLINK("https://applink.feishu.cn/client/todo/task_list?guid=4d92b9af-66d1-4cd7-95d1-4b753a64ca6b", "跃入迷城")</f>
        <v>跃入迷城</v>
      </c>
      <c r="R237" t="inlineStr">
        <is>
          <t>4d92b9af-66d1-4cd7-95d1-4b753a64ca6b</t>
        </is>
      </c>
      <c r="S237" t="inlineStr">
        <is>
          <t>defea95e-6ef8-492e-83b7-0f145badbe52</t>
        </is>
      </c>
      <c r="T237">
        <v>0</v>
      </c>
      <c r="U237">
        <v>0</v>
      </c>
      <c r="V237" t="inlineStr">
        <is>
          <t>0.1.0</t>
        </is>
      </c>
      <c r="W237"/>
      <c r="X237"/>
      <c r="Y237" t="inlineStr">
        <is>
          <t>装备</t>
        </is>
      </c>
      <c r="Z237" t="inlineStr">
        <is>
          <t>P1 - Bigger the Better</t>
        </is>
      </c>
      <c r="AA237"/>
      <c r="AB237"/>
      <c r="AC237"/>
      <c r="AD237" t="inlineStr">
        <is>
          <t>NzUzMjAzNDQ5ODk2NDY2ODQ0NDpkZWZlYTk1ZS02ZWY4LTQ5MmUtODNiNy0wZjE0NWJhZGJlNTI6MWNlNTE0OWFlNTNjNmZlMTM1ZmMyYjUyMWZlNmY2NzI6MQ==</t>
        </is>
      </c>
      <c r="AE237"/>
    </row>
    <row r="238" ht="25.5" customHeight="1">
      <c r="A238" s="2" t="str">
        <f>=HYPERLINK("https://applink.feishu.cn/client/todo/detail?guid=306bc539-a37c-4ada-95e5-efddee6bebb5&amp;suite_entity_num=t100568", "完成剩余技能")</f>
        <v>完成剩余技能</v>
      </c>
      <c r="B238"/>
      <c r="C238" t="inlineStr">
        <is>
          <t>默认分组</t>
        </is>
      </c>
      <c r="D238" t="inlineStr">
        <is>
          <t>1</t>
        </is>
      </c>
      <c r="E238" t="inlineStr">
        <is>
          <t>或签任务</t>
        </is>
      </c>
      <c r="F238"/>
      <c r="G238" t="inlineStr">
        <is>
          <t>0</t>
        </is>
      </c>
      <c r="H238"/>
      <c r="I238" t="inlineStr">
        <is>
          <t>Decay</t>
        </is>
      </c>
      <c r="J238" t="inlineStr">
        <is>
          <t>Decay</t>
        </is>
      </c>
      <c r="K238" t="inlineStr">
        <is>
          <t>Decay</t>
        </is>
      </c>
      <c r="L238" s="3">
        <v>45716.7508912037</v>
      </c>
      <c r="M238" s="3"/>
      <c r="N238" s="3">
        <v>45787.08710648148</v>
      </c>
      <c r="O238" s="3"/>
      <c r="P238" s="3">
        <v>45787.08710648148</v>
      </c>
      <c r="Q238" s="2" t="str">
        <f>=HYPERLINK("https://applink.feishu.cn/client/todo/task_list?guid=4d92b9af-66d1-4cd7-95d1-4b753a64ca6b", "跃入迷城")</f>
        <v>跃入迷城</v>
      </c>
      <c r="R238" t="inlineStr">
        <is>
          <t>4d92b9af-66d1-4cd7-95d1-4b753a64ca6b</t>
        </is>
      </c>
      <c r="S238" t="inlineStr">
        <is>
          <t>306bc539-a37c-4ada-95e5-efddee6bebb5</t>
        </is>
      </c>
      <c r="T238">
        <v>0</v>
      </c>
      <c r="U238">
        <v>2</v>
      </c>
      <c r="V238" t="inlineStr">
        <is>
          <t>0.1.0</t>
        </is>
      </c>
      <c r="W238" t="inlineStr">
        <is>
          <t>已废弃</t>
        </is>
      </c>
      <c r="X238"/>
      <c r="Y238" t="inlineStr">
        <is>
          <t>技能</t>
        </is>
      </c>
      <c r="Z238" t="inlineStr">
        <is>
          <t>P2 - Nice to Have</t>
        </is>
      </c>
      <c r="AA238"/>
      <c r="AB238"/>
      <c r="AC238"/>
      <c r="AD238" t="inlineStr">
        <is>
          <t>NzUzMjAzNDQ5ODk2NDY2ODQ0NDozMDZiYzUzOS1hMzdjLTRhZGEtOTVlNS1lZmRkZWU2YmViYjU6YzAwZGQ5ZTg5NmVmYTJmZmE3N2JiMTNjOTMyYmNiNDg6MQ==</t>
        </is>
      </c>
      <c r="AE238"/>
    </row>
    <row r="239" ht="25.5" customHeight="1">
      <c r="A239" s="2" t="str">
        <f>=HYPERLINK("https://applink.feishu.cn/client/todo/detail?guid=934504db-16c1-4312-976d-4e68fa718f20&amp;suite_entity_num=t100565", "局外进入局内时携带的钱数量固定")</f>
        <v>局外进入局内时携带的钱数量固定</v>
      </c>
      <c r="B239"/>
      <c r="C239" t="inlineStr">
        <is>
          <t>默认分组</t>
        </is>
      </c>
      <c r="D239" t="inlineStr">
        <is>
          <t>1</t>
        </is>
      </c>
      <c r="E239" t="inlineStr">
        <is>
          <t>或签任务</t>
        </is>
      </c>
      <c r="F239"/>
      <c r="G239" t="inlineStr">
        <is>
          <t>0</t>
        </is>
      </c>
      <c r="H239"/>
      <c r="I239" t="inlineStr">
        <is>
          <t>Decay</t>
        </is>
      </c>
      <c r="J239" t="inlineStr">
        <is>
          <t>Decay,龚政涛</t>
        </is>
      </c>
      <c r="K239" t="inlineStr">
        <is>
          <t>Decay</t>
        </is>
      </c>
      <c r="L239" s="3">
        <v>45716.74596064815</v>
      </c>
      <c r="M239" s="3"/>
      <c r="N239" s="3">
        <v>45730.59237268518</v>
      </c>
      <c r="O239" s="3"/>
      <c r="P239" s="3">
        <v>45730.59237268518</v>
      </c>
      <c r="Q239" s="2" t="str">
        <f>=HYPERLINK("https://applink.feishu.cn/client/todo/task_list?guid=4d92b9af-66d1-4cd7-95d1-4b753a64ca6b", "跃入迷城")</f>
        <v>跃入迷城</v>
      </c>
      <c r="R239" t="inlineStr">
        <is>
          <t>4d92b9af-66d1-4cd7-95d1-4b753a64ca6b</t>
        </is>
      </c>
      <c r="S239" t="inlineStr">
        <is>
          <t>934504db-16c1-4312-976d-4e68fa718f20</t>
        </is>
      </c>
      <c r="T239">
        <v>0</v>
      </c>
      <c r="U239">
        <v>1</v>
      </c>
      <c r="V239" t="inlineStr">
        <is>
          <t>0.0.4</t>
        </is>
      </c>
      <c r="W239" t="inlineStr">
        <is>
          <t>已完成</t>
        </is>
      </c>
      <c r="X239"/>
      <c r="Y239" t="inlineStr">
        <is>
          <t>装备</t>
        </is>
      </c>
      <c r="Z239" t="inlineStr">
        <is>
          <t>P1 - Bigger the Better</t>
        </is>
      </c>
      <c r="AA239"/>
      <c r="AB239"/>
      <c r="AC239"/>
      <c r="AD239" t="inlineStr">
        <is>
          <t>NzUzMjAzNDQ5ODk2NDY2ODQ0NDo5MzQ1MDRkYi0xNmMxLTQzMTItOTc2ZC00ZTY4ZmE3MThmMjA6ZTEyNmI2YWRkZDM3NGQ2Y2NlODZlY2NkMTMyMzc3ZWI6MQ==</t>
        </is>
      </c>
      <c r="AE239"/>
    </row>
    <row r="240" ht="25.5" customHeight="1">
      <c r="A240" s="2" t="str">
        <f>=HYPERLINK("https://applink.feishu.cn/client/todo/detail?guid=25f8e5b6-3808-4201-b7d9-dc77b313c6b0&amp;suite_entity_num=t100577", "刃返不需要盾的特效，上半身摆个动作就可以。")</f>
        <v>刃返不需要盾的特效，上半身摆个动作就可以。</v>
      </c>
      <c r="B240"/>
      <c r="C240" t="inlineStr">
        <is>
          <t>默认分组</t>
        </is>
      </c>
      <c r="D240" t="inlineStr">
        <is>
          <t>0</t>
        </is>
      </c>
      <c r="E240" t="inlineStr">
        <is>
          <t>或签任务</t>
        </is>
      </c>
      <c r="F240"/>
      <c r="G240" t="inlineStr">
        <is>
          <t>0</t>
        </is>
      </c>
      <c r="H240"/>
      <c r="I240"/>
      <c r="J240" t="inlineStr">
        <is>
          <t>龚政涛</t>
        </is>
      </c>
      <c r="K240" t="inlineStr">
        <is>
          <t>龚政涛</t>
        </is>
      </c>
      <c r="L240" s="3">
        <v>45719.08336805556</v>
      </c>
      <c r="M240" s="3"/>
      <c r="N240" s="3"/>
      <c r="O240" s="3"/>
      <c r="P240" s="3">
        <v>45866.66917824074</v>
      </c>
      <c r="Q240" s="2" t="str">
        <f>=HYPERLINK("https://applink.feishu.cn/client/todo/task_list?guid=4d92b9af-66d1-4cd7-95d1-4b753a64ca6b", "跃入迷城")</f>
        <v>跃入迷城</v>
      </c>
      <c r="R240" t="inlineStr">
        <is>
          <t>4d92b9af-66d1-4cd7-95d1-4b753a64ca6b</t>
        </is>
      </c>
      <c r="S240" t="inlineStr">
        <is>
          <t>25f8e5b6-3808-4201-b7d9-dc77b313c6b0</t>
        </is>
      </c>
      <c r="T240">
        <v>0</v>
      </c>
      <c r="U240">
        <v>0</v>
      </c>
      <c r="V240" t="inlineStr">
        <is>
          <t>0.0.5</t>
        </is>
      </c>
      <c r="W240" t="inlineStr">
        <is>
          <t>未开始</t>
        </is>
      </c>
      <c r="X240" t="inlineStr">
        <is>
          <t>🎨艺术</t>
        </is>
      </c>
      <c r="Y240" t="inlineStr">
        <is>
          <t>动画</t>
        </is>
      </c>
      <c r="Z240" t="inlineStr">
        <is>
          <t>P1 - Bigger the Better</t>
        </is>
      </c>
      <c r="AA240"/>
      <c r="AB240"/>
      <c r="AC240"/>
      <c r="AD240" t="inlineStr">
        <is>
          <t>NzUzMjAzNDQ5ODk2NDY2ODQ0NDoyNWY4ZTViNi0zODA4LTQyMDEtYjdkOS1kYzc3YjMxM2M2YjA6M2M4NzYxMTJhYWU0NjdhYzNlYzhlMjMyY2Q4OTVkN2U6MQ==</t>
        </is>
      </c>
      <c r="AE240"/>
    </row>
    <row r="241" ht="25.5" customHeight="1">
      <c r="A241" s="2" t="str">
        <f>=HYPERLINK("https://applink.feishu.cn/client/todo/detail?guid=c33be4bb-c243-4a2e-8948-86be00026be8&amp;suite_entity_num=t100576", "BUG：随机技能并没有继承正确的插图")</f>
        <v>BUG：随机技能并没有继承正确的插图</v>
      </c>
      <c r="B241"/>
      <c r="C241" t="inlineStr">
        <is>
          <t>默认分组</t>
        </is>
      </c>
      <c r="D241" t="inlineStr">
        <is>
          <t>1</t>
        </is>
      </c>
      <c r="E241" t="inlineStr">
        <is>
          <t>或签任务</t>
        </is>
      </c>
      <c r="F241"/>
      <c r="G241" t="inlineStr">
        <is>
          <t>0</t>
        </is>
      </c>
      <c r="H241"/>
      <c r="I241"/>
      <c r="J241" t="inlineStr">
        <is>
          <t>龚政涛</t>
        </is>
      </c>
      <c r="K241" t="inlineStr">
        <is>
          <t>龚政涛</t>
        </is>
      </c>
      <c r="L241" s="3">
        <v>45719.082974537036</v>
      </c>
      <c r="M241" s="3"/>
      <c r="N241" s="3">
        <v>45719.569444444445</v>
      </c>
      <c r="O241" s="3"/>
      <c r="P241" s="3">
        <v>45719.56945601852</v>
      </c>
      <c r="Q241" s="2" t="str">
        <f>=HYPERLINK("https://applink.feishu.cn/client/todo/task_list?guid=4d92b9af-66d1-4cd7-95d1-4b753a64ca6b", "跃入迷城")</f>
        <v>跃入迷城</v>
      </c>
      <c r="R241" t="inlineStr">
        <is>
          <t>4d92b9af-66d1-4cd7-95d1-4b753a64ca6b</t>
        </is>
      </c>
      <c r="S241" t="inlineStr">
        <is>
          <t>c33be4bb-c243-4a2e-8948-86be00026be8</t>
        </is>
      </c>
      <c r="T241">
        <v>0</v>
      </c>
      <c r="U241">
        <v>2</v>
      </c>
      <c r="V241" t="inlineStr">
        <is>
          <t>0.0.4</t>
        </is>
      </c>
      <c r="W241" t="inlineStr">
        <is>
          <t>已废弃</t>
        </is>
      </c>
      <c r="X241"/>
      <c r="Y241" t="inlineStr">
        <is>
          <t>技能</t>
        </is>
      </c>
      <c r="Z241" t="inlineStr">
        <is>
          <t>P0 - Must (not) Have</t>
        </is>
      </c>
      <c r="AA241"/>
      <c r="AB241"/>
      <c r="AC241"/>
      <c r="AD241" t="inlineStr">
        <is>
          <t>NzUzMjAzNDQ5ODk2NDY2ODQ0NDpjMzNiZTRiYi1jMjQzLTRhMmUtODk0OC04NmJlMDAwMjZiZTg6NjgzOTU2NTM1ZGYzMmZjNzkwODRmOGUxYjUyZDlkZDk6MQ==</t>
        </is>
      </c>
      <c r="AE241"/>
    </row>
    <row r="242" ht="25.5" customHeight="1">
      <c r="A242" s="2" t="str">
        <f>=HYPERLINK("https://applink.feishu.cn/client/todo/detail?guid=aa9991d2-f998-4f8c-8767-f48b879df586&amp;suite_entity_num=t100583", "BUG：武器打印机阵营不显示 &amp; 随机到NOT VALID对象")</f>
        <v>BUG：武器打印机阵营不显示 &amp; 随机到NOT VALID对象</v>
      </c>
      <c r="B242"/>
      <c r="C242" t="inlineStr">
        <is>
          <t>默认分组</t>
        </is>
      </c>
      <c r="D242" t="inlineStr">
        <is>
          <t>1</t>
        </is>
      </c>
      <c r="E242" t="inlineStr">
        <is>
          <t>或签任务</t>
        </is>
      </c>
      <c r="F242"/>
      <c r="G242" t="inlineStr">
        <is>
          <t>0</t>
        </is>
      </c>
      <c r="H242"/>
      <c r="I242"/>
      <c r="J242" t="inlineStr">
        <is>
          <t>龚政涛,Decay</t>
        </is>
      </c>
      <c r="K242" t="inlineStr">
        <is>
          <t>龚政涛</t>
        </is>
      </c>
      <c r="L242" s="3">
        <v>45719.56521990741</v>
      </c>
      <c r="M242" s="3"/>
      <c r="N242" s="3">
        <v>45721.834340277775</v>
      </c>
      <c r="O242" s="3"/>
      <c r="P242" s="3">
        <v>45721.834375</v>
      </c>
      <c r="Q242" s="2" t="str">
        <f>=HYPERLINK("https://applink.feishu.cn/client/todo/task_list?guid=4d92b9af-66d1-4cd7-95d1-4b753a64ca6b", "跃入迷城")</f>
        <v>跃入迷城</v>
      </c>
      <c r="R242" t="inlineStr">
        <is>
          <t>4d92b9af-66d1-4cd7-95d1-4b753a64ca6b</t>
        </is>
      </c>
      <c r="S242" t="inlineStr">
        <is>
          <t>aa9991d2-f998-4f8c-8767-f48b879df586</t>
        </is>
      </c>
      <c r="T242">
        <v>0</v>
      </c>
      <c r="U242">
        <v>1</v>
      </c>
      <c r="V242" t="inlineStr">
        <is>
          <t>0.0.4</t>
        </is>
      </c>
      <c r="W242" t="inlineStr">
        <is>
          <t>已完成</t>
        </is>
      </c>
      <c r="X242"/>
      <c r="Y242" t="inlineStr">
        <is>
          <t>装备</t>
        </is>
      </c>
      <c r="Z242" t="inlineStr">
        <is>
          <t>P0 - Must (not) Have</t>
        </is>
      </c>
      <c r="AA242"/>
      <c r="AB242"/>
      <c r="AC242"/>
      <c r="AD242" t="inlineStr">
        <is>
          <t>NzUzMjAzNDQ5ODk2NDY2ODQ0NDphYTk5OTFkMi1mOTk4LTRmOGMtODc2Ny1mNDhiODc5ZGY1ODY6ZWQ2MDViNzIwY2MxOTYzN2VkM2IyMjA0MTQ4ZTMyMzI6MQ==</t>
        </is>
      </c>
      <c r="AE242"/>
    </row>
    <row r="243" ht="25.5" customHeight="1">
      <c r="A243" s="2" t="str">
        <f>=HYPERLINK("https://applink.feishu.cn/client/todo/detail?guid=68ec273b-c255-47e0-b857-be903ef98d23&amp;suite_entity_num=t100578", "BUG：每次load的第一个关卡（不是第一层，就play以后那一关）AI不会移动")</f>
        <v>BUG：每次load的第一个关卡（不是第一层，就play以后那一关）AI不会移动</v>
      </c>
      <c r="B243"/>
      <c r="C243" t="inlineStr">
        <is>
          <t>默认分组</t>
        </is>
      </c>
      <c r="D243" t="inlineStr">
        <is>
          <t>1</t>
        </is>
      </c>
      <c r="E243" t="inlineStr">
        <is>
          <t>或签任务</t>
        </is>
      </c>
      <c r="F243"/>
      <c r="G243" t="inlineStr">
        <is>
          <t>0</t>
        </is>
      </c>
      <c r="H243"/>
      <c r="I243" t="inlineStr">
        <is>
          <t>Decay</t>
        </is>
      </c>
      <c r="J243" t="inlineStr">
        <is>
          <t>龚政涛,Decay</t>
        </is>
      </c>
      <c r="K243" t="inlineStr">
        <is>
          <t>龚政涛</t>
        </is>
      </c>
      <c r="L243" s="3">
        <v>45719.52667824074</v>
      </c>
      <c r="M243" s="3"/>
      <c r="N243" s="3">
        <v>45730.67324074074</v>
      </c>
      <c r="O243" s="3"/>
      <c r="P243" s="3">
        <v>45730.67324074074</v>
      </c>
      <c r="Q243" s="2" t="str">
        <f>=HYPERLINK("https://applink.feishu.cn/client/todo/task_list?guid=4d92b9af-66d1-4cd7-95d1-4b753a64ca6b", "跃入迷城")</f>
        <v>跃入迷城</v>
      </c>
      <c r="R243" t="inlineStr">
        <is>
          <t>4d92b9af-66d1-4cd7-95d1-4b753a64ca6b</t>
        </is>
      </c>
      <c r="S243" t="inlineStr">
        <is>
          <t>68ec273b-c255-47e0-b857-be903ef98d23</t>
        </is>
      </c>
      <c r="T243">
        <v>0</v>
      </c>
      <c r="U243">
        <v>0</v>
      </c>
      <c r="V243" t="inlineStr">
        <is>
          <t>0.0.5</t>
        </is>
      </c>
      <c r="W243" t="inlineStr">
        <is>
          <t>已完成</t>
        </is>
      </c>
      <c r="X243"/>
      <c r="Y243" t="inlineStr">
        <is>
          <t>关卡</t>
        </is>
      </c>
      <c r="Z243" t="inlineStr">
        <is>
          <t>P1 - Bigger the Better</t>
        </is>
      </c>
      <c r="AA243"/>
      <c r="AB243"/>
      <c r="AC243"/>
      <c r="AD243" t="inlineStr">
        <is>
          <t>NzUzMjAzNDQ5ODk2NDY2ODQ0NDo2OGVjMjczYi1jMjU1LTQ3ZTAtYjg1Ny1iZTkwM2VmOThkMjM6ZjNiZjU4OWQzZGVkOTM2OGEzYWIyNGI0NGQzMWFiYTg6MQ==</t>
        </is>
      </c>
      <c r="AE243"/>
    </row>
    <row r="244" ht="25.5" customHeight="1">
      <c r="A244" s="2" t="str">
        <f>=HYPERLINK("https://applink.feishu.cn/client/todo/detail?guid=7bf2d24f-4a52-47f6-b452-ccf4f106f4b7&amp;suite_entity_num=t100566", "所有AOE伤害需要能被墙壁阻挡")</f>
        <v>所有AOE伤害需要能被墙壁阻挡</v>
      </c>
      <c r="B244"/>
      <c r="C244" t="inlineStr">
        <is>
          <t>默认分组</t>
        </is>
      </c>
      <c r="D244" t="inlineStr">
        <is>
          <t>1</t>
        </is>
      </c>
      <c r="E244" t="inlineStr">
        <is>
          <t>或签任务</t>
        </is>
      </c>
      <c r="F244"/>
      <c r="G244" t="inlineStr">
        <is>
          <t>0</t>
        </is>
      </c>
      <c r="H244"/>
      <c r="I244" t="inlineStr">
        <is>
          <t>Decay</t>
        </is>
      </c>
      <c r="J244" t="inlineStr">
        <is>
          <t>Decay,龚政涛</t>
        </is>
      </c>
      <c r="K244" t="inlineStr">
        <is>
          <t>Decay</t>
        </is>
      </c>
      <c r="L244" s="3">
        <v>45716.74653935185</v>
      </c>
      <c r="M244" s="3"/>
      <c r="N244" s="3">
        <v>45726.74565972222</v>
      </c>
      <c r="O244" s="3"/>
      <c r="P244" s="3">
        <v>45874.40424768518</v>
      </c>
      <c r="Q244" s="2" t="str">
        <f>=HYPERLINK("https://applink.feishu.cn/client/todo/task_list?guid=4d92b9af-66d1-4cd7-95d1-4b753a64ca6b", "跃入迷城")</f>
        <v>跃入迷城</v>
      </c>
      <c r="R244" t="inlineStr">
        <is>
          <t>4d92b9af-66d1-4cd7-95d1-4b753a64ca6b</t>
        </is>
      </c>
      <c r="S244" t="inlineStr">
        <is>
          <t>7bf2d24f-4a52-47f6-b452-ccf4f106f4b7</t>
        </is>
      </c>
      <c r="T244">
        <v>0</v>
      </c>
      <c r="U244">
        <v>3</v>
      </c>
      <c r="V244" t="inlineStr">
        <is>
          <t>0.0.5</t>
        </is>
      </c>
      <c r="W244" t="inlineStr">
        <is>
          <t>已完成</t>
        </is>
      </c>
      <c r="X244" t="inlineStr">
        <is>
          <t>🛠️技术</t>
        </is>
      </c>
      <c r="Y244" t="inlineStr">
        <is>
          <t>技能</t>
        </is>
      </c>
      <c r="Z244" t="inlineStr">
        <is>
          <t>P1 - Bigger the Better</t>
        </is>
      </c>
      <c r="AA244"/>
      <c r="AB244"/>
      <c r="AC244"/>
      <c r="AD244" t="inlineStr">
        <is>
          <t>NzUzMjAzNDQ5ODk2NDY2ODQ0NDo3YmYyZDI0Zi00YTUyLTQ3ZjYtYjQ1Mi1jY2Y0ZjEwNmY0Yjc6OTY2ZTQ5ODJmOWRiYTU2NWQwNmYzYjQ3YzExOGMxZTk6MQ==</t>
        </is>
      </c>
      <c r="AE244"/>
    </row>
    <row r="245" ht="25.5" customHeight="1">
      <c r="A245" s="2" t="str">
        <f>=HYPERLINK("https://applink.feishu.cn/client/todo/detail?guid=a000b820-7b55-4200-afa5-2eb36396174d&amp;suite_entity_num=t100567", "武器打印机卡片UI更新: 技能数值字段 / 特殊技能")</f>
        <v>武器打印机卡片UI更新: 技能数值字段 / 特殊技能</v>
      </c>
      <c r="B245"/>
      <c r="C245" t="inlineStr">
        <is>
          <t>默认分组</t>
        </is>
      </c>
      <c r="D245" t="inlineStr">
        <is>
          <t>1</t>
        </is>
      </c>
      <c r="E245" t="inlineStr">
        <is>
          <t>或签任务</t>
        </is>
      </c>
      <c r="F245"/>
      <c r="G245" t="inlineStr">
        <is>
          <t>0</t>
        </is>
      </c>
      <c r="H245"/>
      <c r="I245" t="inlineStr">
        <is>
          <t>Decay</t>
        </is>
      </c>
      <c r="J245" t="inlineStr">
        <is>
          <t>龚政涛,Decay</t>
        </is>
      </c>
      <c r="K245" t="inlineStr">
        <is>
          <t>Decay</t>
        </is>
      </c>
      <c r="L245" s="3">
        <v>45716.74722222222</v>
      </c>
      <c r="M245" s="3"/>
      <c r="N245" s="3">
        <v>45726.62920138889</v>
      </c>
      <c r="O245" s="3"/>
      <c r="P245" s="3">
        <v>45726.62918981481</v>
      </c>
      <c r="Q245" s="2" t="str">
        <f>=HYPERLINK("https://applink.feishu.cn/client/todo/task_list?guid=4d92b9af-66d1-4cd7-95d1-4b753a64ca6b", "跃入迷城")</f>
        <v>跃入迷城</v>
      </c>
      <c r="R245" t="inlineStr">
        <is>
          <t>4d92b9af-66d1-4cd7-95d1-4b753a64ca6b</t>
        </is>
      </c>
      <c r="S245" t="inlineStr">
        <is>
          <t>a000b820-7b55-4200-afa5-2eb36396174d</t>
        </is>
      </c>
      <c r="T245">
        <v>0</v>
      </c>
      <c r="U245">
        <v>6</v>
      </c>
      <c r="V245" t="inlineStr">
        <is>
          <t>0.0.4</t>
        </is>
      </c>
      <c r="W245" t="inlineStr">
        <is>
          <t>已完成</t>
        </is>
      </c>
      <c r="X245"/>
      <c r="Y245" t="inlineStr">
        <is>
          <t>装备</t>
        </is>
      </c>
      <c r="Z245" t="inlineStr">
        <is>
          <t>P0 - Must (not) Have</t>
        </is>
      </c>
      <c r="AA245"/>
      <c r="AB245"/>
      <c r="AC245"/>
      <c r="AD245" t="inlineStr">
        <is>
          <t>NzUzMjAzNDQ5ODk2NDY2ODQ0NDphMDAwYjgyMC03YjU1LTQyMDAtYWZhNS0yZWIzNjM5NjE3NGQ6YWQ0MTE4Y2RkYWM2Njg5NThiMzQ3NTkzODE0NjJjMDM6MQ==</t>
        </is>
      </c>
      <c r="AE245"/>
    </row>
    <row r="246" ht="25.5" customHeight="1">
      <c r="A246" s="2" t="str">
        <f>=HYPERLINK("https://applink.feishu.cn/client/todo/detail?guid=5ea4486d-fd79-4719-b583-775e79676d5c&amp;suite_entity_num=t100570", "死亡后移除确认按钮")</f>
        <v>死亡后移除确认按钮</v>
      </c>
      <c r="B246"/>
      <c r="C246" t="inlineStr">
        <is>
          <t>默认分组</t>
        </is>
      </c>
      <c r="D246" t="inlineStr">
        <is>
          <t>1</t>
        </is>
      </c>
      <c r="E246" t="inlineStr">
        <is>
          <t>或签任务</t>
        </is>
      </c>
      <c r="F246"/>
      <c r="G246" t="inlineStr">
        <is>
          <t>0</t>
        </is>
      </c>
      <c r="H246"/>
      <c r="I246" t="inlineStr">
        <is>
          <t>Decay</t>
        </is>
      </c>
      <c r="J246" t="inlineStr">
        <is>
          <t>Decay</t>
        </is>
      </c>
      <c r="K246" t="inlineStr">
        <is>
          <t>Decay</t>
        </is>
      </c>
      <c r="L246" s="3">
        <v>45716.75320601852</v>
      </c>
      <c r="M246" s="3"/>
      <c r="N246" s="3">
        <v>45730.66521990741</v>
      </c>
      <c r="O246" s="3"/>
      <c r="P246" s="3">
        <v>45730.66521990741</v>
      </c>
      <c r="Q246" s="2" t="str">
        <f>=HYPERLINK("https://applink.feishu.cn/client/todo/task_list?guid=4d92b9af-66d1-4cd7-95d1-4b753a64ca6b", "跃入迷城")</f>
        <v>跃入迷城</v>
      </c>
      <c r="R246" t="inlineStr">
        <is>
          <t>4d92b9af-66d1-4cd7-95d1-4b753a64ca6b</t>
        </is>
      </c>
      <c r="S246" t="inlineStr">
        <is>
          <t>5ea4486d-fd79-4719-b583-775e79676d5c</t>
        </is>
      </c>
      <c r="T246">
        <v>0</v>
      </c>
      <c r="U246">
        <v>0</v>
      </c>
      <c r="V246" t="inlineStr">
        <is>
          <t>0.0.4</t>
        </is>
      </c>
      <c r="W246" t="inlineStr">
        <is>
          <t>已完成</t>
        </is>
      </c>
      <c r="X246"/>
      <c r="Y246" t="inlineStr">
        <is>
          <t>关卡</t>
        </is>
      </c>
      <c r="Z246" t="inlineStr">
        <is>
          <t>P1 - Bigger the Better</t>
        </is>
      </c>
      <c r="AA246"/>
      <c r="AB246"/>
      <c r="AC246"/>
      <c r="AD246" t="inlineStr">
        <is>
          <t>NzUzMjAzNDQ5ODk2NDY2ODQ0NDo1ZWE0NDg2ZC1mZDc5LTQ3MTktYjU4My03NzVlNzk2NzZkNWM6NDY1YWYwMzI5ODRmN2U5YjFhZjVmYTJhNmNlNGM5M2I6MQ==</t>
        </is>
      </c>
      <c r="AE246"/>
    </row>
    <row r="247" ht="25.5" customHeight="1">
      <c r="A247" s="2" t="str">
        <f>=HYPERLINK("https://applink.feishu.cn/client/todo/detail?guid=1d80558f-9ae1-495d-8a50-4e09c1f98aed&amp;suite_entity_num=t100569", "移动时增加子弹散布 / 子弹散布鼠标UI")</f>
        <v>移动时增加子弹散布 / 子弹散布鼠标UI</v>
      </c>
      <c r="B247"/>
      <c r="C247" t="inlineStr">
        <is>
          <t>默认分组</t>
        </is>
      </c>
      <c r="D247" t="inlineStr">
        <is>
          <t>1</t>
        </is>
      </c>
      <c r="E247" t="inlineStr">
        <is>
          <t>或签任务</t>
        </is>
      </c>
      <c r="F247"/>
      <c r="G247" t="inlineStr">
        <is>
          <t>0</t>
        </is>
      </c>
      <c r="H247"/>
      <c r="I247" t="inlineStr">
        <is>
          <t>Decay</t>
        </is>
      </c>
      <c r="J247" t="inlineStr">
        <is>
          <t>Decay,龚政涛</t>
        </is>
      </c>
      <c r="K247" t="inlineStr">
        <is>
          <t>Decay</t>
        </is>
      </c>
      <c r="L247" s="3">
        <v>45716.75171296296</v>
      </c>
      <c r="M247" s="3"/>
      <c r="N247" s="3">
        <v>45733.708715277775</v>
      </c>
      <c r="O247" s="3"/>
      <c r="P247" s="3">
        <v>45733.708715277775</v>
      </c>
      <c r="Q247" s="2" t="str">
        <f>=HYPERLINK("https://applink.feishu.cn/client/todo/task_list?guid=4d92b9af-66d1-4cd7-95d1-4b753a64ca6b", "跃入迷城")</f>
        <v>跃入迷城</v>
      </c>
      <c r="R247" t="inlineStr">
        <is>
          <t>4d92b9af-66d1-4cd7-95d1-4b753a64ca6b</t>
        </is>
      </c>
      <c r="S247" t="inlineStr">
        <is>
          <t>1d80558f-9ae1-495d-8a50-4e09c1f98aed</t>
        </is>
      </c>
      <c r="T247">
        <v>0</v>
      </c>
      <c r="U247">
        <v>31</v>
      </c>
      <c r="V247" t="inlineStr">
        <is>
          <t>0.0.5</t>
        </is>
      </c>
      <c r="W247" t="inlineStr">
        <is>
          <t>已完成</t>
        </is>
      </c>
      <c r="X247"/>
      <c r="Y247" t="inlineStr">
        <is>
          <t>操作</t>
        </is>
      </c>
      <c r="Z247" t="inlineStr">
        <is>
          <t>P1 - Bigger the Better</t>
        </is>
      </c>
      <c r="AA247"/>
      <c r="AB247"/>
      <c r="AC247"/>
      <c r="AD247" t="inlineStr">
        <is>
          <t>NzUzMjAzNDQ5ODk2NDY2ODQ0NDoxZDgwNTU4Zi05YWUxLTQ5NWQtOGE1MC00ZTA5YzFmOThhZWQ6OGY5MmQ4MGM4NTVlNjA2N2JjNDFiMDc1NGVmZmU0YTk6MQ==</t>
        </is>
      </c>
      <c r="AE247"/>
    </row>
    <row r="248" ht="25.5" customHeight="1">
      <c r="A248" s="2" t="str">
        <f>=HYPERLINK("https://applink.feishu.cn/client/todo/detail?guid=9e07af04-9b0c-48ea-8a20-4bdd5a47eb52&amp;suite_entity_num=t100589", "支持无敌人的奖励关卡正常推进")</f>
        <v>支持无敌人的奖励关卡正常推进</v>
      </c>
      <c r="B248"/>
      <c r="C248" t="inlineStr">
        <is>
          <t>默认分组</t>
        </is>
      </c>
      <c r="D248" t="inlineStr">
        <is>
          <t>0</t>
        </is>
      </c>
      <c r="E248" t="inlineStr">
        <is>
          <t>或签任务</t>
        </is>
      </c>
      <c r="F248"/>
      <c r="G248" t="inlineStr">
        <is>
          <t>0</t>
        </is>
      </c>
      <c r="H248"/>
      <c r="I248"/>
      <c r="J248" t="inlineStr">
        <is>
          <t>龚政涛</t>
        </is>
      </c>
      <c r="K248" t="inlineStr">
        <is>
          <t>龚政涛</t>
        </is>
      </c>
      <c r="L248" s="3">
        <v>45721.81851851852</v>
      </c>
      <c r="M248" s="3"/>
      <c r="N248" s="3"/>
      <c r="O248" s="3"/>
      <c r="P248" s="3">
        <v>45721.81859953704</v>
      </c>
      <c r="Q248" s="2" t="str">
        <f>=HYPERLINK("https://applink.feishu.cn/client/todo/task_list?guid=4d92b9af-66d1-4cd7-95d1-4b753a64ca6b", "跃入迷城")</f>
        <v>跃入迷城</v>
      </c>
      <c r="R248" t="inlineStr">
        <is>
          <t>4d92b9af-66d1-4cd7-95d1-4b753a64ca6b</t>
        </is>
      </c>
      <c r="S248" t="inlineStr">
        <is>
          <t>9e07af04-9b0c-48ea-8a20-4bdd5a47eb52</t>
        </is>
      </c>
      <c r="T248">
        <v>0</v>
      </c>
      <c r="U248">
        <v>0</v>
      </c>
      <c r="V248" t="inlineStr">
        <is>
          <t>0.1.0</t>
        </is>
      </c>
      <c r="W248" t="inlineStr">
        <is>
          <t>未开始</t>
        </is>
      </c>
      <c r="X248"/>
      <c r="Y248" t="inlineStr">
        <is>
          <t>关卡</t>
        </is>
      </c>
      <c r="Z248" t="inlineStr">
        <is>
          <t>P2 - Nice to Have</t>
        </is>
      </c>
      <c r="AA248"/>
      <c r="AB248"/>
      <c r="AC248"/>
      <c r="AD248" t="inlineStr">
        <is>
          <t>NzUzMjAzNDQ5ODk2NDY2ODQ0NDo5ZTA3YWYwNC05YjBjLTQ4ZWEtOGEyMC00YmRkNWE0N2ViNTI6YzZkNmNiOGYwNjZlMTY4M2MzNGFkNDRkOGM3MDQxMGI6MQ==</t>
        </is>
      </c>
      <c r="AE248"/>
    </row>
    <row r="249" ht="25.5" customHeight="1">
      <c r="A249" s="2" t="str">
        <f>=HYPERLINK("https://applink.feishu.cn/client/todo/detail?guid=53eb07a5-a095-43a3-8738-d70614ee7994&amp;suite_entity_num=t100591", "Boss关小怪都被击败后，会触发关灯，玩家Boss还没打完呢")</f>
        <v>Boss关小怪都被击败后，会触发关灯，玩家Boss还没打完呢</v>
      </c>
      <c r="B249"/>
      <c r="C249" t="inlineStr">
        <is>
          <t>默认分组</t>
        </is>
      </c>
      <c r="D249" t="inlineStr">
        <is>
          <t>1</t>
        </is>
      </c>
      <c r="E249" t="inlineStr">
        <is>
          <t>或签任务</t>
        </is>
      </c>
      <c r="F249"/>
      <c r="G249" t="inlineStr">
        <is>
          <t>0</t>
        </is>
      </c>
      <c r="H249"/>
      <c r="I249" t="inlineStr">
        <is>
          <t>Decay</t>
        </is>
      </c>
      <c r="J249" t="inlineStr">
        <is>
          <t>龚政涛,Decay</t>
        </is>
      </c>
      <c r="K249" t="inlineStr">
        <is>
          <t>龚政涛</t>
        </is>
      </c>
      <c r="L249" s="3">
        <v>45722.509375</v>
      </c>
      <c r="M249" s="3"/>
      <c r="N249" s="3">
        <v>45726.62474537037</v>
      </c>
      <c r="O249" s="3"/>
      <c r="P249" s="3">
        <v>45726.6247337963</v>
      </c>
      <c r="Q249" s="2" t="str">
        <f>=HYPERLINK("https://applink.feishu.cn/client/todo/task_list?guid=4d92b9af-66d1-4cd7-95d1-4b753a64ca6b", "跃入迷城")</f>
        <v>跃入迷城</v>
      </c>
      <c r="R249" t="inlineStr">
        <is>
          <t>4d92b9af-66d1-4cd7-95d1-4b753a64ca6b</t>
        </is>
      </c>
      <c r="S249" t="inlineStr">
        <is>
          <t>53eb07a5-a095-43a3-8738-d70614ee7994</t>
        </is>
      </c>
      <c r="T249">
        <v>0</v>
      </c>
      <c r="U249">
        <v>1</v>
      </c>
      <c r="V249" t="inlineStr">
        <is>
          <t>0.0.4</t>
        </is>
      </c>
      <c r="W249" t="inlineStr">
        <is>
          <t>已完成</t>
        </is>
      </c>
      <c r="X249"/>
      <c r="Y249" t="inlineStr">
        <is>
          <t>关卡</t>
        </is>
      </c>
      <c r="Z249" t="inlineStr">
        <is>
          <t>P0 - Must (not) Have</t>
        </is>
      </c>
      <c r="AA249"/>
      <c r="AB249"/>
      <c r="AC249"/>
      <c r="AD249" t="inlineStr">
        <is>
          <t>NzUzMjAzNDQ5ODk2NDY2ODQ0NDo1M2ViMDdhNS1hMDk1LTQzYTMtODczOC1kNzA2MTRlZTc5OTQ6NTBkMDBlYjI0ZDRhZmE4NjJjNDkzZGYzYzUyN2EyMGM6MQ==</t>
        </is>
      </c>
      <c r="AE249"/>
    </row>
    <row r="250" ht="25.5" customHeight="1">
      <c r="A250" s="2" t="str">
        <f>=HYPERLINK("https://applink.feishu.cn/client/todo/detail?guid=1f7c0e7e-81bd-430c-9bf7-f76c7d358bca&amp;suite_entity_num=t100594", "配置SFX")</f>
        <v>配置SFX</v>
      </c>
      <c r="B250"/>
      <c r="C250" t="inlineStr">
        <is>
          <t>默认分组</t>
        </is>
      </c>
      <c r="D250" t="inlineStr">
        <is>
          <t>0</t>
        </is>
      </c>
      <c r="E250" t="inlineStr">
        <is>
          <t>或签任务</t>
        </is>
      </c>
      <c r="F250"/>
      <c r="G250" t="inlineStr">
        <is>
          <t>0</t>
        </is>
      </c>
      <c r="H250"/>
      <c r="I250" t="inlineStr">
        <is>
          <t>龚政涛</t>
        </is>
      </c>
      <c r="J250" t="inlineStr">
        <is>
          <t>龚政涛,李奕慧</t>
        </is>
      </c>
      <c r="K250" t="inlineStr">
        <is>
          <t>龚政涛</t>
        </is>
      </c>
      <c r="L250" s="3">
        <v>45722.712013888886</v>
      </c>
      <c r="M250" s="3"/>
      <c r="N250" s="3"/>
      <c r="O250" s="3"/>
      <c r="P250" s="3">
        <v>45866.67017361111</v>
      </c>
      <c r="Q250" s="2" t="str">
        <f>=HYPERLINK("https://applink.feishu.cn/client/todo/task_list?guid=4d92b9af-66d1-4cd7-95d1-4b753a64ca6b", "跃入迷城")</f>
        <v>跃入迷城</v>
      </c>
      <c r="R250" t="inlineStr">
        <is>
          <t>4d92b9af-66d1-4cd7-95d1-4b753a64ca6b</t>
        </is>
      </c>
      <c r="S250" t="inlineStr">
        <is>
          <t>1f7c0e7e-81bd-430c-9bf7-f76c7d358bca</t>
        </is>
      </c>
      <c r="T250">
        <v>0</v>
      </c>
      <c r="U250">
        <v>0</v>
      </c>
      <c r="V250" t="inlineStr">
        <is>
          <t>0.0.5</t>
        </is>
      </c>
      <c r="W250" t="inlineStr">
        <is>
          <t>工作中</t>
        </is>
      </c>
      <c r="X250" t="inlineStr">
        <is>
          <t>🎨艺术</t>
        </is>
      </c>
      <c r="Y250" t="inlineStr">
        <is>
          <t>音效</t>
        </is>
      </c>
      <c r="Z250" t="inlineStr">
        <is>
          <t>P0 - Must (not) Have</t>
        </is>
      </c>
      <c r="AA250"/>
      <c r="AB250"/>
      <c r="AC250"/>
      <c r="AD250" t="inlineStr">
        <is>
          <t>NzUzMjAzNDQ5ODk2NDY2ODQ0NDoxZjdjMGU3ZS04MWJkLTQzMGMtOWJmNy1mNzZjN2QzNThiY2E6YmMwYjU3MzI2YWJkNDllYTE2MjUwZDFiODU1OTJiZjA6MQ==</t>
        </is>
      </c>
      <c r="AE250"/>
    </row>
    <row r="251" ht="25.5" customHeight="1">
      <c r="A251" s="2" t="str">
        <f>=HYPERLINK("https://applink.feishu.cn/client/todo/detail?guid=9cb5ce61-a764-4fec-8812-d6aefa785c04&amp;suite_entity_num=t100598", "霰弹枪类武器（多发武器）的poise damage计算有些问题")</f>
        <v>霰弹枪类武器（多发武器）的poise damage计算有些问题</v>
      </c>
      <c r="B251"/>
      <c r="C251" t="inlineStr">
        <is>
          <t>默认分组</t>
        </is>
      </c>
      <c r="D251" t="inlineStr">
        <is>
          <t>0</t>
        </is>
      </c>
      <c r="E251" t="inlineStr">
        <is>
          <t>或签任务</t>
        </is>
      </c>
      <c r="F251"/>
      <c r="G251" t="inlineStr">
        <is>
          <t>0</t>
        </is>
      </c>
      <c r="H251"/>
      <c r="I251" t="inlineStr">
        <is>
          <t>Decay</t>
        </is>
      </c>
      <c r="J251" t="inlineStr">
        <is>
          <t>龚政涛,Decay</t>
        </is>
      </c>
      <c r="K251" t="inlineStr">
        <is>
          <t>龚政涛</t>
        </is>
      </c>
      <c r="L251" s="3">
        <v>45726.489594907405</v>
      </c>
      <c r="M251" s="3"/>
      <c r="N251" s="3"/>
      <c r="O251" s="3"/>
      <c r="P251" s="3">
        <v>45866.66761574074</v>
      </c>
      <c r="Q251" s="2" t="str">
        <f>=HYPERLINK("https://applink.feishu.cn/client/todo/task_list?guid=4d92b9af-66d1-4cd7-95d1-4b753a64ca6b", "跃入迷城")</f>
        <v>跃入迷城</v>
      </c>
      <c r="R251" t="inlineStr">
        <is>
          <t>4d92b9af-66d1-4cd7-95d1-4b753a64ca6b</t>
        </is>
      </c>
      <c r="S251" t="inlineStr">
        <is>
          <t>9cb5ce61-a764-4fec-8812-d6aefa785c04</t>
        </is>
      </c>
      <c r="T251">
        <v>0</v>
      </c>
      <c r="U251">
        <v>1</v>
      </c>
      <c r="V251" t="inlineStr">
        <is>
          <t>0.0.5</t>
        </is>
      </c>
      <c r="W251" t="inlineStr">
        <is>
          <t>未开始</t>
        </is>
      </c>
      <c r="X251" t="inlineStr">
        <is>
          <t>🛠️技术</t>
        </is>
      </c>
      <c r="Y251" t="inlineStr">
        <is>
          <t>角色</t>
        </is>
      </c>
      <c r="Z251" t="inlineStr">
        <is>
          <t>P1 - Bigger the Better</t>
        </is>
      </c>
      <c r="AA251"/>
      <c r="AB251"/>
      <c r="AC251"/>
      <c r="AD251" t="inlineStr">
        <is>
          <t>NzUzMjAzNDQ5ODk2NDY2ODQ0NDo5Y2I1Y2U2MS1hNzY0LTRmZWMtODgxMi1kNmFlZmE3ODVjMDQ6ODgwZGM4M2JiMDdmMjkwNjhkNzk5MTU1ZWY1OTkwN2E6MQ==</t>
        </is>
      </c>
      <c r="AE251"/>
    </row>
    <row r="252" ht="25.5" customHeight="1">
      <c r="A252" s="2" t="str">
        <f>=HYPERLINK("https://applink.feishu.cn/client/todo/detail?guid=fbb1179b-f8fc-4c2e-8bde-fa6386ccaa9d&amp;suite_entity_num=t100587", "BUG：电磁属性DEBUFF效果异常")</f>
        <v>BUG：电磁属性DEBUFF效果异常</v>
      </c>
      <c r="B252"/>
      <c r="C252" t="inlineStr">
        <is>
          <t>默认分组</t>
        </is>
      </c>
      <c r="D252" t="inlineStr">
        <is>
          <t>1</t>
        </is>
      </c>
      <c r="E252" t="inlineStr">
        <is>
          <t>或签任务</t>
        </is>
      </c>
      <c r="F252"/>
      <c r="G252" t="inlineStr">
        <is>
          <t>0</t>
        </is>
      </c>
      <c r="H252"/>
      <c r="I252" t="inlineStr">
        <is>
          <t>Decay</t>
        </is>
      </c>
      <c r="J252" t="inlineStr">
        <is>
          <t>龚政涛,Decay</t>
        </is>
      </c>
      <c r="K252" t="inlineStr">
        <is>
          <t>龚政涛</t>
        </is>
      </c>
      <c r="L252" s="3">
        <v>45720.6040625</v>
      </c>
      <c r="M252" s="3"/>
      <c r="N252" s="3">
        <v>45721.82221064815</v>
      </c>
      <c r="O252" s="3"/>
      <c r="P252" s="3">
        <v>45721.82219907407</v>
      </c>
      <c r="Q252" s="2" t="str">
        <f>=HYPERLINK("https://applink.feishu.cn/client/todo/task_list?guid=4d92b9af-66d1-4cd7-95d1-4b753a64ca6b", "跃入迷城")</f>
        <v>跃入迷城</v>
      </c>
      <c r="R252" t="inlineStr">
        <is>
          <t>4d92b9af-66d1-4cd7-95d1-4b753a64ca6b</t>
        </is>
      </c>
      <c r="S252" t="inlineStr">
        <is>
          <t>fbb1179b-f8fc-4c2e-8bde-fa6386ccaa9d</t>
        </is>
      </c>
      <c r="T252">
        <v>0</v>
      </c>
      <c r="U252">
        <v>1</v>
      </c>
      <c r="V252" t="inlineStr">
        <is>
          <t>0.0.4</t>
        </is>
      </c>
      <c r="W252" t="inlineStr">
        <is>
          <t>已完成</t>
        </is>
      </c>
      <c r="X252"/>
      <c r="Y252" t="inlineStr">
        <is>
          <t>装备</t>
        </is>
      </c>
      <c r="Z252" t="inlineStr">
        <is>
          <t>P0 - Must (not) Have</t>
        </is>
      </c>
      <c r="AA252"/>
      <c r="AB252"/>
      <c r="AC252"/>
      <c r="AD252" t="inlineStr">
        <is>
          <t>NzUzMjAzNDQ5ODk2NDY2ODQ0NDpmYmIxMTc5Yi1mOGZjLTRjMmUtOGJkZS1mYTYzODZjY2FhOWQ6YjVjNWY4ZDg4NTk1Yzk3YjkyYTMwMTJjNzA3NjAzZmM6MQ==</t>
        </is>
      </c>
      <c r="AE252"/>
    </row>
    <row r="253" ht="25.5" customHeight="1">
      <c r="A253" s="2" t="str">
        <f>=HYPERLINK("https://applink.feishu.cn/client/todo/detail?guid=d19fae62-229c-4772-a74e-b9485a121c7c&amp;suite_entity_num=t100629", "重装工头（Steel Foreman）：高机动冲刺/瞬移/火箭冲刺攻击 &lt; 🪡修改：调整了部分敌人的AI逻辑")</f>
        <v>重装工头（Steel Foreman）：高机动冲刺/瞬移/火箭冲刺攻击 &lt; 🪡修改：调整了部分敌人的AI逻辑</v>
      </c>
      <c r="B253"/>
      <c r="C253" t="inlineStr">
        <is>
          <t>默认分组</t>
        </is>
      </c>
      <c r="D253" t="inlineStr">
        <is>
          <t>0</t>
        </is>
      </c>
      <c r="E253" t="inlineStr">
        <is>
          <t>或签任务</t>
        </is>
      </c>
      <c r="F253"/>
      <c r="G253" t="inlineStr">
        <is>
          <t>0</t>
        </is>
      </c>
      <c r="H253"/>
      <c r="I253" t="inlineStr">
        <is>
          <t>龚政涛</t>
        </is>
      </c>
      <c r="J253" t="inlineStr">
        <is>
          <t>龚政涛,Decay</t>
        </is>
      </c>
      <c r="K253" t="inlineStr">
        <is>
          <t>龚政涛</t>
        </is>
      </c>
      <c r="L253" s="3">
        <v>45730.486863425926</v>
      </c>
      <c r="M253" s="3"/>
      <c r="N253" s="3"/>
      <c r="O253" s="3">
        <v>45912.333333333336</v>
      </c>
      <c r="P253" s="3">
        <v>45904.90793981482</v>
      </c>
      <c r="Q253" s="2" t="str">
        <f>=HYPERLINK("https://applink.feishu.cn/client/todo/task_list?guid=4d92b9af-66d1-4cd7-95d1-4b753a64ca6b", "跃入迷城")</f>
        <v>跃入迷城</v>
      </c>
      <c r="R253" t="inlineStr">
        <is>
          <t>4d92b9af-66d1-4cd7-95d1-4b753a64ca6b</t>
        </is>
      </c>
      <c r="S253" t="inlineStr">
        <is>
          <t>d19fae62-229c-4772-a74e-b9485a121c7c</t>
        </is>
      </c>
      <c r="T253">
        <v>0</v>
      </c>
      <c r="U253">
        <v>3</v>
      </c>
      <c r="V253" t="inlineStr">
        <is>
          <t>0.0.5</t>
        </is>
      </c>
      <c r="W253" t="inlineStr">
        <is>
          <t>未开始</t>
        </is>
      </c>
      <c r="X253" t="inlineStr">
        <is>
          <t>🎮玩法</t>
        </is>
      </c>
      <c r="Y253" t="inlineStr">
        <is>
          <t>AI</t>
        </is>
      </c>
      <c r="Z253" t="inlineStr">
        <is>
          <t>P0 - Must (not) Have</t>
        </is>
      </c>
      <c r="AA253" t="inlineStr">
        <is>
          <t>47cd0e08-b1e0-4cf0-8fc1-5cf180a65615</t>
        </is>
      </c>
      <c r="AB253" t="inlineStr">
        <is>
          <t>cdb237d9-e5cf-4f65-b655-36028f7f4536</t>
        </is>
      </c>
      <c r="AC253" t="inlineStr">
        <is>
          <t>74155b8e-e39e-4605-8fff-083e0187df5a</t>
        </is>
      </c>
      <c r="AD253" t="inlineStr">
        <is>
          <t>NzUzMjAzNDQ5ODk2NDY2ODQ0NDpkMTlmYWU2Mi0yMjljLTQ3NzItYTc0ZS1iOTQ4NWExMjFjN2M6OGRmMmIzYWVmMjdjNDlmYTk1ZjUyYWQ0NWFjZWI1Yjk6MQ==</t>
        </is>
      </c>
      <c r="AE253"/>
    </row>
    <row r="254" ht="25.5" customHeight="1">
      <c r="A254" s="2" t="str">
        <f>=HYPERLINK("https://applink.feishu.cn/client/todo/detail?guid=af3f7e14-1f34-45d6-81c9-49f9b7167522&amp;suite_entity_num=t100597", "战争迷雾现在无法遮挡浩背后的机械臂")</f>
        <v>战争迷雾现在无法遮挡浩背后的机械臂</v>
      </c>
      <c r="B254"/>
      <c r="C254" t="inlineStr">
        <is>
          <t>默认分组</t>
        </is>
      </c>
      <c r="D254" t="inlineStr">
        <is>
          <t>1</t>
        </is>
      </c>
      <c r="E254" t="inlineStr">
        <is>
          <t>或签任务</t>
        </is>
      </c>
      <c r="F254"/>
      <c r="G254" t="inlineStr">
        <is>
          <t>0</t>
        </is>
      </c>
      <c r="H254"/>
      <c r="I254" t="inlineStr">
        <is>
          <t>Decay</t>
        </is>
      </c>
      <c r="J254" t="inlineStr">
        <is>
          <t>龚政涛,Decay</t>
        </is>
      </c>
      <c r="K254" t="inlineStr">
        <is>
          <t>龚政涛</t>
        </is>
      </c>
      <c r="L254" s="3">
        <v>45723.496296296296</v>
      </c>
      <c r="M254" s="3"/>
      <c r="N254" s="3">
        <v>45726.624560185184</v>
      </c>
      <c r="O254" s="3"/>
      <c r="P254" s="3">
        <v>45726.624548611115</v>
      </c>
      <c r="Q254" s="2" t="str">
        <f>=HYPERLINK("https://applink.feishu.cn/client/todo/task_list?guid=4d92b9af-66d1-4cd7-95d1-4b753a64ca6b", "跃入迷城")</f>
        <v>跃入迷城</v>
      </c>
      <c r="R254" t="inlineStr">
        <is>
          <t>4d92b9af-66d1-4cd7-95d1-4b753a64ca6b</t>
        </is>
      </c>
      <c r="S254" t="inlineStr">
        <is>
          <t>af3f7e14-1f34-45d6-81c9-49f9b7167522</t>
        </is>
      </c>
      <c r="T254">
        <v>0</v>
      </c>
      <c r="U254">
        <v>0</v>
      </c>
      <c r="V254" t="inlineStr">
        <is>
          <t>0.0.4</t>
        </is>
      </c>
      <c r="W254" t="inlineStr">
        <is>
          <t>已完成</t>
        </is>
      </c>
      <c r="X254"/>
      <c r="Y254" t="inlineStr">
        <is>
          <t>镜头</t>
        </is>
      </c>
      <c r="Z254" t="inlineStr">
        <is>
          <t>P0 - Must (not) Have</t>
        </is>
      </c>
      <c r="AA254"/>
      <c r="AB254"/>
      <c r="AC254"/>
      <c r="AD254" t="inlineStr">
        <is>
          <t>NzUzMjAzNDQ5ODk2NDY2ODQ0NDphZjNmN2UxNC0xZjM0LTQ1ZDYtODFjOS00OWY5YjcxNjc1MjI6MDJhNGJiZDlhMDNkM2JjNzY1ZDQ4Zjg0MDM4Yzk4MzI6MQ==</t>
        </is>
      </c>
      <c r="AE254"/>
    </row>
    <row r="255" ht="25.5" customHeight="1">
      <c r="A255" s="2" t="str">
        <f>=HYPERLINK("https://applink.feishu.cn/client/todo/detail?guid=6c8de962-80ee-442a-8ef0-975787e0d8e8&amp;suite_entity_num=t100593", "系统目前无法区别开始/结束电梯")</f>
        <v>系统目前无法区别开始/结束电梯</v>
      </c>
      <c r="B255"/>
      <c r="C255" t="inlineStr">
        <is>
          <t>默认分组</t>
        </is>
      </c>
      <c r="D255" t="inlineStr">
        <is>
          <t>0</t>
        </is>
      </c>
      <c r="E255" t="inlineStr">
        <is>
          <t>或签任务</t>
        </is>
      </c>
      <c r="F255"/>
      <c r="G255" t="inlineStr">
        <is>
          <t>0</t>
        </is>
      </c>
      <c r="H255"/>
      <c r="I255" t="inlineStr">
        <is>
          <t>Decay</t>
        </is>
      </c>
      <c r="J255" t="inlineStr">
        <is>
          <t>龚政涛,Decay</t>
        </is>
      </c>
      <c r="K255" t="inlineStr">
        <is>
          <t>龚政涛</t>
        </is>
      </c>
      <c r="L255" s="3">
        <v>45722.71</v>
      </c>
      <c r="M255" s="3"/>
      <c r="N255" s="3"/>
      <c r="O255" s="3"/>
      <c r="P255" s="3">
        <v>45877.6875462963</v>
      </c>
      <c r="Q255" s="2" t="str">
        <f>=HYPERLINK("https://applink.feishu.cn/client/todo/task_list?guid=4d92b9af-66d1-4cd7-95d1-4b753a64ca6b", "跃入迷城")</f>
        <v>跃入迷城</v>
      </c>
      <c r="R255" t="inlineStr">
        <is>
          <t>4d92b9af-66d1-4cd7-95d1-4b753a64ca6b</t>
        </is>
      </c>
      <c r="S255" t="inlineStr">
        <is>
          <t>6c8de962-80ee-442a-8ef0-975787e0d8e8</t>
        </is>
      </c>
      <c r="T255">
        <v>0</v>
      </c>
      <c r="U255">
        <v>3</v>
      </c>
      <c r="V255" t="inlineStr">
        <is>
          <t>0.0.5</t>
        </is>
      </c>
      <c r="W255" t="inlineStr">
        <is>
          <t>未开始</t>
        </is>
      </c>
      <c r="X255" t="inlineStr">
        <is>
          <t>🎮玩法</t>
        </is>
      </c>
      <c r="Y255" t="inlineStr">
        <is>
          <t>关卡</t>
        </is>
      </c>
      <c r="Z255" t="inlineStr">
        <is>
          <t>P1 - Bigger the Better</t>
        </is>
      </c>
      <c r="AA255"/>
      <c r="AB255"/>
      <c r="AC255"/>
      <c r="AD255" t="inlineStr">
        <is>
          <t>NzUzMjAzNDQ5ODk2NDY2ODQ0NDo2YzhkZTk2Mi04MGVlLTQ0MmEtOGVmMC05NzU3ODdlMGQ4ZTg6NWIzZWZjNzQwZTlkOTQwNzExZjE2MTEwNTgwMGJlNjI6MQ==</t>
        </is>
      </c>
      <c r="AE255"/>
    </row>
    <row r="256" ht="25.5" customHeight="1">
      <c r="A256" s="2" t="str">
        <f>=HYPERLINK("https://applink.feishu.cn/client/todo/detail?guid=9eec7457-a96a-4d31-9293-3362becdea86&amp;suite_entity_num=t100590", "霰弹枪攻击逻辑修改")</f>
        <v>霰弹枪攻击逻辑修改</v>
      </c>
      <c r="B256"/>
      <c r="C256" t="inlineStr">
        <is>
          <t>默认分组</t>
        </is>
      </c>
      <c r="D256" t="inlineStr">
        <is>
          <t>1</t>
        </is>
      </c>
      <c r="E256" t="inlineStr">
        <is>
          <t>或签任务</t>
        </is>
      </c>
      <c r="F256"/>
      <c r="G256" t="inlineStr">
        <is>
          <t>0</t>
        </is>
      </c>
      <c r="H256"/>
      <c r="I256" t="inlineStr">
        <is>
          <t>Decay</t>
        </is>
      </c>
      <c r="J256" t="inlineStr">
        <is>
          <t>龚政涛,Decay</t>
        </is>
      </c>
      <c r="K256" t="inlineStr">
        <is>
          <t>龚政涛</t>
        </is>
      </c>
      <c r="L256" s="3">
        <v>45722.469872685186</v>
      </c>
      <c r="M256" s="3"/>
      <c r="N256" s="3">
        <v>45728.70679398148</v>
      </c>
      <c r="O256" s="3"/>
      <c r="P256" s="3">
        <v>45874.40498842593</v>
      </c>
      <c r="Q256" s="2" t="str">
        <f>=HYPERLINK("https://applink.feishu.cn/client/todo/task_list?guid=4d92b9af-66d1-4cd7-95d1-4b753a64ca6b", "跃入迷城")</f>
        <v>跃入迷城</v>
      </c>
      <c r="R256" t="inlineStr">
        <is>
          <t>4d92b9af-66d1-4cd7-95d1-4b753a64ca6b</t>
        </is>
      </c>
      <c r="S256" t="inlineStr">
        <is>
          <t>9eec7457-a96a-4d31-9293-3362becdea86</t>
        </is>
      </c>
      <c r="T256">
        <v>0</v>
      </c>
      <c r="U256">
        <v>7</v>
      </c>
      <c r="V256" t="inlineStr">
        <is>
          <t>0.0.5</t>
        </is>
      </c>
      <c r="W256" t="inlineStr">
        <is>
          <t>已完成</t>
        </is>
      </c>
      <c r="X256" t="inlineStr">
        <is>
          <t>🛠️技术</t>
        </is>
      </c>
      <c r="Y256" t="inlineStr">
        <is>
          <t>装备</t>
        </is>
      </c>
      <c r="Z256" t="inlineStr">
        <is>
          <t>P1 - Bigger the Better</t>
        </is>
      </c>
      <c r="AA256"/>
      <c r="AB256"/>
      <c r="AC256"/>
      <c r="AD256" t="inlineStr">
        <is>
          <t>NzUzMjAzNDQ5ODk2NDY2ODQ0NDo5ZWVjNzQ1Ny1hOTZhLTRkMzEtOTI5My0zMzYyYmVjZGVhODY6ZGNlZDEzMjc5YmZlNzAzMTYxOTYxYjI0N2RjNTk5OWM6MQ==</t>
        </is>
      </c>
      <c r="AE256"/>
    </row>
    <row r="257" ht="25.5" customHeight="1">
      <c r="A257" s="2" t="str">
        <f>=HYPERLINK("https://applink.feishu.cn/client/todo/detail?guid=5c2c2fb4-8a0a-462c-a784-d882e1dc77ac&amp;suite_entity_num=t100592", "Bug：浩虽然有武器socket，但不能正确的把武器换到手里，导致顺劈和旋风斩没有伤害")</f>
        <v>Bug：浩虽然有武器socket，但不能正确的把武器换到手里，导致顺劈和旋风斩没有伤害</v>
      </c>
      <c r="B257"/>
      <c r="C257" t="inlineStr">
        <is>
          <t>默认分组</t>
        </is>
      </c>
      <c r="D257" t="inlineStr">
        <is>
          <t>1</t>
        </is>
      </c>
      <c r="E257" t="inlineStr">
        <is>
          <t>或签任务</t>
        </is>
      </c>
      <c r="F257"/>
      <c r="G257" t="inlineStr">
        <is>
          <t>0</t>
        </is>
      </c>
      <c r="H257"/>
      <c r="I257" t="inlineStr">
        <is>
          <t>Decay</t>
        </is>
      </c>
      <c r="J257" t="inlineStr">
        <is>
          <t>龚政涛,Decay</t>
        </is>
      </c>
      <c r="K257" t="inlineStr">
        <is>
          <t>龚政涛</t>
        </is>
      </c>
      <c r="L257" s="3">
        <v>45722.52539351852</v>
      </c>
      <c r="M257" s="3"/>
      <c r="N257" s="3">
        <v>45722.71113425926</v>
      </c>
      <c r="O257" s="3"/>
      <c r="P257" s="3">
        <v>45722.71114583333</v>
      </c>
      <c r="Q257" s="2" t="str">
        <f>=HYPERLINK("https://applink.feishu.cn/client/todo/task_list?guid=4d92b9af-66d1-4cd7-95d1-4b753a64ca6b", "跃入迷城")</f>
        <v>跃入迷城</v>
      </c>
      <c r="R257" t="inlineStr">
        <is>
          <t>4d92b9af-66d1-4cd7-95d1-4b753a64ca6b</t>
        </is>
      </c>
      <c r="S257" t="inlineStr">
        <is>
          <t>5c2c2fb4-8a0a-462c-a784-d882e1dc77ac</t>
        </is>
      </c>
      <c r="T257">
        <v>0</v>
      </c>
      <c r="U257">
        <v>4</v>
      </c>
      <c r="V257" t="inlineStr">
        <is>
          <t>0.0.4</t>
        </is>
      </c>
      <c r="W257" t="inlineStr">
        <is>
          <t>已完成</t>
        </is>
      </c>
      <c r="X257"/>
      <c r="Y257" t="inlineStr">
        <is>
          <t>AI</t>
        </is>
      </c>
      <c r="Z257" t="inlineStr">
        <is>
          <t>P0 - Must (not) Have</t>
        </is>
      </c>
      <c r="AA257"/>
      <c r="AB257"/>
      <c r="AC257"/>
      <c r="AD257" t="inlineStr">
        <is>
          <t>NzUzMjAzNDQ5ODk2NDY2ODQ0NDo1YzJjMmZiNC04YTBhLTQ2MmMtYTc4NC1kODgyZTFkYzc3YWM6YjJlMWI1YjgzZTQyMGRiN2U3YjdjNzRhNjcwODFkODk6MQ==</t>
        </is>
      </c>
      <c r="AE257"/>
    </row>
    <row r="258" ht="25.5" customHeight="1">
      <c r="A258" s="2" t="str">
        <f>=HYPERLINK("https://applink.feishu.cn/client/todo/detail?guid=7428279e-e94a-47ca-8466-87861d983e55&amp;suite_entity_num=t100631", "整理白模地图，确保不同Sector的任意Variante之间可以彼此不干涉")</f>
        <v>整理白模地图，确保不同Sector的任意Variante之间可以彼此不干涉</v>
      </c>
      <c r="B258"/>
      <c r="C258" t="inlineStr">
        <is>
          <t>默认分组</t>
        </is>
      </c>
      <c r="D258" t="inlineStr">
        <is>
          <t>1</t>
        </is>
      </c>
      <c r="E258" t="inlineStr">
        <is>
          <t>或签任务</t>
        </is>
      </c>
      <c r="F258"/>
      <c r="G258" t="inlineStr">
        <is>
          <t>0</t>
        </is>
      </c>
      <c r="H258"/>
      <c r="I258" t="inlineStr">
        <is>
          <t>rio</t>
        </is>
      </c>
      <c r="J258" t="inlineStr">
        <is>
          <t>刘禹希,龚政涛,rio,苏祺恒</t>
        </is>
      </c>
      <c r="K258" t="inlineStr">
        <is>
          <t>龚政涛</t>
        </is>
      </c>
      <c r="L258" s="3">
        <v>45730.49084490741</v>
      </c>
      <c r="M258" s="3"/>
      <c r="N258" s="3">
        <v>45868.43315972222</v>
      </c>
      <c r="O258" s="3"/>
      <c r="P258" s="3">
        <v>45868.43315972222</v>
      </c>
      <c r="Q258" s="2" t="str">
        <f>=HYPERLINK("https://applink.feishu.cn/client/todo/task_list?guid=4d92b9af-66d1-4cd7-95d1-4b753a64ca6b", "跃入迷城")</f>
        <v>跃入迷城</v>
      </c>
      <c r="R258" t="inlineStr">
        <is>
          <t>4d92b9af-66d1-4cd7-95d1-4b753a64ca6b</t>
        </is>
      </c>
      <c r="S258" t="inlineStr">
        <is>
          <t>7428279e-e94a-47ca-8466-87861d983e55</t>
        </is>
      </c>
      <c r="T258">
        <v>0</v>
      </c>
      <c r="U258">
        <v>0</v>
      </c>
      <c r="V258" t="inlineStr">
        <is>
          <t>0.0.5</t>
        </is>
      </c>
      <c r="W258" t="inlineStr">
        <is>
          <t>未开始</t>
        </is>
      </c>
      <c r="X258" t="inlineStr">
        <is>
          <t>🎮玩法</t>
        </is>
      </c>
      <c r="Y258" t="inlineStr">
        <is>
          <t>关卡</t>
        </is>
      </c>
      <c r="Z258" t="inlineStr">
        <is>
          <t>P0 - Must (not) Have</t>
        </is>
      </c>
      <c r="AA258"/>
      <c r="AB258"/>
      <c r="AC258"/>
      <c r="AD258" t="inlineStr">
        <is>
          <t>NzUzMjAzNDQ5ODk2NDY2ODQ0NDo3NDI4Mjc5ZS1lOTRhLTQ3Y2EtODQ2Ni04Nzg2MWQ5ODNlNTU6ODRmNGIxZTgxODMxM2FkMzYwYjc4YjNjNGJjZTI0YTM6MQ==</t>
        </is>
      </c>
      <c r="AE258"/>
    </row>
    <row r="259" ht="25.5" customHeight="1">
      <c xml:space="preserve" r="A259" s="2" t="str">
        <f>=HYPERLINK("https://applink.feishu.cn/client/todo/detail?guid=279c4a14-dde6-4f66-a121-e73c2367d0a0&amp;suite_entity_num=t100610", "允许玩家用**特殊资源**,1. 刷新电梯奖励,2. 开section gate（section gate奖励无法刷新） &lt; ✨新增：平级关卡切换的功能：玩家现在可以在同一个游戏强度（Level）下，访问其他地图，进行额外的挑战以获得额外奖励，该访问功能需要消耗特定的局内资源，同样的资源也可以用于刷新奖励 ")</f>
        <v>允许玩家用**特殊资源**,1. 刷新电梯奖励,2. 开section gate（section gate奖励无法刷新） &lt; ✨新增：平级关卡切换的功能：玩家现在可以在同一个游戏强度（Level）下，访问其他地图，进行额外的挑战以获得额外奖励，该访问功能需要消耗特定的局内资源，同样的资源也可以用于刷新奖励 </v>
      </c>
      <c r="B259" t="inlineStr">
        <is>
          <t>预配10个点数用于切换关卡/刷新奖励</t>
        </is>
      </c>
      <c r="C259"/>
      <c r="D259" t="inlineStr">
        <is>
          <t>0</t>
        </is>
      </c>
      <c r="E259" t="inlineStr">
        <is>
          <t>或签任务</t>
        </is>
      </c>
      <c r="F259"/>
      <c r="G259" t="inlineStr">
        <is>
          <t>0</t>
        </is>
      </c>
      <c r="H259"/>
      <c r="I259" t="inlineStr">
        <is>
          <t>Decay</t>
        </is>
      </c>
      <c r="J259" t="inlineStr">
        <is>
          <t>龚政涛,Decay</t>
        </is>
      </c>
      <c r="K259" t="inlineStr">
        <is>
          <t>龚政涛</t>
        </is>
      </c>
      <c r="L259" s="3">
        <v>45730.46505787037</v>
      </c>
      <c r="M259" s="3">
        <v>45886.333333333336</v>
      </c>
      <c r="N259" s="3"/>
      <c r="O259" s="3">
        <v>45886.333333333336</v>
      </c>
      <c r="P259" s="3">
        <v>45918.57969907407</v>
      </c>
      <c r="Q259" s="2" t="str">
        <f>=HYPERLINK("https://applink.feishu.cn/client/todo/task_list?guid=4d92b9af-66d1-4cd7-95d1-4b753a64ca6b", "跃入迷城")</f>
        <v>跃入迷城</v>
      </c>
      <c r="R259" t="inlineStr">
        <is>
          <t>4d92b9af-66d1-4cd7-95d1-4b753a64ca6b</t>
        </is>
      </c>
      <c r="S259" t="inlineStr">
        <is>
          <t>279c4a14-dde6-4f66-a121-e73c2367d0a0</t>
        </is>
      </c>
      <c r="T259">
        <v>0</v>
      </c>
      <c r="U259">
        <v>5</v>
      </c>
      <c r="V259" t="inlineStr">
        <is>
          <t>0.0.5</t>
        </is>
      </c>
      <c r="W259" t="inlineStr">
        <is>
          <t>工作中</t>
        </is>
      </c>
      <c r="X259" t="inlineStr">
        <is>
          <t>🎮玩法</t>
        </is>
      </c>
      <c r="Y259" t="inlineStr">
        <is>
          <t>关卡</t>
        </is>
      </c>
      <c r="Z259" t="inlineStr">
        <is>
          <t>P0 - Must (not) Have</t>
        </is>
      </c>
      <c r="AA259"/>
      <c r="AB259"/>
      <c r="AC259" t="inlineStr">
        <is>
          <t>ac428c2f-96e9-4cd8-83aa-b78ec9473ea1</t>
        </is>
      </c>
      <c r="AD259" t="inlineStr">
        <is>
          <t>NzUzMjAzNDQ5ODk2NDY2ODQ0NDoyNzljNGExNC1kZGU2LTRmNjYtYTEyMS1lNzNjMjM2N2QwYTA6ZGM3OGEzN2E5MzE3ODhiMTI2NTJlYWE5ZWVjYmZhN2I6MQ==</t>
        </is>
      </c>
      <c r="AE259"/>
    </row>
    <row r="260" ht="25.5" customHeight="1">
      <c r="A260" s="2" t="str">
        <f>=HYPERLINK("https://applink.feishu.cn/client/todo/detail?guid=87cf0259-f436-432b-80f4-1e9bca25fc10&amp;suite_entity_num=t100595", "Boss有些技能会朝着没人的地方释放，并且远程技能现在没有判断是否真的能打到玩家")</f>
        <v>Boss有些技能会朝着没人的地方释放，并且远程技能现在没有判断是否真的能打到玩家</v>
      </c>
      <c r="B260"/>
      <c r="C260" t="inlineStr">
        <is>
          <t>默认分组</t>
        </is>
      </c>
      <c r="D260" t="inlineStr">
        <is>
          <t>0</t>
        </is>
      </c>
      <c r="E260" t="inlineStr">
        <is>
          <t>或签任务</t>
        </is>
      </c>
      <c r="F260"/>
      <c r="G260" t="inlineStr">
        <is>
          <t>0</t>
        </is>
      </c>
      <c r="H260"/>
      <c r="I260" t="inlineStr">
        <is>
          <t>龚政涛</t>
        </is>
      </c>
      <c r="J260" t="inlineStr">
        <is>
          <t>龚政涛</t>
        </is>
      </c>
      <c r="K260" t="inlineStr">
        <is>
          <t>龚政涛</t>
        </is>
      </c>
      <c r="L260" s="3">
        <v>45723.47403935185</v>
      </c>
      <c r="M260" s="3"/>
      <c r="N260" s="3"/>
      <c r="O260" s="3">
        <v>45912.333333333336</v>
      </c>
      <c r="P260" s="3">
        <v>45904.908217592594</v>
      </c>
      <c r="Q260" s="2" t="str">
        <f>=HYPERLINK("https://applink.feishu.cn/client/todo/task_list?guid=4d92b9af-66d1-4cd7-95d1-4b753a64ca6b", "跃入迷城")</f>
        <v>跃入迷城</v>
      </c>
      <c r="R260" t="inlineStr">
        <is>
          <t>4d92b9af-66d1-4cd7-95d1-4b753a64ca6b</t>
        </is>
      </c>
      <c r="S260" t="inlineStr">
        <is>
          <t>87cf0259-f436-432b-80f4-1e9bca25fc10</t>
        </is>
      </c>
      <c r="T260">
        <v>0</v>
      </c>
      <c r="U260">
        <v>0</v>
      </c>
      <c r="V260" t="inlineStr">
        <is>
          <t>0.0.5</t>
        </is>
      </c>
      <c r="W260" t="inlineStr">
        <is>
          <t>未开始</t>
        </is>
      </c>
      <c r="X260" t="inlineStr">
        <is>
          <t>🎮玩法</t>
        </is>
      </c>
      <c r="Y260" t="inlineStr">
        <is>
          <t>AI</t>
        </is>
      </c>
      <c r="Z260" t="inlineStr">
        <is>
          <t>P1 - Bigger the Better</t>
        </is>
      </c>
      <c r="AA260"/>
      <c r="AB260"/>
      <c r="AC260"/>
      <c r="AD260" t="inlineStr">
        <is>
          <t>NzUzMjAzNDQ5ODk2NDY2ODQ0NDo4N2NmMDI1OS1mNDM2LTQzMmItODBmNC0xZTliY2EyNWZjMTA6NzFkOThjYjQ2NGQ2ODliMTg1NWZjNjgzMDI2YmQzZGM6MQ==</t>
        </is>
      </c>
      <c r="AE260"/>
    </row>
    <row r="261" ht="25.5" customHeight="1">
      <c r="A261" s="2" t="str">
        <f>=HYPERLINK("https://applink.feishu.cn/client/todo/detail?guid=ae288124-eca5-4bb8-9c90-824a0dbb6abf&amp;suite_entity_num=t100606", "挖掘工（Tunnelrat）：顶盾缓慢靠近+强力近战 &lt; 🪡修改：调整了部分敌人的AI逻辑")</f>
        <v>挖掘工（Tunnelrat）：顶盾缓慢靠近+强力近战 &lt; 🪡修改：调整了部分敌人的AI逻辑</v>
      </c>
      <c r="B261"/>
      <c r="C261" t="inlineStr">
        <is>
          <t>默认分组</t>
        </is>
      </c>
      <c r="D261" t="inlineStr">
        <is>
          <t>0</t>
        </is>
      </c>
      <c r="E261" t="inlineStr">
        <is>
          <t>或签任务</t>
        </is>
      </c>
      <c r="F261"/>
      <c r="G261" t="inlineStr">
        <is>
          <t>0</t>
        </is>
      </c>
      <c r="H261"/>
      <c r="I261" t="inlineStr">
        <is>
          <t>龚政涛</t>
        </is>
      </c>
      <c r="J261" t="inlineStr">
        <is>
          <t>龚政涛,Decay</t>
        </is>
      </c>
      <c r="K261" t="inlineStr">
        <is>
          <t>龚政涛</t>
        </is>
      </c>
      <c r="L261" s="3">
        <v>45730.46472222222</v>
      </c>
      <c r="M261" s="3"/>
      <c r="N261" s="3"/>
      <c r="O261" s="3">
        <v>45912.333333333336</v>
      </c>
      <c r="P261" s="3">
        <v>45904.90797453704</v>
      </c>
      <c r="Q261" s="2" t="str">
        <f>=HYPERLINK("https://applink.feishu.cn/client/todo/task_list?guid=4d92b9af-66d1-4cd7-95d1-4b753a64ca6b", "跃入迷城")</f>
        <v>跃入迷城</v>
      </c>
      <c r="R261" t="inlineStr">
        <is>
          <t>4d92b9af-66d1-4cd7-95d1-4b753a64ca6b</t>
        </is>
      </c>
      <c r="S261" t="inlineStr">
        <is>
          <t>ae288124-eca5-4bb8-9c90-824a0dbb6abf</t>
        </is>
      </c>
      <c r="T261">
        <v>0</v>
      </c>
      <c r="U261">
        <v>3</v>
      </c>
      <c r="V261" t="inlineStr">
        <is>
          <t>0.0.5</t>
        </is>
      </c>
      <c r="W261" t="inlineStr">
        <is>
          <t>未开始</t>
        </is>
      </c>
      <c r="X261" t="inlineStr">
        <is>
          <t>🎮玩法</t>
        </is>
      </c>
      <c r="Y261" t="inlineStr">
        <is>
          <t>AI</t>
        </is>
      </c>
      <c r="Z261" t="inlineStr">
        <is>
          <t>P0 - Must (not) Have</t>
        </is>
      </c>
      <c r="AA261" t="inlineStr">
        <is>
          <t>cdb237d9-e5cf-4f65-b655-36028f7f4536</t>
        </is>
      </c>
      <c r="AB261" t="inlineStr">
        <is>
          <t>29db56f9-8d80-45a4-80dd-ad7c28e41586</t>
        </is>
      </c>
      <c r="AC261" t="inlineStr">
        <is>
          <t>74155b8e-e39e-4605-8fff-083e0187df5a</t>
        </is>
      </c>
      <c r="AD261" t="inlineStr">
        <is>
          <t>NzUzMjAzNDQ5ODk2NDY2ODQ0NDphZTI4ODEyNC1lY2E1LTRiYjgtOWM5MC04MjRhMGRiYjZhYmY6ZDI0NzIyNmIzMGU4NzdlMjFiZTZjZTExYThlZGJmODk6MQ==</t>
        </is>
      </c>
      <c r="AE261"/>
    </row>
    <row r="262" ht="25.5" customHeight="1">
      <c r="A262" s="2" t="str">
        <f>=HYPERLINK("https://applink.feishu.cn/client/todo/detail?guid=fdeac1f4-7c5d-4f5e-87d4-18dc176b2bca&amp;suite_entity_num=t100604", "在UI上显示玩家所在的level和剩余敌人数量")</f>
        <v>在UI上显示玩家所在的level和剩余敌人数量</v>
      </c>
      <c r="B262"/>
      <c r="C262" t="inlineStr">
        <is>
          <t>默认分组</t>
        </is>
      </c>
      <c r="D262" t="inlineStr">
        <is>
          <t>1</t>
        </is>
      </c>
      <c r="E262" t="inlineStr">
        <is>
          <t>或签任务</t>
        </is>
      </c>
      <c r="F262"/>
      <c r="G262" t="inlineStr">
        <is>
          <t>0</t>
        </is>
      </c>
      <c r="H262"/>
      <c r="I262" t="inlineStr">
        <is>
          <t>Decay</t>
        </is>
      </c>
      <c r="J262" t="inlineStr">
        <is>
          <t>龚政涛,Decay,苏祺恒</t>
        </is>
      </c>
      <c r="K262" t="inlineStr">
        <is>
          <t>龚政涛</t>
        </is>
      </c>
      <c r="L262" s="3">
        <v>45730.46466435185</v>
      </c>
      <c r="M262" s="3">
        <v>45874.333333333336</v>
      </c>
      <c r="N262" s="3">
        <v>45733.70784722222</v>
      </c>
      <c r="O262" s="3">
        <v>45874.333333333336</v>
      </c>
      <c r="P262" s="3">
        <v>45877.59841435185</v>
      </c>
      <c r="Q262" s="2" t="str">
        <f>=HYPERLINK("https://applink.feishu.cn/client/todo/task_list?guid=4d92b9af-66d1-4cd7-95d1-4b753a64ca6b", "跃入迷城")</f>
        <v>跃入迷城</v>
      </c>
      <c r="R262" t="inlineStr">
        <is>
          <t>4d92b9af-66d1-4cd7-95d1-4b753a64ca6b</t>
        </is>
      </c>
      <c r="S262" t="inlineStr">
        <is>
          <t>fdeac1f4-7c5d-4f5e-87d4-18dc176b2bca</t>
        </is>
      </c>
      <c r="T262">
        <v>0</v>
      </c>
      <c r="U262">
        <v>1</v>
      </c>
      <c r="V262" t="inlineStr">
        <is>
          <t>0.0.5</t>
        </is>
      </c>
      <c r="W262" t="inlineStr">
        <is>
          <t>已完成</t>
        </is>
      </c>
      <c r="X262" t="inlineStr">
        <is>
          <t>🎨艺术</t>
        </is>
      </c>
      <c r="Y262" t="inlineStr">
        <is>
          <t>UIUX</t>
        </is>
      </c>
      <c r="Z262" t="inlineStr">
        <is>
          <t>P0 - Must (not) Have</t>
        </is>
      </c>
      <c r="AA262"/>
      <c r="AB262"/>
      <c r="AC262"/>
      <c r="AD262" t="inlineStr">
        <is>
          <t>NzUzMjAzNDQ5ODk2NDY2ODQ0NDpmZGVhYzFmNC03YzVkLTRmNWUtODdkNC0xOGRjMTc2YjJiY2E6ZTA3YjE4ZjkwZjEyZDQ5NDM0M2QyZWM3MDYwMTk4YTc6MQ==</t>
        </is>
      </c>
      <c r="AE262"/>
    </row>
    <row r="263" ht="25.5" customHeight="1">
      <c r="A263" s="2" t="str">
        <f>=HYPERLINK("https://applink.feishu.cn/client/todo/detail?guid=86157160-2f96-4e00-b486-b69174b97ced&amp;suite_entity_num=t100586", "武器和角色需要能添加socket mesh")</f>
        <v>武器和角色需要能添加socket mesh</v>
      </c>
      <c r="B263"/>
      <c r="C263" t="inlineStr">
        <is>
          <t>默认分组</t>
        </is>
      </c>
      <c r="D263" t="inlineStr">
        <is>
          <t>1</t>
        </is>
      </c>
      <c r="E263" t="inlineStr">
        <is>
          <t>或签任务</t>
        </is>
      </c>
      <c r="F263"/>
      <c r="G263" t="inlineStr">
        <is>
          <t>0</t>
        </is>
      </c>
      <c r="H263"/>
      <c r="I263"/>
      <c r="J263" t="inlineStr">
        <is>
          <t>龚政涛</t>
        </is>
      </c>
      <c r="K263" t="inlineStr">
        <is>
          <t>龚政涛</t>
        </is>
      </c>
      <c r="L263" s="3">
        <v>45720.58215277778</v>
      </c>
      <c r="M263" s="3"/>
      <c r="N263" s="3">
        <v>45866.66947916667</v>
      </c>
      <c r="O263" s="3"/>
      <c r="P263" s="3">
        <v>45866.68846064815</v>
      </c>
      <c r="Q263" s="2" t="str">
        <f>=HYPERLINK("https://applink.feishu.cn/client/todo/task_list?guid=4d92b9af-66d1-4cd7-95d1-4b753a64ca6b", "跃入迷城")</f>
        <v>跃入迷城</v>
      </c>
      <c r="R263" t="inlineStr">
        <is>
          <t>4d92b9af-66d1-4cd7-95d1-4b753a64ca6b</t>
        </is>
      </c>
      <c r="S263" t="inlineStr">
        <is>
          <t>86157160-2f96-4e00-b486-b69174b97ced</t>
        </is>
      </c>
      <c r="T263">
        <v>0</v>
      </c>
      <c r="U263">
        <v>1</v>
      </c>
      <c r="V263" t="inlineStr">
        <is>
          <t>0.0.5</t>
        </is>
      </c>
      <c r="W263" t="inlineStr">
        <is>
          <t>已废弃</t>
        </is>
      </c>
      <c r="X263"/>
      <c r="Y263" t="inlineStr">
        <is>
          <t>模型</t>
        </is>
      </c>
      <c r="Z263" t="inlineStr">
        <is>
          <t>P2 - Nice to Have</t>
        </is>
      </c>
      <c r="AA263"/>
      <c r="AB263"/>
      <c r="AC263"/>
      <c r="AD263" t="inlineStr">
        <is>
          <t>NzUzMjAzNDQ5ODk2NDY2ODQ0NDo4NjE1NzE2MC0yZjk2LTRlMDAtYjQ4Ni1iNjkxNzRiOTdjZWQ6OTRlODdjYzBlZTcxMjA5ZmU1NDdhZDg3NzliYzU4ZDI6MQ==</t>
        </is>
      </c>
      <c r="AE263"/>
    </row>
    <row r="264" ht="25.5" customHeight="1">
      <c xml:space="preserve" r="A264" s="2" t="str">
        <f>=HYPERLINK("https://applink.feishu.cn/client/todo/detail?guid=7c51035c-b0b2-4d03-ab81-6be594d49004&amp;suite_entity_num=t100609", "允许玩家在同一Level前往不同Sector的Map（连接门），再次战斗获取奖励 &lt; ✨新增：平级关卡切换的功能：玩家现在可以在同一个游戏强度（Level）下，访问其他地图，进行额外的挑战以获得额外奖励，该访问功能需要消耗特定的局内资源，同样的资源也可以用于刷新奖励 ")</f>
        <v>允许玩家在同一Level前往不同Sector的Map（连接门），再次战斗获取奖励 &lt; ✨新增：平级关卡切换的功能：玩家现在可以在同一个游戏强度（Level）下，访问其他地图，进行额外的挑战以获得额外奖励，该访问功能需要消耗特定的局内资源，同样的资源也可以用于刷新奖励 </v>
      </c>
      <c r="B264"/>
      <c r="C264"/>
      <c r="D264" t="inlineStr">
        <is>
          <t>1</t>
        </is>
      </c>
      <c r="E264" t="inlineStr">
        <is>
          <t>或签任务</t>
        </is>
      </c>
      <c r="F264"/>
      <c r="G264" t="inlineStr">
        <is>
          <t>0</t>
        </is>
      </c>
      <c r="H264"/>
      <c r="I264" t="inlineStr">
        <is>
          <t>Decay</t>
        </is>
      </c>
      <c r="J264" t="inlineStr">
        <is>
          <t>龚政涛,Decay</t>
        </is>
      </c>
      <c r="K264" t="inlineStr">
        <is>
          <t>龚政涛</t>
        </is>
      </c>
      <c r="L264" s="3">
        <v>45730.46503472222</v>
      </c>
      <c r="M264" s="3"/>
      <c r="N264" s="3">
        <v>45868.43292824074</v>
      </c>
      <c r="O264" s="3"/>
      <c r="P264" s="3">
        <v>45868.43375</v>
      </c>
      <c r="Q264" s="2" t="str">
        <f>=HYPERLINK("https://applink.feishu.cn/client/todo/task_list?guid=4d92b9af-66d1-4cd7-95d1-4b753a64ca6b", "跃入迷城")</f>
        <v>跃入迷城</v>
      </c>
      <c r="R264" t="inlineStr">
        <is>
          <t>4d92b9af-66d1-4cd7-95d1-4b753a64ca6b</t>
        </is>
      </c>
      <c r="S264" t="inlineStr">
        <is>
          <t>7c51035c-b0b2-4d03-ab81-6be594d49004</t>
        </is>
      </c>
      <c r="T264">
        <v>0</v>
      </c>
      <c r="U264">
        <v>0</v>
      </c>
      <c r="V264" t="inlineStr">
        <is>
          <t>0.0.5</t>
        </is>
      </c>
      <c r="W264" t="inlineStr">
        <is>
          <t>工作中</t>
        </is>
      </c>
      <c r="X264" t="inlineStr">
        <is>
          <t>🎮玩法</t>
        </is>
      </c>
      <c r="Y264" t="inlineStr">
        <is>
          <t>关卡</t>
        </is>
      </c>
      <c r="Z264" t="inlineStr">
        <is>
          <t>P0 - Must (not) Have</t>
        </is>
      </c>
      <c r="AA264"/>
      <c r="AB264"/>
      <c r="AC264" t="inlineStr">
        <is>
          <t>ac428c2f-96e9-4cd8-83aa-b78ec9473ea1</t>
        </is>
      </c>
      <c r="AD264" t="inlineStr">
        <is>
          <t>NzUzMjAzNDQ5ODk2NDY2ODQ0NDo3YzUxMDM1Yy1iMGIyLTRkMDMtYWI4MS02YmU1OTRkNDkwMDQ6Mjg3MWYxNDIzMWY2ODc5YzE0ZGE2MzBmOTdkMTkxYTg6MQ==</t>
        </is>
      </c>
      <c r="AE264"/>
    </row>
    <row r="265" ht="25.5" customHeight="1">
      <c r="A265" s="2" t="str">
        <f>=HYPERLINK("https://applink.feishu.cn/client/todo/detail?guid=40747d7c-6360-4424-85de-12c72bf201c7&amp;suite_entity_num=t100588", "修改护甲补强仪（ArmorReinforcer）逻辑")</f>
        <v>修改护甲补强仪（ArmorReinforcer）逻辑</v>
      </c>
      <c r="B265"/>
      <c r="C265" t="inlineStr">
        <is>
          <t>默认分组</t>
        </is>
      </c>
      <c r="D265" t="inlineStr">
        <is>
          <t>1</t>
        </is>
      </c>
      <c r="E265" t="inlineStr">
        <is>
          <t>或签任务</t>
        </is>
      </c>
      <c r="F265"/>
      <c r="G265" t="inlineStr">
        <is>
          <t>0</t>
        </is>
      </c>
      <c r="H265"/>
      <c r="I265" t="inlineStr">
        <is>
          <t>Decay</t>
        </is>
      </c>
      <c r="J265" t="inlineStr">
        <is>
          <t>龚政涛,Decay</t>
        </is>
      </c>
      <c r="K265" t="inlineStr">
        <is>
          <t>龚政涛</t>
        </is>
      </c>
      <c r="L265" s="3">
        <v>45721.472395833334</v>
      </c>
      <c r="M265" s="3"/>
      <c r="N265" s="3">
        <v>45728.70700231481</v>
      </c>
      <c r="O265" s="3"/>
      <c r="P265" s="3">
        <v>45728.706967592596</v>
      </c>
      <c r="Q265" s="2" t="str">
        <f>=HYPERLINK("https://applink.feishu.cn/client/todo/task_list?guid=4d92b9af-66d1-4cd7-95d1-4b753a64ca6b", "跃入迷城")</f>
        <v>跃入迷城</v>
      </c>
      <c r="R265" t="inlineStr">
        <is>
          <t>4d92b9af-66d1-4cd7-95d1-4b753a64ca6b</t>
        </is>
      </c>
      <c r="S265" t="inlineStr">
        <is>
          <t>40747d7c-6360-4424-85de-12c72bf201c7</t>
        </is>
      </c>
      <c r="T265">
        <v>0</v>
      </c>
      <c r="U265">
        <v>5</v>
      </c>
      <c r="V265" t="inlineStr">
        <is>
          <t>0.0.4</t>
        </is>
      </c>
      <c r="W265" t="inlineStr">
        <is>
          <t>已完成</t>
        </is>
      </c>
      <c r="X265"/>
      <c r="Y265" t="inlineStr">
        <is>
          <t>装备</t>
        </is>
      </c>
      <c r="Z265" t="inlineStr">
        <is>
          <t>P1 - Bigger the Better</t>
        </is>
      </c>
      <c r="AA265"/>
      <c r="AB265"/>
      <c r="AC265"/>
      <c r="AD265" t="inlineStr">
        <is>
          <t>NzUzMjAzNDQ5ODk2NDY2ODQ0NDo0MDc0N2Q3Yy02MzYwLTQ0MjQtODVkZS0xMmM3MmJmMjAxYzc6NTI3NTM5Y2RmYjY3NWJlOTBmZTJmZTUzNDc3MGNiN2M6MQ==</t>
        </is>
      </c>
      <c r="AE265"/>
    </row>
    <row r="266" ht="25.5" customHeight="1">
      <c r="A266" s="2" t="str">
        <f>=HYPERLINK("https://applink.feishu.cn/client/todo/detail?guid=e4b118ec-d48f-49ea-aa65-9928051128ed&amp;suite_entity_num=t100602", "增加一个“V”键普攻的能力，作为近战或远程武器的补充攻击方式")</f>
        <v>增加一个“V”键普攻的能力，作为近战或远程武器的补充攻击方式</v>
      </c>
      <c r="B266"/>
      <c r="C266" t="inlineStr">
        <is>
          <t>默认分组</t>
        </is>
      </c>
      <c r="D266" t="inlineStr">
        <is>
          <t>1</t>
        </is>
      </c>
      <c r="E266" t="inlineStr">
        <is>
          <t>或签任务</t>
        </is>
      </c>
      <c r="F266"/>
      <c r="G266" t="inlineStr">
        <is>
          <t>0</t>
        </is>
      </c>
      <c r="H266"/>
      <c r="I266" t="inlineStr">
        <is>
          <t>Decay</t>
        </is>
      </c>
      <c r="J266" t="inlineStr">
        <is>
          <t>龚政涛,Decay</t>
        </is>
      </c>
      <c r="K266" t="inlineStr">
        <is>
          <t>龚政涛</t>
        </is>
      </c>
      <c r="L266" s="3">
        <v>45730.464537037034</v>
      </c>
      <c r="M266" s="3"/>
      <c r="N266" s="3">
        <v>45775.81780092593</v>
      </c>
      <c r="O266" s="3"/>
      <c r="P266" s="3">
        <v>45868.038564814815</v>
      </c>
      <c r="Q266" s="2" t="str">
        <f>=HYPERLINK("https://applink.feishu.cn/client/todo/task_list?guid=4d92b9af-66d1-4cd7-95d1-4b753a64ca6b", "跃入迷城")</f>
        <v>跃入迷城</v>
      </c>
      <c r="R266" t="inlineStr">
        <is>
          <t>4d92b9af-66d1-4cd7-95d1-4b753a64ca6b</t>
        </is>
      </c>
      <c r="S266" t="inlineStr">
        <is>
          <t>e4b118ec-d48f-49ea-aa65-9928051128ed</t>
        </is>
      </c>
      <c r="T266">
        <v>0</v>
      </c>
      <c r="U266">
        <v>18</v>
      </c>
      <c r="V266" t="inlineStr">
        <is>
          <t>0.0.5</t>
        </is>
      </c>
      <c r="W266" t="inlineStr">
        <is>
          <t>已完成</t>
        </is>
      </c>
      <c r="X266" t="inlineStr">
        <is>
          <t>🎮玩法</t>
        </is>
      </c>
      <c r="Y266" t="inlineStr">
        <is>
          <t>操作</t>
        </is>
      </c>
      <c r="Z266" t="inlineStr">
        <is>
          <t>P0 - Must (not) Have</t>
        </is>
      </c>
      <c r="AA266"/>
      <c r="AB266"/>
      <c r="AC266"/>
      <c r="AD266" t="inlineStr">
        <is>
          <t>NzUzMjAzNDQ5ODk2NDY2ODQ0NDplNGIxMThlYy1kNDhmLTQ5ZWEtYWE2NS05OTI4MDUxMTI4ZWQ6Y2EwZDA1ODI1OTEwMDEwYmVjOTcwNWUxYmYyNzIwZmU6MQ==</t>
        </is>
      </c>
      <c r="AE266"/>
    </row>
    <row r="267" ht="25.5" customHeight="1">
      <c r="A267" s="2" t="str">
        <f>=HYPERLINK("https://applink.feishu.cn/client/todo/detail?guid=cdb237d9-e5cf-4f65-b655-36028f7f4536&amp;suite_entity_num=t100607", "管线技师（Pipewright）：扇形攻击+低血量自爆 &lt; 🪡修改：调整了部分敌人的AI逻辑")</f>
        <v>管线技师（Pipewright）：扇形攻击+低血量自爆 &lt; 🪡修改：调整了部分敌人的AI逻辑</v>
      </c>
      <c r="B267"/>
      <c r="C267" t="inlineStr">
        <is>
          <t>默认分组</t>
        </is>
      </c>
      <c r="D267" t="inlineStr">
        <is>
          <t>0</t>
        </is>
      </c>
      <c r="E267" t="inlineStr">
        <is>
          <t>或签任务</t>
        </is>
      </c>
      <c r="F267"/>
      <c r="G267" t="inlineStr">
        <is>
          <t>0</t>
        </is>
      </c>
      <c r="H267"/>
      <c r="I267" t="inlineStr">
        <is>
          <t>龚政涛</t>
        </is>
      </c>
      <c r="J267" t="inlineStr">
        <is>
          <t>龚政涛,Decay</t>
        </is>
      </c>
      <c r="K267" t="inlineStr">
        <is>
          <t>龚政涛</t>
        </is>
      </c>
      <c r="L267" s="3">
        <v>45730.464733796296</v>
      </c>
      <c r="M267" s="3"/>
      <c r="N267" s="3"/>
      <c r="O267" s="3">
        <v>45912.333333333336</v>
      </c>
      <c r="P267" s="3">
        <v>45904.90796296296</v>
      </c>
      <c r="Q267" s="2" t="str">
        <f>=HYPERLINK("https://applink.feishu.cn/client/todo/task_list?guid=4d92b9af-66d1-4cd7-95d1-4b753a64ca6b", "跃入迷城")</f>
        <v>跃入迷城</v>
      </c>
      <c r="R267" t="inlineStr">
        <is>
          <t>4d92b9af-66d1-4cd7-95d1-4b753a64ca6b</t>
        </is>
      </c>
      <c r="S267" t="inlineStr">
        <is>
          <t>cdb237d9-e5cf-4f65-b655-36028f7f4536</t>
        </is>
      </c>
      <c r="T267">
        <v>0</v>
      </c>
      <c r="U267">
        <v>8</v>
      </c>
      <c r="V267" t="inlineStr">
        <is>
          <t>0.0.5</t>
        </is>
      </c>
      <c r="W267" t="inlineStr">
        <is>
          <t>未开始</t>
        </is>
      </c>
      <c r="X267" t="inlineStr">
        <is>
          <t>🎮玩法</t>
        </is>
      </c>
      <c r="Y267" t="inlineStr">
        <is>
          <t>AI</t>
        </is>
      </c>
      <c r="Z267" t="inlineStr">
        <is>
          <t>P0 - Must (not) Have</t>
        </is>
      </c>
      <c r="AA267" t="inlineStr">
        <is>
          <t>d19fae62-229c-4772-a74e-b9485a121c7c</t>
        </is>
      </c>
      <c r="AB267" t="inlineStr">
        <is>
          <t>ae288124-eca5-4bb8-9c90-824a0dbb6abf</t>
        </is>
      </c>
      <c r="AC267" t="inlineStr">
        <is>
          <t>74155b8e-e39e-4605-8fff-083e0187df5a</t>
        </is>
      </c>
      <c r="AD267" t="inlineStr">
        <is>
          <t>NzUzMjAzNDQ5ODk2NDY2ODQ0NDpjZGIyMzdkOS1lNWNmLTRmNjUtYjY1NS0zNjAyOGY3ZjQ1MzY6NzMyOGY2YjI0YWE2YTFiMWE2YjI0NjUxMDA4MTQ4ZDU6MQ==</t>
        </is>
      </c>
      <c r="AE267"/>
    </row>
    <row r="268" ht="25.5" customHeight="1">
      <c r="A268" s="2" t="str">
        <f>=HYPERLINK("https://applink.feishu.cn/client/todo/detail?guid=252f120f-163b-40db-ad99-60fe00abf282&amp;suite_entity_num=t100599", "增加攻击吸附逻辑")</f>
        <v>增加攻击吸附逻辑</v>
      </c>
      <c r="B268"/>
      <c r="C268" t="inlineStr">
        <is>
          <t>默认分组</t>
        </is>
      </c>
      <c r="D268" t="inlineStr">
        <is>
          <t>1</t>
        </is>
      </c>
      <c r="E268" t="inlineStr">
        <is>
          <t>或签任务</t>
        </is>
      </c>
      <c r="F268"/>
      <c r="G268" t="inlineStr">
        <is>
          <t>0</t>
        </is>
      </c>
      <c r="H268"/>
      <c r="I268" t="inlineStr">
        <is>
          <t>Decay</t>
        </is>
      </c>
      <c r="J268" t="inlineStr">
        <is>
          <t>龚政涛,Decay</t>
        </is>
      </c>
      <c r="K268" t="inlineStr">
        <is>
          <t>龚政涛</t>
        </is>
      </c>
      <c r="L268" s="3">
        <v>45730.46428240741</v>
      </c>
      <c r="M268" s="3"/>
      <c r="N268" s="3">
        <v>45775.81789351852</v>
      </c>
      <c r="O268" s="3"/>
      <c r="P268" s="3">
        <v>45868.03827546296</v>
      </c>
      <c r="Q268" s="2" t="str">
        <f>=HYPERLINK("https://applink.feishu.cn/client/todo/task_list?guid=4d92b9af-66d1-4cd7-95d1-4b753a64ca6b", "跃入迷城")</f>
        <v>跃入迷城</v>
      </c>
      <c r="R268" t="inlineStr">
        <is>
          <t>4d92b9af-66d1-4cd7-95d1-4b753a64ca6b</t>
        </is>
      </c>
      <c r="S268" t="inlineStr">
        <is>
          <t>252f120f-163b-40db-ad99-60fe00abf282</t>
        </is>
      </c>
      <c r="T268">
        <v>0</v>
      </c>
      <c r="U268">
        <v>27</v>
      </c>
      <c r="V268" t="inlineStr">
        <is>
          <t>0.0.5</t>
        </is>
      </c>
      <c r="W268" t="inlineStr">
        <is>
          <t>工作中</t>
        </is>
      </c>
      <c r="X268" t="inlineStr">
        <is>
          <t>🎮玩法</t>
        </is>
      </c>
      <c r="Y268" t="inlineStr">
        <is>
          <t>操作</t>
        </is>
      </c>
      <c r="Z268" t="inlineStr">
        <is>
          <t>P1 - Bigger the Better</t>
        </is>
      </c>
      <c r="AA268"/>
      <c r="AB268"/>
      <c r="AC268"/>
      <c r="AD268" t="inlineStr">
        <is>
          <t>NzUzMjAzNDQ5ODk2NDY2ODQ0NDoyNTJmMTIwZi0xNjNiLTQwZGItYWQ5OS02MGZlMDBhYmYyODI6ODQzM2VkOTE0NGQwYTgzZDU0OTk3ZjVlM2ZlNWI2MTg6MQ==</t>
        </is>
      </c>
      <c r="AE268"/>
    </row>
    <row r="269" ht="25.5" customHeight="1">
      <c r="A269" s="2" t="str">
        <f>=HYPERLINK("https://applink.feishu.cn/client/todo/detail?guid=4aa74eb9-0b9c-4726-9882-e51003564c53&amp;suite_entity_num=t100601", "调整新武器的获取机制，使其不消耗库存子弹，拿到手里就是满弹夹")</f>
        <v>调整新武器的获取机制，使其不消耗库存子弹，拿到手里就是满弹夹</v>
      </c>
      <c r="B269"/>
      <c r="C269" t="inlineStr">
        <is>
          <t>默认分组</t>
        </is>
      </c>
      <c r="D269" t="inlineStr">
        <is>
          <t>1</t>
        </is>
      </c>
      <c r="E269" t="inlineStr">
        <is>
          <t>或签任务</t>
        </is>
      </c>
      <c r="F269"/>
      <c r="G269" t="inlineStr">
        <is>
          <t>0</t>
        </is>
      </c>
      <c r="H269"/>
      <c r="I269" t="inlineStr">
        <is>
          <t>Decay</t>
        </is>
      </c>
      <c r="J269" t="inlineStr">
        <is>
          <t>龚政涛,Decay</t>
        </is>
      </c>
      <c r="K269" t="inlineStr">
        <is>
          <t>龚政涛</t>
        </is>
      </c>
      <c r="L269" s="3">
        <v>45730.464479166665</v>
      </c>
      <c r="M269" s="3"/>
      <c r="N269" s="3">
        <v>45733.800474537034</v>
      </c>
      <c r="O269" s="3"/>
      <c r="P269" s="3">
        <v>45874.4050462963</v>
      </c>
      <c r="Q269" s="2" t="str">
        <f>=HYPERLINK("https://applink.feishu.cn/client/todo/task_list?guid=4d92b9af-66d1-4cd7-95d1-4b753a64ca6b", "跃入迷城")</f>
        <v>跃入迷城</v>
      </c>
      <c r="R269" t="inlineStr">
        <is>
          <t>4d92b9af-66d1-4cd7-95d1-4b753a64ca6b</t>
        </is>
      </c>
      <c r="S269" t="inlineStr">
        <is>
          <t>4aa74eb9-0b9c-4726-9882-e51003564c53</t>
        </is>
      </c>
      <c r="T269">
        <v>0</v>
      </c>
      <c r="U269">
        <v>1</v>
      </c>
      <c r="V269" t="inlineStr">
        <is>
          <t>0.0.5</t>
        </is>
      </c>
      <c r="W269" t="inlineStr">
        <is>
          <t>已完成</t>
        </is>
      </c>
      <c r="X269" t="inlineStr">
        <is>
          <t>🎮玩法</t>
        </is>
      </c>
      <c r="Y269" t="inlineStr">
        <is>
          <t>装备</t>
        </is>
      </c>
      <c r="Z269" t="inlineStr">
        <is>
          <t>P0 - Must (not) Have</t>
        </is>
      </c>
      <c r="AA269"/>
      <c r="AB269"/>
      <c r="AC269"/>
      <c r="AD269" t="inlineStr">
        <is>
          <t>NzUzMjAzNDQ5ODk2NDY2ODQ0NDo0YWE3NGViOS0wYjljLTQ3MjYtOTg4Mi1lNTEwMDM1NjRjNTM6ZDQ0MDI5YzdmYjgyMTg0N2JiMzgxNGFkMDg2ZGQyOTE6MQ==</t>
        </is>
      </c>
      <c r="AE269"/>
    </row>
    <row r="270" ht="25.5" customHeight="1">
      <c r="A270" s="2" t="str">
        <f>=HYPERLINK("https://applink.feishu.cn/client/todo/detail?guid=b6b0bf21-70dc-456c-9071-a5b8429c8678&amp;suite_entity_num=t100636", "搭建关卡场景")</f>
        <v>搭建关卡场景</v>
      </c>
      <c r="B270"/>
      <c r="C270" t="inlineStr">
        <is>
          <t>默认分组</t>
        </is>
      </c>
      <c r="D270" t="inlineStr">
        <is>
          <t>0</t>
        </is>
      </c>
      <c r="E270" t="inlineStr">
        <is>
          <t>或签任务</t>
        </is>
      </c>
      <c r="F270"/>
      <c r="G270" t="inlineStr">
        <is>
          <t>0</t>
        </is>
      </c>
      <c r="H270"/>
      <c r="I270" t="inlineStr">
        <is>
          <t>惠康</t>
        </is>
      </c>
      <c r="J270" t="inlineStr">
        <is>
          <t>龚政涛,惠康</t>
        </is>
      </c>
      <c r="K270" t="inlineStr">
        <is>
          <t>龚政涛</t>
        </is>
      </c>
      <c r="L270" s="3">
        <v>45734.502650462964</v>
      </c>
      <c r="M270" s="3"/>
      <c r="N270" s="3"/>
      <c r="O270" s="3"/>
      <c r="P270" s="3">
        <v>45950.57618055555</v>
      </c>
      <c r="Q270" s="2" t="str">
        <f>=HYPERLINK("https://applink.feishu.cn/client/todo/task_list?guid=4d92b9af-66d1-4cd7-95d1-4b753a64ca6b", "跃入迷城")</f>
        <v>跃入迷城</v>
      </c>
      <c r="R270" t="inlineStr">
        <is>
          <t>4d92b9af-66d1-4cd7-95d1-4b753a64ca6b</t>
        </is>
      </c>
      <c r="S270" t="inlineStr">
        <is>
          <t>b6b0bf21-70dc-456c-9071-a5b8429c8678</t>
        </is>
      </c>
      <c r="T270">
        <v>0</v>
      </c>
      <c r="U270">
        <v>0</v>
      </c>
      <c r="V270" t="inlineStr">
        <is>
          <t>0.0.5</t>
        </is>
      </c>
      <c r="W270" t="inlineStr">
        <is>
          <t>工作中</t>
        </is>
      </c>
      <c r="X270" t="inlineStr">
        <is>
          <t>🎨艺术</t>
        </is>
      </c>
      <c r="Y270" t="inlineStr">
        <is>
          <t>场景搭建</t>
        </is>
      </c>
      <c r="Z270" t="inlineStr">
        <is>
          <t>P0 - Must (not) Have</t>
        </is>
      </c>
      <c r="AA270"/>
      <c r="AB270"/>
      <c r="AC270"/>
      <c r="AD270" t="inlineStr">
        <is>
          <t>NzUzMjAzNDQ5ODk2NDY2ODQ0NDpiNmIwYmYyMS03MGRjLTQ1NmMtOTA3MS1hNWI4NDI5Yzg2Nzg6YWVkM2Y3YTI0ODdjZjhkNjdkNzE5NTBiNDYyMTg2ZTA6MQ==</t>
        </is>
      </c>
      <c r="AE270"/>
    </row>
    <row r="271" ht="25.5" customHeight="1">
      <c r="A271" s="2" t="str">
        <f>=HYPERLINK("https://applink.feishu.cn/client/todo/detail?guid=0fd90676-175a-46ed-b698-3aec2966bb56&amp;suite_entity_num=t100619", "例如劳旅 (Labor)可以做移动平台/移动障碍物")</f>
        <v>例如劳旅 (Labor)可以做移动平台/移动障碍物</v>
      </c>
      <c r="B271"/>
      <c r="C271" t="inlineStr">
        <is>
          <t>默认分组</t>
        </is>
      </c>
      <c r="D271" t="inlineStr">
        <is>
          <t>0</t>
        </is>
      </c>
      <c r="E271" t="inlineStr">
        <is>
          <t>或签任务</t>
        </is>
      </c>
      <c r="F271"/>
      <c r="G271" t="inlineStr">
        <is>
          <t>0</t>
        </is>
      </c>
      <c r="H271"/>
      <c r="I271" t="inlineStr">
        <is>
          <t>刘禹希,苏祺恒</t>
        </is>
      </c>
      <c r="J271" t="inlineStr">
        <is>
          <t>龚政涛,刘禹希,苏祺恒</t>
        </is>
      </c>
      <c r="K271" t="inlineStr">
        <is>
          <t>龚政涛</t>
        </is>
      </c>
      <c r="L271" s="3">
        <v>45730.48013888889</v>
      </c>
      <c r="M271" s="3"/>
      <c r="N271" s="3"/>
      <c r="O271" s="3"/>
      <c r="P271" s="3">
        <v>45868.43274305556</v>
      </c>
      <c r="Q271" s="2" t="str">
        <f>=HYPERLINK("https://applink.feishu.cn/client/todo/task_list?guid=4d92b9af-66d1-4cd7-95d1-4b753a64ca6b", "跃入迷城")</f>
        <v>跃入迷城</v>
      </c>
      <c r="R271" t="inlineStr">
        <is>
          <t>4d92b9af-66d1-4cd7-95d1-4b753a64ca6b</t>
        </is>
      </c>
      <c r="S271" t="inlineStr">
        <is>
          <t>0fd90676-175a-46ed-b698-3aec2966bb56</t>
        </is>
      </c>
      <c r="T271">
        <v>0</v>
      </c>
      <c r="U271">
        <v>0</v>
      </c>
      <c r="V271" t="inlineStr">
        <is>
          <t>0.1.0</t>
        </is>
      </c>
      <c r="W271" t="inlineStr">
        <is>
          <t>未开始</t>
        </is>
      </c>
      <c r="X271"/>
      <c r="Y271" t="inlineStr">
        <is>
          <t>关卡</t>
        </is>
      </c>
      <c r="Z271" t="inlineStr">
        <is>
          <t>P2 - Nice to Have</t>
        </is>
      </c>
      <c r="AA271"/>
      <c r="AB271"/>
      <c r="AC271"/>
      <c r="AD271" t="inlineStr">
        <is>
          <t>NzUzMjAzNDQ5ODk2NDY2ODQ0NDowZmQ5MDY3Ni0xNzVhLTQ2ZWQtYjY5OC0zYWVjMjk2NmJiNTY6NDc5ZmU1YTdiYjlhYzNiNGZhODk2MzU0ZmNkYjUzYTg6MQ==</t>
        </is>
      </c>
      <c r="AE271"/>
    </row>
    <row r="272" ht="25.5" customHeight="1">
      <c r="A272" s="2" t="str">
        <f>=HYPERLINK("https://applink.feishu.cn/client/todo/detail?guid=70c41387-7bf5-4490-88a5-d90d669565ef&amp;suite_entity_num=t100622", "实现敌人离开玩家视野后渐变消失的效果")</f>
        <v>实现敌人离开玩家视野后渐变消失的效果</v>
      </c>
      <c r="B272"/>
      <c r="C272" t="inlineStr">
        <is>
          <t>默认分组</t>
        </is>
      </c>
      <c r="D272" t="inlineStr">
        <is>
          <t>1</t>
        </is>
      </c>
      <c r="E272" t="inlineStr">
        <is>
          <t>或签任务</t>
        </is>
      </c>
      <c r="F272"/>
      <c r="G272" t="inlineStr">
        <is>
          <t>0</t>
        </is>
      </c>
      <c r="H272"/>
      <c r="I272" t="inlineStr">
        <is>
          <t>Decay</t>
        </is>
      </c>
      <c r="J272" t="inlineStr">
        <is>
          <t>Decay,龚政涛</t>
        </is>
      </c>
      <c r="K272" t="inlineStr">
        <is>
          <t>龚政涛</t>
        </is>
      </c>
      <c r="L272" s="3">
        <v>45730.48290509259</v>
      </c>
      <c r="M272" s="3"/>
      <c r="N272" s="3">
        <v>45812.454675925925</v>
      </c>
      <c r="O272" s="3"/>
      <c r="P272" s="3">
        <v>45812.4546875</v>
      </c>
      <c r="Q272" s="2" t="str">
        <f>=HYPERLINK("https://applink.feishu.cn/client/todo/task_list?guid=4d92b9af-66d1-4cd7-95d1-4b753a64ca6b", "跃入迷城")</f>
        <v>跃入迷城</v>
      </c>
      <c r="R272" t="inlineStr">
        <is>
          <t>4d92b9af-66d1-4cd7-95d1-4b753a64ca6b</t>
        </is>
      </c>
      <c r="S272" t="inlineStr">
        <is>
          <t>70c41387-7bf5-4490-88a5-d90d669565ef</t>
        </is>
      </c>
      <c r="T272">
        <v>0</v>
      </c>
      <c r="U272">
        <v>1</v>
      </c>
      <c r="V272" t="inlineStr">
        <is>
          <t>0.0.5</t>
        </is>
      </c>
      <c r="W272" t="inlineStr">
        <is>
          <t>已废弃</t>
        </is>
      </c>
      <c r="X272"/>
      <c r="Y272" t="inlineStr">
        <is>
          <t>镜头</t>
        </is>
      </c>
      <c r="Z272" t="inlineStr">
        <is>
          <t>P1 - Bigger the Better</t>
        </is>
      </c>
      <c r="AA272"/>
      <c r="AB272"/>
      <c r="AC272"/>
      <c r="AD272" t="inlineStr">
        <is>
          <t>NzUzMjAzNDQ5ODk2NDY2ODQ0NDo3MGM0MTM4Ny03YmY1LTQ0OTAtODhhNS1kOTBkNjY5NTY1ZWY6Njc0M2U2ZjkxZTBlN2YzN2NiMjYxNGY2NWQ5ZTUxNDI6MQ==</t>
        </is>
      </c>
      <c r="AE272"/>
    </row>
    <row r="273" ht="25.5" customHeight="1">
      <c r="A273" s="2" t="str">
        <f>=HYPERLINK("https://applink.feishu.cn/client/todo/detail?guid=8ce54c0c-6206-45bb-a384-8860c30dc208&amp;suite_entity_num=t100600", "将被武器打印机替换的武器丢在地上供玩家反复选择")</f>
        <v>将被武器打印机替换的武器丢在地上供玩家反复选择</v>
      </c>
      <c r="B273"/>
      <c r="C273" t="inlineStr">
        <is>
          <t>默认分组</t>
        </is>
      </c>
      <c r="D273" t="inlineStr">
        <is>
          <t>1</t>
        </is>
      </c>
      <c r="E273" t="inlineStr">
        <is>
          <t>或签任务</t>
        </is>
      </c>
      <c r="F273"/>
      <c r="G273" t="inlineStr">
        <is>
          <t>0</t>
        </is>
      </c>
      <c r="H273"/>
      <c r="I273" t="inlineStr">
        <is>
          <t>Decay</t>
        </is>
      </c>
      <c r="J273" t="inlineStr">
        <is>
          <t>Decay,龚政涛</t>
        </is>
      </c>
      <c r="K273" t="inlineStr">
        <is>
          <t>龚政涛</t>
        </is>
      </c>
      <c r="L273" s="3">
        <v>45730.46440972222</v>
      </c>
      <c r="M273" s="3"/>
      <c r="N273" s="3">
        <v>45734.48511574074</v>
      </c>
      <c r="O273" s="3"/>
      <c r="P273" s="3">
        <v>45874.405</v>
      </c>
      <c r="Q273" s="2" t="str">
        <f>=HYPERLINK("https://applink.feishu.cn/client/todo/task_list?guid=4d92b9af-66d1-4cd7-95d1-4b753a64ca6b", "跃入迷城")</f>
        <v>跃入迷城</v>
      </c>
      <c r="R273" t="inlineStr">
        <is>
          <t>4d92b9af-66d1-4cd7-95d1-4b753a64ca6b</t>
        </is>
      </c>
      <c r="S273" t="inlineStr">
        <is>
          <t>8ce54c0c-6206-45bb-a384-8860c30dc208</t>
        </is>
      </c>
      <c r="T273">
        <v>0</v>
      </c>
      <c r="U273">
        <v>7</v>
      </c>
      <c r="V273" t="inlineStr">
        <is>
          <t>0.0.5</t>
        </is>
      </c>
      <c r="W273" t="inlineStr">
        <is>
          <t>已完成</t>
        </is>
      </c>
      <c r="X273" t="inlineStr">
        <is>
          <t>🎮玩法</t>
        </is>
      </c>
      <c r="Y273" t="inlineStr">
        <is>
          <t>装备</t>
        </is>
      </c>
      <c r="Z273" t="inlineStr">
        <is>
          <t>P0 - Must (not) Have</t>
        </is>
      </c>
      <c r="AA273"/>
      <c r="AB273"/>
      <c r="AC273"/>
      <c r="AD273" t="inlineStr">
        <is>
          <t>NzUzMjAzNDQ5ODk2NDY2ODQ0NDo4Y2U1NGMwYy02MjA2LTQ1YmItYTM4NC04ODYwYzMwZGMyMDg6M2ZlOGNlOWJkZmU3ZmI1YjMyNjAwOGIxZWU1N2YxZjU6MQ==</t>
        </is>
      </c>
      <c r="AE273"/>
    </row>
    <row r="274" ht="25.5" customHeight="1">
      <c r="A274" s="2" t="str">
        <f>=HYPERLINK("https://applink.feishu.cn/client/todo/detail?guid=250437c6-3d06-47a9-b853-27d71d0441da&amp;suite_entity_num=t100612", "增加远程武器攻击的动画幅度，使其更加明显")</f>
        <v>增加远程武器攻击的动画幅度，使其更加明显</v>
      </c>
      <c r="B274"/>
      <c r="C274" t="inlineStr">
        <is>
          <t>默认分组</t>
        </is>
      </c>
      <c r="D274" t="inlineStr">
        <is>
          <t>0</t>
        </is>
      </c>
      <c r="E274" t="inlineStr">
        <is>
          <t>或签任务</t>
        </is>
      </c>
      <c r="F274"/>
      <c r="G274" t="inlineStr">
        <is>
          <t>0</t>
        </is>
      </c>
      <c r="H274"/>
      <c r="I274" t="inlineStr">
        <is>
          <t>Decay</t>
        </is>
      </c>
      <c r="J274" t="inlineStr">
        <is>
          <t>龚政涛,Decay</t>
        </is>
      </c>
      <c r="K274" t="inlineStr">
        <is>
          <t>龚政涛</t>
        </is>
      </c>
      <c r="L274" s="3">
        <v>45730.4662962963</v>
      </c>
      <c r="M274" s="3"/>
      <c r="N274" s="3"/>
      <c r="O274" s="3"/>
      <c r="P274" s="3">
        <v>45866.669120370374</v>
      </c>
      <c r="Q274" s="2" t="str">
        <f>=HYPERLINK("https://applink.feishu.cn/client/todo/task_list?guid=4d92b9af-66d1-4cd7-95d1-4b753a64ca6b", "跃入迷城")</f>
        <v>跃入迷城</v>
      </c>
      <c r="R274" t="inlineStr">
        <is>
          <t>4d92b9af-66d1-4cd7-95d1-4b753a64ca6b</t>
        </is>
      </c>
      <c r="S274" t="inlineStr">
        <is>
          <t>250437c6-3d06-47a9-b853-27d71d0441da</t>
        </is>
      </c>
      <c r="T274">
        <v>0</v>
      </c>
      <c r="U274">
        <v>0</v>
      </c>
      <c r="V274" t="inlineStr">
        <is>
          <t>0.0.5</t>
        </is>
      </c>
      <c r="W274" t="inlineStr">
        <is>
          <t>未开始</t>
        </is>
      </c>
      <c r="X274" t="inlineStr">
        <is>
          <t>🎨艺术</t>
        </is>
      </c>
      <c r="Y274" t="inlineStr">
        <is>
          <t>动画</t>
        </is>
      </c>
      <c r="Z274" t="inlineStr">
        <is>
          <t>P2 - Nice to Have</t>
        </is>
      </c>
      <c r="AA274"/>
      <c r="AB274"/>
      <c r="AC274"/>
      <c r="AD274" t="inlineStr">
        <is>
          <t>NzUzMjAzNDQ5ODk2NDY2ODQ0NDoyNTA0MzdjNi0zZDA2LTQ3YTktYjg1My0yN2Q3MWQwNDQxZGE6ZDNkZmEzZGM0YTY4NjRiNzEyOGZjMzQ1NDBlYTI3ZjA6MQ==</t>
        </is>
      </c>
      <c r="AE274"/>
    </row>
    <row r="275" ht="25.5" customHeight="1">
      <c r="A275" s="2" t="str">
        <f>=HYPERLINK("https://applink.feishu.cn/client/todo/detail?guid=518ddcb2-7e05-4168-9011-921c63cdb1e8&amp;suite_entity_num=t100626", "增加受击打停顿效果")</f>
        <v>增加受击打停顿效果</v>
      </c>
      <c r="B275"/>
      <c r="C275" t="inlineStr">
        <is>
          <t>默认分组</t>
        </is>
      </c>
      <c r="D275" t="inlineStr">
        <is>
          <t>1</t>
        </is>
      </c>
      <c r="E275" t="inlineStr">
        <is>
          <t>或签任务</t>
        </is>
      </c>
      <c r="F275"/>
      <c r="G275" t="inlineStr">
        <is>
          <t>0</t>
        </is>
      </c>
      <c r="H275"/>
      <c r="I275" t="inlineStr">
        <is>
          <t>Decay</t>
        </is>
      </c>
      <c r="J275" t="inlineStr">
        <is>
          <t>Decay,龚政涛</t>
        </is>
      </c>
      <c r="K275" t="inlineStr">
        <is>
          <t>龚政涛</t>
        </is>
      </c>
      <c r="L275" s="3">
        <v>45730.48525462963</v>
      </c>
      <c r="M275" s="3"/>
      <c r="N275" s="3">
        <v>45750.44425925926</v>
      </c>
      <c r="O275" s="3"/>
      <c r="P275" s="3">
        <v>45866.68875</v>
      </c>
      <c r="Q275" s="2" t="str">
        <f>=HYPERLINK("https://applink.feishu.cn/client/todo/task_list?guid=4d92b9af-66d1-4cd7-95d1-4b753a64ca6b", "跃入迷城")</f>
        <v>跃入迷城</v>
      </c>
      <c r="R275" t="inlineStr">
        <is>
          <t>4d92b9af-66d1-4cd7-95d1-4b753a64ca6b</t>
        </is>
      </c>
      <c r="S275" t="inlineStr">
        <is>
          <t>518ddcb2-7e05-4168-9011-921c63cdb1e8</t>
        </is>
      </c>
      <c r="T275">
        <v>0</v>
      </c>
      <c r="U275">
        <v>0</v>
      </c>
      <c r="V275" t="inlineStr">
        <is>
          <t>0.0.5</t>
        </is>
      </c>
      <c r="W275" t="inlineStr">
        <is>
          <t>未开始</t>
        </is>
      </c>
      <c r="X275" t="inlineStr">
        <is>
          <t>🛠️技术</t>
        </is>
      </c>
      <c r="Y275" t="inlineStr">
        <is>
          <t>动画</t>
        </is>
      </c>
      <c r="Z275" t="inlineStr">
        <is>
          <t>P0 - Must (not) Have</t>
        </is>
      </c>
      <c r="AA275"/>
      <c r="AB275"/>
      <c r="AC275"/>
      <c r="AD275" t="inlineStr">
        <is>
          <t>NzUzMjAzNDQ5ODk2NDY2ODQ0NDo1MThkZGNiMi03ZTA1LTQxNjgtOTAxMS05MjFjNjNjZGIxZTg6NmJjNTAwNjgxNTZhYTE0Nzk5ODg0NDQxM2JhOGRjNzM6MQ==</t>
        </is>
      </c>
      <c r="AE275"/>
    </row>
    <row r="276" ht="25.5" customHeight="1">
      <c r="A276" s="2" t="str">
        <f>=HYPERLINK("https://applink.feishu.cn/client/todo/detail?guid=59294aca-6ef5-46cd-8fec-1c31388d7c76&amp;suite_entity_num=t100603", "提高子弹打印机的掉率到100%")</f>
        <v>提高子弹打印机的掉率到100%</v>
      </c>
      <c r="B276"/>
      <c r="C276" t="inlineStr">
        <is>
          <t>默认分组</t>
        </is>
      </c>
      <c r="D276" t="inlineStr">
        <is>
          <t>1</t>
        </is>
      </c>
      <c r="E276" t="inlineStr">
        <is>
          <t>或签任务</t>
        </is>
      </c>
      <c r="F276"/>
      <c r="G276" t="inlineStr">
        <is>
          <t>0</t>
        </is>
      </c>
      <c r="H276"/>
      <c r="I276" t="inlineStr">
        <is>
          <t>苏祺恒</t>
        </is>
      </c>
      <c r="J276" t="inlineStr">
        <is>
          <t>龚政涛,苏祺恒</t>
        </is>
      </c>
      <c r="K276" t="inlineStr">
        <is>
          <t>龚政涛</t>
        </is>
      </c>
      <c r="L276" s="3">
        <v>45730.464594907404</v>
      </c>
      <c r="M276" s="3"/>
      <c r="N276" s="3">
        <v>45750.44137731481</v>
      </c>
      <c r="O276" s="3"/>
      <c r="P276" s="3">
        <v>45750.44137731481</v>
      </c>
      <c r="Q276" s="2" t="str">
        <f>=HYPERLINK("https://applink.feishu.cn/client/todo/task_list?guid=4d92b9af-66d1-4cd7-95d1-4b753a64ca6b", "跃入迷城")</f>
        <v>跃入迷城</v>
      </c>
      <c r="R276" t="inlineStr">
        <is>
          <t>4d92b9af-66d1-4cd7-95d1-4b753a64ca6b</t>
        </is>
      </c>
      <c r="S276" t="inlineStr">
        <is>
          <t>59294aca-6ef5-46cd-8fec-1c31388d7c76</t>
        </is>
      </c>
      <c r="T276">
        <v>0</v>
      </c>
      <c r="U276">
        <v>0</v>
      </c>
      <c r="V276" t="inlineStr">
        <is>
          <t>0.0.5</t>
        </is>
      </c>
      <c r="W276" t="inlineStr">
        <is>
          <t>未开始</t>
        </is>
      </c>
      <c r="X276"/>
      <c r="Y276" t="inlineStr">
        <is>
          <t>关卡</t>
        </is>
      </c>
      <c r="Z276" t="inlineStr">
        <is>
          <t>P0 - Must (not) Have</t>
        </is>
      </c>
      <c r="AA276"/>
      <c r="AB276"/>
      <c r="AC276"/>
      <c r="AD276" t="inlineStr">
        <is>
          <t>NzUzMjAzNDQ5ODk2NDY2ODQ0NDo1OTI5NGFjYS02ZWY1LTQ2Y2QtOGZlYy0xYzMxMzg4ZDdjNzY6ZTMyMmQ4ZDVkOTE0ODg1ODc0MzMyMDUzMTM0YWI3MTQ6MQ==</t>
        </is>
      </c>
      <c r="AE276"/>
    </row>
    <row r="277" ht="25.5" customHeight="1">
      <c r="A277" s="2" t="str">
        <f>=HYPERLINK("https://applink.feishu.cn/client/todo/detail?guid=55744e4e-772d-49eb-b101-d0ad60871660&amp;suite_entity_num=t100627", "增加近战攻击的击中停顿效果")</f>
        <v>增加近战攻击的击中停顿效果</v>
      </c>
      <c r="B277"/>
      <c r="C277" t="inlineStr">
        <is>
          <t>默认分组</t>
        </is>
      </c>
      <c r="D277" t="inlineStr">
        <is>
          <t>1</t>
        </is>
      </c>
      <c r="E277" t="inlineStr">
        <is>
          <t>或签任务</t>
        </is>
      </c>
      <c r="F277"/>
      <c r="G277" t="inlineStr">
        <is>
          <t>0</t>
        </is>
      </c>
      <c r="H277"/>
      <c r="I277" t="inlineStr">
        <is>
          <t>Decay</t>
        </is>
      </c>
      <c r="J277" t="inlineStr">
        <is>
          <t>龚政涛,Decay</t>
        </is>
      </c>
      <c r="K277" t="inlineStr">
        <is>
          <t>龚政涛</t>
        </is>
      </c>
      <c r="L277" s="3">
        <v>45730.4852662037</v>
      </c>
      <c r="M277" s="3"/>
      <c r="N277" s="3">
        <v>45750.44427083333</v>
      </c>
      <c r="O277" s="3"/>
      <c r="P277" s="3">
        <v>45866.68875</v>
      </c>
      <c r="Q277" s="2" t="str">
        <f>=HYPERLINK("https://applink.feishu.cn/client/todo/task_list?guid=4d92b9af-66d1-4cd7-95d1-4b753a64ca6b", "跃入迷城")</f>
        <v>跃入迷城</v>
      </c>
      <c r="R277" t="inlineStr">
        <is>
          <t>4d92b9af-66d1-4cd7-95d1-4b753a64ca6b</t>
        </is>
      </c>
      <c r="S277" t="inlineStr">
        <is>
          <t>55744e4e-772d-49eb-b101-d0ad60871660</t>
        </is>
      </c>
      <c r="T277">
        <v>0</v>
      </c>
      <c r="U277">
        <v>3</v>
      </c>
      <c r="V277" t="inlineStr">
        <is>
          <t>0.0.5</t>
        </is>
      </c>
      <c r="W277" t="inlineStr">
        <is>
          <t>工作中</t>
        </is>
      </c>
      <c r="X277" t="inlineStr">
        <is>
          <t>🛠️技术</t>
        </is>
      </c>
      <c r="Y277" t="inlineStr">
        <is>
          <t>动画</t>
        </is>
      </c>
      <c r="Z277" t="inlineStr">
        <is>
          <t>P1 - Bigger the Better</t>
        </is>
      </c>
      <c r="AA277"/>
      <c r="AB277"/>
      <c r="AC277"/>
      <c r="AD277" t="inlineStr">
        <is>
          <t>NzUzMjAzNDQ5ODk2NDY2ODQ0NDo1NTc0NGU0ZS03NzJkLTQ5ZWItYjEwMS1kMGFkNjA4NzE2NjA6ZTY4OTQxMWNmY2Y1YTIwNzZhYzFiOTdjMGYxYjNlZTE6MQ==</t>
        </is>
      </c>
      <c r="AE277"/>
    </row>
    <row r="278" ht="25.5" customHeight="1">
      <c r="A278" s="2" t="str">
        <f>=HYPERLINK("https://applink.feishu.cn/client/todo/detail?guid=3c7b30a1-cd9e-4cb4-b332-0b4d8dceef30&amp;suite_entity_num=t100613", "增加冲刺CD，增加冲刺冷却UI")</f>
        <v>增加冲刺CD，增加冲刺冷却UI</v>
      </c>
      <c r="B278"/>
      <c r="C278" t="inlineStr">
        <is>
          <t>默认分组</t>
        </is>
      </c>
      <c r="D278" t="inlineStr">
        <is>
          <t>1</t>
        </is>
      </c>
      <c r="E278" t="inlineStr">
        <is>
          <t>或签任务</t>
        </is>
      </c>
      <c r="F278"/>
      <c r="G278" t="inlineStr">
        <is>
          <t>0</t>
        </is>
      </c>
      <c r="H278"/>
      <c r="I278" t="inlineStr">
        <is>
          <t>龚政涛,Decay</t>
        </is>
      </c>
      <c r="J278" t="inlineStr">
        <is>
          <t>龚政涛,Decay</t>
        </is>
      </c>
      <c r="K278" t="inlineStr">
        <is>
          <t>龚政涛</t>
        </is>
      </c>
      <c r="L278" s="3">
        <v>45730.46795138889</v>
      </c>
      <c r="M278" s="3"/>
      <c r="N278" s="3">
        <v>45733.795439814814</v>
      </c>
      <c r="O278" s="3"/>
      <c r="P278" s="3">
        <v>45868.03869212963</v>
      </c>
      <c r="Q278" s="2" t="str">
        <f>=HYPERLINK("https://applink.feishu.cn/client/todo/task_list?guid=4d92b9af-66d1-4cd7-95d1-4b753a64ca6b", "跃入迷城")</f>
        <v>跃入迷城</v>
      </c>
      <c r="R278" t="inlineStr">
        <is>
          <t>4d92b9af-66d1-4cd7-95d1-4b753a64ca6b</t>
        </is>
      </c>
      <c r="S278" t="inlineStr">
        <is>
          <t>3c7b30a1-cd9e-4cb4-b332-0b4d8dceef30</t>
        </is>
      </c>
      <c r="T278">
        <v>0</v>
      </c>
      <c r="U278">
        <v>4</v>
      </c>
      <c r="V278" t="inlineStr">
        <is>
          <t>0.0.5</t>
        </is>
      </c>
      <c r="W278" t="inlineStr">
        <is>
          <t>已完成</t>
        </is>
      </c>
      <c r="X278" t="inlineStr">
        <is>
          <t>🎮玩法</t>
        </is>
      </c>
      <c r="Y278" t="inlineStr">
        <is>
          <t>操作</t>
        </is>
      </c>
      <c r="Z278" t="inlineStr">
        <is>
          <t>P0 - Must (not) Have</t>
        </is>
      </c>
      <c r="AA278"/>
      <c r="AB278"/>
      <c r="AC278"/>
      <c r="AD278" t="inlineStr">
        <is>
          <t>NzUzMjAzNDQ5ODk2NDY2ODQ0NDozYzdiMzBhMS1jZDllLTRjYjQtYjMzMi0wYjRkOGRjZWVmMzA6MzIzZDNiZTRhNzQ0OTJmMTQyM2I1NTNiMGQ5NDViZGM6MQ==</t>
        </is>
      </c>
      <c r="AE278"/>
    </row>
    <row r="279" ht="25.5" customHeight="1">
      <c r="A279" s="2" t="str">
        <f>=HYPERLINK("https://applink.feishu.cn/client/todo/detail?guid=cedfc4ae-c05f-41f1-afe2-cdb5cb08739f&amp;suite_entity_num=t100616", "时间必须玩家待在阳台里才能积攒，不能开始逃生后满世界跑")</f>
        <v>时间必须玩家待在阳台里才能积攒，不能开始逃生后满世界跑</v>
      </c>
      <c r="B279"/>
      <c r="C279" t="inlineStr">
        <is>
          <t>默认分组</t>
        </is>
      </c>
      <c r="D279" t="inlineStr">
        <is>
          <t>1</t>
        </is>
      </c>
      <c r="E279" t="inlineStr">
        <is>
          <t>或签任务</t>
        </is>
      </c>
      <c r="F279"/>
      <c r="G279" t="inlineStr">
        <is>
          <t>0</t>
        </is>
      </c>
      <c r="H279"/>
      <c r="I279" t="inlineStr">
        <is>
          <t>Decay</t>
        </is>
      </c>
      <c r="J279" t="inlineStr">
        <is>
          <t>龚政涛,Decay</t>
        </is>
      </c>
      <c r="K279" t="inlineStr">
        <is>
          <t>龚政涛</t>
        </is>
      </c>
      <c r="L279" s="3">
        <v>45730.47091435185</v>
      </c>
      <c r="M279" s="3"/>
      <c r="N279" s="3">
        <v>45868.43288194444</v>
      </c>
      <c r="O279" s="3"/>
      <c r="P279" s="3">
        <v>45868.43300925926</v>
      </c>
      <c r="Q279" s="2" t="str">
        <f>=HYPERLINK("https://applink.feishu.cn/client/todo/task_list?guid=4d92b9af-66d1-4cd7-95d1-4b753a64ca6b", "跃入迷城")</f>
        <v>跃入迷城</v>
      </c>
      <c r="R279" t="inlineStr">
        <is>
          <t>4d92b9af-66d1-4cd7-95d1-4b753a64ca6b</t>
        </is>
      </c>
      <c r="S279" t="inlineStr">
        <is>
          <t>cedfc4ae-c05f-41f1-afe2-cdb5cb08739f</t>
        </is>
      </c>
      <c r="T279">
        <v>0</v>
      </c>
      <c r="U279">
        <v>0</v>
      </c>
      <c r="V279" t="inlineStr">
        <is>
          <t>0.0.5</t>
        </is>
      </c>
      <c r="W279" t="inlineStr">
        <is>
          <t>未开始</t>
        </is>
      </c>
      <c r="X279" t="inlineStr">
        <is>
          <t>🎮玩法</t>
        </is>
      </c>
      <c r="Y279" t="inlineStr">
        <is>
          <t>关卡</t>
        </is>
      </c>
      <c r="Z279" t="inlineStr">
        <is>
          <t>P1 - Bigger the Better</t>
        </is>
      </c>
      <c r="AA279"/>
      <c r="AB279"/>
      <c r="AC279"/>
      <c r="AD279" t="inlineStr">
        <is>
          <t>NzUzMjAzNDQ5ODk2NDY2ODQ0NDpjZWRmYzRhZS1jMDVmLTQxZjEtYWZlMi1jZGI1Y2IwODczOWY6ZWIyOGUwODY1ZWQ3NzE1NTZhNTAyY2Y5ZTkyYjM2ZjM6MQ==</t>
        </is>
      </c>
      <c r="AE279"/>
    </row>
    <row r="280" ht="25.5" customHeight="1">
      <c r="A280" s="2" t="str">
        <f>=HYPERLINK("https://applink.feishu.cn/client/todo/detail?guid=3082fc6c-f618-4c50-9830-7480974a16b1&amp;suite_entity_num=t100614", "将武器技能改为双动画驱动，分为前摇、释放动画")</f>
        <v>将武器技能改为双动画驱动，分为前摇、释放动画</v>
      </c>
      <c r="B280"/>
      <c r="C280" t="inlineStr">
        <is>
          <t>默认分组</t>
        </is>
      </c>
      <c r="D280" t="inlineStr">
        <is>
          <t>1</t>
        </is>
      </c>
      <c r="E280" t="inlineStr">
        <is>
          <t>或签任务</t>
        </is>
      </c>
      <c r="F280"/>
      <c r="G280" t="inlineStr">
        <is>
          <t>0</t>
        </is>
      </c>
      <c r="H280"/>
      <c r="I280" t="inlineStr">
        <is>
          <t>Decay</t>
        </is>
      </c>
      <c r="J280" t="inlineStr">
        <is>
          <t>龚政涛,Decay</t>
        </is>
      </c>
      <c r="K280" t="inlineStr">
        <is>
          <t>龚政涛</t>
        </is>
      </c>
      <c r="L280" s="3">
        <v>45730.468877314815</v>
      </c>
      <c r="M280" s="3"/>
      <c r="N280" s="3">
        <v>45750.44196759259</v>
      </c>
      <c r="O280" s="3"/>
      <c r="P280" s="3">
        <v>45866.688726851855</v>
      </c>
      <c r="Q280" s="2" t="str">
        <f>=HYPERLINK("https://applink.feishu.cn/client/todo/task_list?guid=4d92b9af-66d1-4cd7-95d1-4b753a64ca6b", "跃入迷城")</f>
        <v>跃入迷城</v>
      </c>
      <c r="R280" t="inlineStr">
        <is>
          <t>4d92b9af-66d1-4cd7-95d1-4b753a64ca6b</t>
        </is>
      </c>
      <c r="S280" t="inlineStr">
        <is>
          <t>3082fc6c-f618-4c50-9830-7480974a16b1</t>
        </is>
      </c>
      <c r="T280">
        <v>0</v>
      </c>
      <c r="U280">
        <v>0</v>
      </c>
      <c r="V280" t="inlineStr">
        <is>
          <t>0.0.5</t>
        </is>
      </c>
      <c r="W280" t="inlineStr">
        <is>
          <t>未开始</t>
        </is>
      </c>
      <c r="X280" t="inlineStr">
        <is>
          <t>🛠️技术</t>
        </is>
      </c>
      <c r="Y280" t="inlineStr">
        <is>
          <t>动画</t>
        </is>
      </c>
      <c r="Z280" t="inlineStr">
        <is>
          <t>P0 - Must (not) Have</t>
        </is>
      </c>
      <c r="AA280"/>
      <c r="AB280"/>
      <c r="AC280"/>
      <c r="AD280" t="inlineStr">
        <is>
          <t>NzUzMjAzNDQ5ODk2NDY2ODQ0NDozMDgyZmM2Yy1mNjE4LTRjNTAtOTgzMC03NDgwOTc0YTE2YjE6ODMzMWE2MzI1ZDdmYTcyMGI5MGJiYjQ5ODQ3YzY5MjI6MQ==</t>
        </is>
      </c>
      <c r="AE280"/>
    </row>
    <row r="281" ht="25.5" customHeight="1">
      <c r="A281" s="2" t="str">
        <f>=HYPERLINK("https://applink.feishu.cn/client/todo/detail?guid=6ff0aed9-e953-43ea-a97c-042dd33e5590&amp;suite_entity_num=t100617", "逃生触发后需要一定时间才能离开")</f>
        <v>逃生触发后需要一定时间才能离开</v>
      </c>
      <c r="B281"/>
      <c r="C281" t="inlineStr">
        <is>
          <t>默认分组</t>
        </is>
      </c>
      <c r="D281" t="inlineStr">
        <is>
          <t>1</t>
        </is>
      </c>
      <c r="E281" t="inlineStr">
        <is>
          <t>或签任务</t>
        </is>
      </c>
      <c r="F281"/>
      <c r="G281" t="inlineStr">
        <is>
          <t>0</t>
        </is>
      </c>
      <c r="H281"/>
      <c r="I281" t="inlineStr">
        <is>
          <t>Decay</t>
        </is>
      </c>
      <c r="J281" t="inlineStr">
        <is>
          <t>龚政涛,Decay</t>
        </is>
      </c>
      <c r="K281" t="inlineStr">
        <is>
          <t>龚政涛</t>
        </is>
      </c>
      <c r="L281" s="3">
        <v>45730.47091435185</v>
      </c>
      <c r="M281" s="3"/>
      <c r="N281" s="3">
        <v>45868.432858796295</v>
      </c>
      <c r="O281" s="3"/>
      <c r="P281" s="3">
        <v>45868.433020833334</v>
      </c>
      <c r="Q281" s="2" t="str">
        <f>=HYPERLINK("https://applink.feishu.cn/client/todo/task_list?guid=4d92b9af-66d1-4cd7-95d1-4b753a64ca6b", "跃入迷城")</f>
        <v>跃入迷城</v>
      </c>
      <c r="R281" t="inlineStr">
        <is>
          <t>4d92b9af-66d1-4cd7-95d1-4b753a64ca6b</t>
        </is>
      </c>
      <c r="S281" t="inlineStr">
        <is>
          <t>6ff0aed9-e953-43ea-a97c-042dd33e5590</t>
        </is>
      </c>
      <c r="T281">
        <v>0</v>
      </c>
      <c r="U281">
        <v>0</v>
      </c>
      <c r="V281" t="inlineStr">
        <is>
          <t>0.0.5</t>
        </is>
      </c>
      <c r="W281" t="inlineStr">
        <is>
          <t>未开始</t>
        </is>
      </c>
      <c r="X281" t="inlineStr">
        <is>
          <t>🎮玩法</t>
        </is>
      </c>
      <c r="Y281" t="inlineStr">
        <is>
          <t>关卡</t>
        </is>
      </c>
      <c r="Z281" t="inlineStr">
        <is>
          <t>P1 - Bigger the Better</t>
        </is>
      </c>
      <c r="AA281"/>
      <c r="AB281"/>
      <c r="AC281"/>
      <c r="AD281" t="inlineStr">
        <is>
          <t>NzUzMjAzNDQ5ODk2NDY2ODQ0NDo2ZmYwYWVkOS1lOTUzLTQzZWEtYTk3Yy0wNDJkZDMzZTU1OTA6MjYzZWE0NDA3NDk4YzUwNDNmZDU2OGM2ZmFkZWRjN2E6MQ==</t>
        </is>
      </c>
      <c r="AE281"/>
    </row>
    <row r="282" ht="25.5" customHeight="1">
      <c r="A282" s="2" t="str">
        <f>=HYPERLINK("https://applink.feishu.cn/client/todo/detail?guid=9437973c-a596-4535-bf39-2ccdefe348ed&amp;suite_entity_num=t100620", "或者用更明显的雷达透视VFX来解决该问题")</f>
        <v>或者用更明显的雷达透视VFX来解决该问题</v>
      </c>
      <c r="B282"/>
      <c r="C282" t="inlineStr">
        <is>
          <t>默认分组</t>
        </is>
      </c>
      <c r="D282" t="inlineStr">
        <is>
          <t>0</t>
        </is>
      </c>
      <c r="E282" t="inlineStr">
        <is>
          <t>或签任务</t>
        </is>
      </c>
      <c r="F282"/>
      <c r="G282" t="inlineStr">
        <is>
          <t>0</t>
        </is>
      </c>
      <c r="H282"/>
      <c r="I282" t="inlineStr">
        <is>
          <t>龚政涛</t>
        </is>
      </c>
      <c r="J282" t="inlineStr">
        <is>
          <t>龚政涛,Decay</t>
        </is>
      </c>
      <c r="K282" t="inlineStr">
        <is>
          <t>龚政涛</t>
        </is>
      </c>
      <c r="L282" s="3">
        <v>45730.482256944444</v>
      </c>
      <c r="M282" s="3"/>
      <c r="N282" s="3"/>
      <c r="O282" s="3"/>
      <c r="P282" s="3">
        <v>45812.45479166666</v>
      </c>
      <c r="Q282" s="2" t="str">
        <f>=HYPERLINK("https://applink.feishu.cn/client/todo/task_list?guid=4d92b9af-66d1-4cd7-95d1-4b753a64ca6b", "跃入迷城")</f>
        <v>跃入迷城</v>
      </c>
      <c r="R282" t="inlineStr">
        <is>
          <t>4d92b9af-66d1-4cd7-95d1-4b753a64ca6b</t>
        </is>
      </c>
      <c r="S282" t="inlineStr">
        <is>
          <t>9437973c-a596-4535-bf39-2ccdefe348ed</t>
        </is>
      </c>
      <c r="T282">
        <v>0</v>
      </c>
      <c r="U282">
        <v>0</v>
      </c>
      <c r="V282" t="inlineStr">
        <is>
          <t>0.1.0</t>
        </is>
      </c>
      <c r="W282" t="inlineStr">
        <is>
          <t>未开始</t>
        </is>
      </c>
      <c r="X282"/>
      <c r="Y282" t="inlineStr">
        <is>
          <t>镜头</t>
        </is>
      </c>
      <c r="Z282" t="inlineStr">
        <is>
          <t>P3 - Not Related</t>
        </is>
      </c>
      <c r="AA282"/>
      <c r="AB282"/>
      <c r="AC282"/>
      <c r="AD282" t="inlineStr">
        <is>
          <t>NzUzMjAzNDQ5ODk2NDY2ODQ0NDo5NDM3OTczYy1hNTk2LTQ1MzUtYmYzOS0yY2NkZWZlMzQ4ZWQ6MDVlNTgzNDhkN2Q4YWMyMjBlMzZmZTQ1YTE1OWNkMDQ6MQ==</t>
        </is>
      </c>
      <c r="AE282"/>
    </row>
    <row r="283" ht="25.5" customHeight="1">
      <c r="A283" s="2" t="str">
        <f>=HYPERLINK("https://applink.feishu.cn/client/todo/detail?guid=0dff95a5-4eff-4b7c-aaa6-3d49f2be7380&amp;suite_entity_num=t100618", "逃生触发时，警告全图（SECTION）敌人，报告玩家位置")</f>
        <v>逃生触发时，警告全图（SECTION）敌人，报告玩家位置</v>
      </c>
      <c r="B283"/>
      <c r="C283" t="inlineStr">
        <is>
          <t>默认分组</t>
        </is>
      </c>
      <c r="D283" t="inlineStr">
        <is>
          <t>1</t>
        </is>
      </c>
      <c r="E283" t="inlineStr">
        <is>
          <t>或签任务</t>
        </is>
      </c>
      <c r="F283"/>
      <c r="G283" t="inlineStr">
        <is>
          <t>0</t>
        </is>
      </c>
      <c r="H283"/>
      <c r="I283" t="inlineStr">
        <is>
          <t>Decay</t>
        </is>
      </c>
      <c r="J283" t="inlineStr">
        <is>
          <t>龚政涛,Decay</t>
        </is>
      </c>
      <c r="K283" t="inlineStr">
        <is>
          <t>龚政涛</t>
        </is>
      </c>
      <c r="L283" s="3">
        <v>45730.4709375</v>
      </c>
      <c r="M283" s="3"/>
      <c r="N283" s="3">
        <v>45868.43283564815</v>
      </c>
      <c r="O283" s="3"/>
      <c r="P283" s="3">
        <v>45868.43304398148</v>
      </c>
      <c r="Q283" s="2" t="str">
        <f>=HYPERLINK("https://applink.feishu.cn/client/todo/task_list?guid=4d92b9af-66d1-4cd7-95d1-4b753a64ca6b", "跃入迷城")</f>
        <v>跃入迷城</v>
      </c>
      <c r="R283" t="inlineStr">
        <is>
          <t>4d92b9af-66d1-4cd7-95d1-4b753a64ca6b</t>
        </is>
      </c>
      <c r="S283" t="inlineStr">
        <is>
          <t>0dff95a5-4eff-4b7c-aaa6-3d49f2be7380</t>
        </is>
      </c>
      <c r="T283">
        <v>0</v>
      </c>
      <c r="U283">
        <v>0</v>
      </c>
      <c r="V283" t="inlineStr">
        <is>
          <t>0.0.5</t>
        </is>
      </c>
      <c r="W283" t="inlineStr">
        <is>
          <t>未开始</t>
        </is>
      </c>
      <c r="X283" t="inlineStr">
        <is>
          <t>🎮玩法</t>
        </is>
      </c>
      <c r="Y283" t="inlineStr">
        <is>
          <t>关卡</t>
        </is>
      </c>
      <c r="Z283" t="inlineStr">
        <is>
          <t>P1 - Bigger the Better</t>
        </is>
      </c>
      <c r="AA283"/>
      <c r="AB283"/>
      <c r="AC283"/>
      <c r="AD283" t="inlineStr">
        <is>
          <t>NzUzMjAzNDQ5ODk2NDY2ODQ0NDowZGZmOTVhNS00ZWZmLTRiN2MtYWFhNi0zZDQ5ZjJiZTczODA6YTE2MzEyZDViOGQ2MDBiMTU2MTg0ZDhjZTA1ZWU2YzM6MQ==</t>
        </is>
      </c>
      <c r="AE283"/>
    </row>
    <row r="284" ht="25.5" customHeight="1">
      <c r="A284" s="2" t="str">
        <f>=HYPERLINK("https://applink.feishu.cn/client/todo/detail?guid=f68bd40b-1e20-46bb-9a0c-0ffff0f3d3ee&amp;suite_entity_num=t100634", "换子弹、奔跑、冲刺时，隐藏瞄准激光")</f>
        <v>换子弹、奔跑、冲刺时，隐藏瞄准激光</v>
      </c>
      <c r="B284"/>
      <c r="C284" t="inlineStr">
        <is>
          <t>默认分组</t>
        </is>
      </c>
      <c r="D284" t="inlineStr">
        <is>
          <t>0</t>
        </is>
      </c>
      <c r="E284" t="inlineStr">
        <is>
          <t>或签任务</t>
        </is>
      </c>
      <c r="F284"/>
      <c r="G284" t="inlineStr">
        <is>
          <t>0</t>
        </is>
      </c>
      <c r="H284"/>
      <c r="I284" t="inlineStr">
        <is>
          <t>Decay</t>
        </is>
      </c>
      <c r="J284" t="inlineStr">
        <is>
          <t>龚政涛,Decay</t>
        </is>
      </c>
      <c r="K284" t="inlineStr">
        <is>
          <t>龚政涛</t>
        </is>
      </c>
      <c r="L284" s="3">
        <v>45730.63921296296</v>
      </c>
      <c r="M284" s="3"/>
      <c r="N284" s="3"/>
      <c r="O284" s="3"/>
      <c r="P284" s="3">
        <v>45866.669074074074</v>
      </c>
      <c r="Q284" s="2" t="str">
        <f>=HYPERLINK("https://applink.feishu.cn/client/todo/task_list?guid=4d92b9af-66d1-4cd7-95d1-4b753a64ca6b", "跃入迷城")</f>
        <v>跃入迷城</v>
      </c>
      <c r="R284" t="inlineStr">
        <is>
          <t>4d92b9af-66d1-4cd7-95d1-4b753a64ca6b</t>
        </is>
      </c>
      <c r="S284" t="inlineStr">
        <is>
          <t>f68bd40b-1e20-46bb-9a0c-0ffff0f3d3ee</t>
        </is>
      </c>
      <c r="T284">
        <v>0</v>
      </c>
      <c r="U284">
        <v>0</v>
      </c>
      <c r="V284" t="inlineStr">
        <is>
          <t>0.0.5</t>
        </is>
      </c>
      <c r="W284" t="inlineStr">
        <is>
          <t>未开始</t>
        </is>
      </c>
      <c r="X284" t="inlineStr">
        <is>
          <t>🛠️技术</t>
        </is>
      </c>
      <c r="Y284" t="inlineStr">
        <is>
          <t>动画</t>
        </is>
      </c>
      <c r="Z284" t="inlineStr">
        <is>
          <t>P1 - Bigger the Better</t>
        </is>
      </c>
      <c r="AA284"/>
      <c r="AB284"/>
      <c r="AC284"/>
      <c r="AD284" t="inlineStr">
        <is>
          <t>NzUzMjAzNDQ5ODk2NDY2ODQ0NDpmNjhiZDQwYi0xZTIwLTQ2YmItOWEwYy0wZmZmZjBmM2QzZWU6NjBiYjUyYTRjNTg5ZWMyOTU4MGY3YzU1OThhNTQxZWU6MQ==</t>
        </is>
      </c>
      <c r="AE284"/>
    </row>
    <row r="285" ht="25.5" customHeight="1">
      <c r="A285" s="2" t="str">
        <f>=HYPERLINK("https://applink.feishu.cn/client/todo/detail?guid=d874ed11-8e14-47d5-ad2f-4924d953d1fc&amp;suite_entity_num=t100640", "移除关卡清空后锁定奖励的设计，增加锁定阳台的设计")</f>
        <v>移除关卡清空后锁定奖励的设计，增加锁定阳台的设计</v>
      </c>
      <c r="B285"/>
      <c r="C285" t="inlineStr">
        <is>
          <t>默认分组</t>
        </is>
      </c>
      <c r="D285" t="inlineStr">
        <is>
          <t>1</t>
        </is>
      </c>
      <c r="E285" t="inlineStr">
        <is>
          <t>或签任务</t>
        </is>
      </c>
      <c r="F285"/>
      <c r="G285" t="inlineStr">
        <is>
          <t>0</t>
        </is>
      </c>
      <c r="H285"/>
      <c r="I285" t="inlineStr">
        <is>
          <t>Decay</t>
        </is>
      </c>
      <c r="J285" t="inlineStr">
        <is>
          <t>龚政涛,Decay</t>
        </is>
      </c>
      <c r="K285" t="inlineStr">
        <is>
          <t>龚政涛</t>
        </is>
      </c>
      <c r="L285" s="3">
        <v>45740.693391203706</v>
      </c>
      <c r="M285" s="3"/>
      <c r="N285" s="3">
        <v>45890.4784375</v>
      </c>
      <c r="O285" s="3"/>
      <c r="P285" s="3">
        <v>45890.47844907407</v>
      </c>
      <c r="Q285" s="2" t="str">
        <f>=HYPERLINK("https://applink.feishu.cn/client/todo/task_list?guid=4d92b9af-66d1-4cd7-95d1-4b753a64ca6b", "跃入迷城")</f>
        <v>跃入迷城</v>
      </c>
      <c r="R285" t="inlineStr">
        <is>
          <t>4d92b9af-66d1-4cd7-95d1-4b753a64ca6b</t>
        </is>
      </c>
      <c r="S285" t="inlineStr">
        <is>
          <t>d874ed11-8e14-47d5-ad2f-4924d953d1fc</t>
        </is>
      </c>
      <c r="T285">
        <v>0</v>
      </c>
      <c r="U285">
        <v>2</v>
      </c>
      <c r="V285" t="inlineStr">
        <is>
          <t>0.0.5</t>
        </is>
      </c>
      <c r="W285" t="inlineStr">
        <is>
          <t>已完成</t>
        </is>
      </c>
      <c r="X285" t="inlineStr">
        <is>
          <t>🎮玩法</t>
        </is>
      </c>
      <c r="Y285" t="inlineStr">
        <is>
          <t>关卡</t>
        </is>
      </c>
      <c r="Z285" t="inlineStr">
        <is>
          <t>P0 - Must (not) Have</t>
        </is>
      </c>
      <c r="AA285"/>
      <c r="AB285"/>
      <c r="AC285"/>
      <c r="AD285" t="inlineStr">
        <is>
          <t>NzUzMjAzNDQ5ODk2NDY2ODQ0NDpkODc0ZWQxMS04ZTE0LTQ3ZDUtYWQyZi00OTI0ZDk1M2QxZmM6MzE0MmQyZmJiM2ZmZTg0MWRjNDNkMjhiYjcwYTkwNTg6MQ==</t>
        </is>
      </c>
      <c r="AE285"/>
    </row>
    <row r="286" ht="25.5" customHeight="1">
      <c r="A286" s="2" t="str">
        <f>=HYPERLINK("https://applink.feishu.cn/client/todo/detail?guid=8121760a-1499-49b4-ae5c-74f179ba2b70&amp;suite_entity_num=t100664", "后坐力")</f>
        <v>后坐力</v>
      </c>
      <c r="B286"/>
      <c r="C286" t="inlineStr">
        <is>
          <t>默认分组</t>
        </is>
      </c>
      <c r="D286" t="inlineStr">
        <is>
          <t>1</t>
        </is>
      </c>
      <c r="E286" t="inlineStr">
        <is>
          <t>或签任务</t>
        </is>
      </c>
      <c r="F286"/>
      <c r="G286" t="inlineStr">
        <is>
          <t>0</t>
        </is>
      </c>
      <c r="H286"/>
      <c r="I286" t="inlineStr">
        <is>
          <t>Decay</t>
        </is>
      </c>
      <c r="J286" t="inlineStr">
        <is>
          <t>Decay,龚政涛</t>
        </is>
      </c>
      <c r="K286" t="inlineStr">
        <is>
          <t>Decay</t>
        </is>
      </c>
      <c r="L286" s="3">
        <v>45762.87299768518</v>
      </c>
      <c r="M286" s="3"/>
      <c r="N286" s="3">
        <v>45764.73924768518</v>
      </c>
      <c r="O286" s="3"/>
      <c r="P286" s="3">
        <v>45874.40415509259</v>
      </c>
      <c r="Q286" s="2" t="str">
        <f>=HYPERLINK("https://applink.feishu.cn/client/todo/task_list?guid=4d92b9af-66d1-4cd7-95d1-4b753a64ca6b", "跃入迷城")</f>
        <v>跃入迷城</v>
      </c>
      <c r="R286" t="inlineStr">
        <is>
          <t>4d92b9af-66d1-4cd7-95d1-4b753a64ca6b</t>
        </is>
      </c>
      <c r="S286" t="inlineStr">
        <is>
          <t>8121760a-1499-49b4-ae5c-74f179ba2b70</t>
        </is>
      </c>
      <c r="T286">
        <v>0</v>
      </c>
      <c r="U286">
        <v>2</v>
      </c>
      <c r="V286" t="inlineStr">
        <is>
          <t>0.0.5</t>
        </is>
      </c>
      <c r="W286" t="inlineStr">
        <is>
          <t>已完成</t>
        </is>
      </c>
      <c r="X286" t="inlineStr">
        <is>
          <t>🎮玩法</t>
        </is>
      </c>
      <c r="Y286" t="inlineStr">
        <is>
          <t>技能</t>
        </is>
      </c>
      <c r="Z286" t="inlineStr">
        <is>
          <t>P2 - Nice to Have</t>
        </is>
      </c>
      <c r="AA286"/>
      <c r="AB286"/>
      <c r="AC286"/>
      <c r="AD286" t="inlineStr">
        <is>
          <t>NzUzMjAzNDQ5ODk2NDY2ODQ0NDo4MTIxNzYwYS0xNDk5LTQ5YjQtYWU1Yy03NGYxNzliYTJiNzA6OWI4YzA5ZmZkNGM3NmUwMzViMzM3MzE3Yzc2Mzg4MjY6MQ==</t>
        </is>
      </c>
      <c r="AE286"/>
    </row>
    <row r="287" ht="25.5" customHeight="1">
      <c r="A287" s="2" t="str">
        <f>=HYPERLINK("https://applink.feishu.cn/client/todo/detail?guid=1a60153a-d6a3-40dc-b73d-6fe7fe9f66a9&amp;suite_entity_num=t100665", "技能 - 偷袭")</f>
        <v>技能 - 偷袭</v>
      </c>
      <c r="B287"/>
      <c r="C287" t="inlineStr">
        <is>
          <t>默认分组</t>
        </is>
      </c>
      <c r="D287" t="inlineStr">
        <is>
          <t>1</t>
        </is>
      </c>
      <c r="E287" t="inlineStr">
        <is>
          <t>或签任务</t>
        </is>
      </c>
      <c r="F287"/>
      <c r="G287" t="inlineStr">
        <is>
          <t>0</t>
        </is>
      </c>
      <c r="H287"/>
      <c r="I287" t="inlineStr">
        <is>
          <t>Decay</t>
        </is>
      </c>
      <c r="J287" t="inlineStr">
        <is>
          <t>Decay,龚政涛</t>
        </is>
      </c>
      <c r="K287" t="inlineStr">
        <is>
          <t>Decay</t>
        </is>
      </c>
      <c r="L287" s="3">
        <v>45763.718090277776</v>
      </c>
      <c r="M287" s="3"/>
      <c r="N287" s="3">
        <v>45764.727164351854</v>
      </c>
      <c r="O287" s="3"/>
      <c r="P287" s="3">
        <v>45874.404178240744</v>
      </c>
      <c r="Q287" s="2" t="str">
        <f>=HYPERLINK("https://applink.feishu.cn/client/todo/task_list?guid=4d92b9af-66d1-4cd7-95d1-4b753a64ca6b", "跃入迷城")</f>
        <v>跃入迷城</v>
      </c>
      <c r="R287" t="inlineStr">
        <is>
          <t>4d92b9af-66d1-4cd7-95d1-4b753a64ca6b</t>
        </is>
      </c>
      <c r="S287" t="inlineStr">
        <is>
          <t>1a60153a-d6a3-40dc-b73d-6fe7fe9f66a9</t>
        </is>
      </c>
      <c r="T287">
        <v>0</v>
      </c>
      <c r="U287">
        <v>1</v>
      </c>
      <c r="V287" t="inlineStr">
        <is>
          <t>0.0.5</t>
        </is>
      </c>
      <c r="W287" t="inlineStr">
        <is>
          <t>已完成</t>
        </is>
      </c>
      <c r="X287" t="inlineStr">
        <is>
          <t>🎮玩法</t>
        </is>
      </c>
      <c r="Y287" t="inlineStr">
        <is>
          <t>技能</t>
        </is>
      </c>
      <c r="Z287" t="inlineStr">
        <is>
          <t>P2 - Nice to Have</t>
        </is>
      </c>
      <c r="AA287"/>
      <c r="AB287"/>
      <c r="AC287"/>
      <c r="AD287" t="inlineStr">
        <is>
          <t>NzUzMjAzNDQ5ODk2NDY2ODQ0NDoxYTYwMTUzYS1kNmEzLTQwZGMtYjczZC02ZmU3ZmU5ZjY2YTk6YjRmYjU2MDA0YzYwMmJiM2U0ZDY0ZWZiOWYyYWY5OWE6MQ==</t>
        </is>
      </c>
      <c r="AE287"/>
    </row>
    <row r="288" ht="25.5" customHeight="1">
      <c r="A288" s="2" t="str">
        <f>=HYPERLINK("https://applink.feishu.cn/client/todo/detail?guid=2bf51a2e-c6e9-461c-b0e9-b72470604e1f&amp;suite_entity_num=t100667", "尝试半墙隐藏机制")</f>
        <v>尝试半墙隐藏机制</v>
      </c>
      <c r="B288"/>
      <c r="C288" t="inlineStr">
        <is>
          <t>默认分组</t>
        </is>
      </c>
      <c r="D288" t="inlineStr">
        <is>
          <t>1</t>
        </is>
      </c>
      <c r="E288" t="inlineStr">
        <is>
          <t>或签任务</t>
        </is>
      </c>
      <c r="F288"/>
      <c r="G288" t="inlineStr">
        <is>
          <t>0</t>
        </is>
      </c>
      <c r="H288"/>
      <c r="I288" t="inlineStr">
        <is>
          <t>Decay</t>
        </is>
      </c>
      <c r="J288" t="inlineStr">
        <is>
          <t>龚政涛,Decay</t>
        </is>
      </c>
      <c r="K288" t="inlineStr">
        <is>
          <t>龚政涛</t>
        </is>
      </c>
      <c r="L288" s="3">
        <v>45766.697118055556</v>
      </c>
      <c r="M288" s="3"/>
      <c r="N288" s="3">
        <v>45812.45447916666</v>
      </c>
      <c r="O288" s="3"/>
      <c r="P288" s="3">
        <v>45812.45447916666</v>
      </c>
      <c r="Q288" s="2" t="str">
        <f>=HYPERLINK("https://applink.feishu.cn/client/todo/task_list?guid=4d92b9af-66d1-4cd7-95d1-4b753a64ca6b", "跃入迷城")</f>
        <v>跃入迷城</v>
      </c>
      <c r="R288" t="inlineStr">
        <is>
          <t>4d92b9af-66d1-4cd7-95d1-4b753a64ca6b</t>
        </is>
      </c>
      <c r="S288" t="inlineStr">
        <is>
          <t>2bf51a2e-c6e9-461c-b0e9-b72470604e1f</t>
        </is>
      </c>
      <c r="T288">
        <v>0</v>
      </c>
      <c r="U288">
        <v>5</v>
      </c>
      <c r="V288" t="inlineStr">
        <is>
          <t>0.0.5</t>
        </is>
      </c>
      <c r="W288" t="inlineStr">
        <is>
          <t>已废弃</t>
        </is>
      </c>
      <c r="X288"/>
      <c r="Y288" t="inlineStr">
        <is>
          <t>镜头</t>
        </is>
      </c>
      <c r="Z288" t="inlineStr">
        <is>
          <t>P2 - Nice to Have</t>
        </is>
      </c>
      <c r="AA288"/>
      <c r="AB288"/>
      <c r="AC288"/>
      <c r="AD288" t="inlineStr">
        <is>
          <t>NzUzMjAzNDQ5ODk2NDY2ODQ0NDoyYmY1MWEyZS1jNmU5LTQ2MWMtYjBlOS1iNzI0NzA2MDRlMWY6YzRkMmI5NzJiYzdlZmJjMGU1YWY2ODYxMDg0NWUxYTY6MQ==</t>
        </is>
      </c>
      <c r="AE288"/>
    </row>
    <row r="289" ht="25.5" customHeight="1">
      <c r="A289" s="2" t="str">
        <f>=HYPERLINK("https://applink.feishu.cn/client/todo/detail?guid=af1a565a-a9f9-4c59-a349-e7321edd8320&amp;suite_entity_num=t100653", "增加瞄准VFX")</f>
        <v>增加瞄准VFX</v>
      </c>
      <c r="B289"/>
      <c r="C289" t="inlineStr">
        <is>
          <t>默认分组</t>
        </is>
      </c>
      <c r="D289" t="inlineStr">
        <is>
          <t>1</t>
        </is>
      </c>
      <c r="E289" t="inlineStr">
        <is>
          <t>或签任务</t>
        </is>
      </c>
      <c r="F289"/>
      <c r="G289" t="inlineStr">
        <is>
          <t>0</t>
        </is>
      </c>
      <c r="H289"/>
      <c r="I289" t="inlineStr">
        <is>
          <t>Decay</t>
        </is>
      </c>
      <c r="J289" t="inlineStr">
        <is>
          <t>龚政涛,Decay</t>
        </is>
      </c>
      <c r="K289" t="inlineStr">
        <is>
          <t>龚政涛</t>
        </is>
      </c>
      <c r="L289" s="3">
        <v>45749.525034722225</v>
      </c>
      <c r="M289" s="3"/>
      <c r="N289" s="3">
        <v>45812.440787037034</v>
      </c>
      <c r="O289" s="3"/>
      <c r="P289" s="3">
        <v>45812.440787037034</v>
      </c>
      <c r="Q289" s="2" t="str">
        <f>=HYPERLINK("https://applink.feishu.cn/client/todo/task_list?guid=4d92b9af-66d1-4cd7-95d1-4b753a64ca6b", "跃入迷城")</f>
        <v>跃入迷城</v>
      </c>
      <c r="R289" t="inlineStr">
        <is>
          <t>4d92b9af-66d1-4cd7-95d1-4b753a64ca6b</t>
        </is>
      </c>
      <c r="S289" t="inlineStr">
        <is>
          <t>af1a565a-a9f9-4c59-a349-e7321edd8320</t>
        </is>
      </c>
      <c r="T289">
        <v>0</v>
      </c>
      <c r="U289">
        <v>6</v>
      </c>
      <c r="V289" t="inlineStr">
        <is>
          <t>0.0.5</t>
        </is>
      </c>
      <c r="W289" t="inlineStr">
        <is>
          <t>已完成</t>
        </is>
      </c>
      <c r="X289"/>
      <c r="Y289" t="inlineStr">
        <is>
          <t>平面美术</t>
        </is>
      </c>
      <c r="Z289" t="inlineStr">
        <is>
          <t>P2 - Nice to Have</t>
        </is>
      </c>
      <c r="AA289"/>
      <c r="AB289"/>
      <c r="AC289"/>
      <c r="AD289" t="inlineStr">
        <is>
          <t>NzUzMjAzNDQ5ODk2NDY2ODQ0NDphZjFhNTY1YS1hOWY5LTRjNTktYTM0OS1lNzMyMWVkZDgzMjA6NTRiOTc1YTYyZGZkNmQ4YWIwNTFmNWRlNjE3MGVmMzE6MQ==</t>
        </is>
      </c>
      <c r="AE289"/>
    </row>
    <row r="290" ht="25.5" customHeight="1">
      <c r="A290" s="2" t="str">
        <f>=HYPERLINK("https://applink.feishu.cn/client/todo/detail?guid=0ae3d61b-0343-4e52-b965-661353050ea8&amp;suite_entity_num=t100666", "技能 - 集中喷射")</f>
        <v>技能 - 集中喷射</v>
      </c>
      <c r="B290"/>
      <c r="C290" t="inlineStr">
        <is>
          <t>默认分组</t>
        </is>
      </c>
      <c r="D290" t="inlineStr">
        <is>
          <t>1</t>
        </is>
      </c>
      <c r="E290" t="inlineStr">
        <is>
          <t>或签任务</t>
        </is>
      </c>
      <c r="F290"/>
      <c r="G290" t="inlineStr">
        <is>
          <t>0</t>
        </is>
      </c>
      <c r="H290"/>
      <c r="I290" t="inlineStr">
        <is>
          <t>Decay</t>
        </is>
      </c>
      <c r="J290" t="inlineStr">
        <is>
          <t>Decay,龚政涛</t>
        </is>
      </c>
      <c r="K290" t="inlineStr">
        <is>
          <t>Decay</t>
        </is>
      </c>
      <c r="L290" s="3">
        <v>45765.67563657407</v>
      </c>
      <c r="M290" s="3"/>
      <c r="N290" s="3">
        <v>45765.72077546296</v>
      </c>
      <c r="O290" s="3"/>
      <c r="P290" s="3">
        <v>45874.40418981481</v>
      </c>
      <c r="Q290" s="2" t="str">
        <f>=HYPERLINK("https://applink.feishu.cn/client/todo/task_list?guid=4d92b9af-66d1-4cd7-95d1-4b753a64ca6b", "跃入迷城")</f>
        <v>跃入迷城</v>
      </c>
      <c r="R290" t="inlineStr">
        <is>
          <t>4d92b9af-66d1-4cd7-95d1-4b753a64ca6b</t>
        </is>
      </c>
      <c r="S290" t="inlineStr">
        <is>
          <t>0ae3d61b-0343-4e52-b965-661353050ea8</t>
        </is>
      </c>
      <c r="T290">
        <v>0</v>
      </c>
      <c r="U290">
        <v>2</v>
      </c>
      <c r="V290" t="inlineStr">
        <is>
          <t>0.0.5</t>
        </is>
      </c>
      <c r="W290" t="inlineStr">
        <is>
          <t>已完成</t>
        </is>
      </c>
      <c r="X290" t="inlineStr">
        <is>
          <t>🎮玩法</t>
        </is>
      </c>
      <c r="Y290" t="inlineStr">
        <is>
          <t>技能</t>
        </is>
      </c>
      <c r="Z290" t="inlineStr">
        <is>
          <t>P2 - Nice to Have</t>
        </is>
      </c>
      <c r="AA290"/>
      <c r="AB290"/>
      <c r="AC290"/>
      <c r="AD290" t="inlineStr">
        <is>
          <t>NzUzMjAzNDQ5ODk2NDY2ODQ0NDowYWUzZDYxYi0wMzQzLTRlNTItYjk2NS02NjEzNTMwNTBlYTg6ZTBmMDc2NTU3MmE3YmViYTA1ZmNlMTZkOGExZGUzZjE6MQ==</t>
        </is>
      </c>
      <c r="AE290"/>
    </row>
    <row r="291" ht="25.5" customHeight="1">
      <c r="A291" s="2" t="str">
        <f>=HYPERLINK("https://applink.feishu.cn/client/todo/detail?guid=8d41de26-6ccf-4109-b73d-177a9b59ab50&amp;suite_entity_num=t100659", "体力与翻滚冷却 &lt; 🪡修改：彻底更新了场景内、HUD的UI效果")</f>
        <v>体力与翻滚冷却 &lt; 🪡修改：彻底更新了场景内、HUD的UI效果</v>
      </c>
      <c r="B291"/>
      <c r="C291" t="inlineStr">
        <is>
          <t>默认分组</t>
        </is>
      </c>
      <c r="D291" t="inlineStr">
        <is>
          <t>1</t>
        </is>
      </c>
      <c r="E291" t="inlineStr">
        <is>
          <t>或签任务</t>
        </is>
      </c>
      <c r="F291"/>
      <c r="G291" t="inlineStr">
        <is>
          <t>0</t>
        </is>
      </c>
      <c r="H291"/>
      <c r="I291" t="inlineStr">
        <is>
          <t>郭斯已</t>
        </is>
      </c>
      <c r="J291" t="inlineStr">
        <is>
          <t>龚政涛,郭斯已</t>
        </is>
      </c>
      <c r="K291" t="inlineStr">
        <is>
          <t>龚政涛</t>
        </is>
      </c>
      <c r="L291" s="3">
        <v>45758.62782407407</v>
      </c>
      <c r="M291" s="3">
        <v>45881.333333333336</v>
      </c>
      <c r="N291" s="3">
        <v>45890.49041666667</v>
      </c>
      <c r="O291" s="3">
        <v>45883.333333333336</v>
      </c>
      <c r="P291" s="3">
        <v>45890.491423611114</v>
      </c>
      <c r="Q291" s="2" t="str">
        <f>=HYPERLINK("https://applink.feishu.cn/client/todo/task_list?guid=4d92b9af-66d1-4cd7-95d1-4b753a64ca6b", "跃入迷城")</f>
        <v>跃入迷城</v>
      </c>
      <c r="R291" t="inlineStr">
        <is>
          <t>4d92b9af-66d1-4cd7-95d1-4b753a64ca6b</t>
        </is>
      </c>
      <c r="S291" t="inlineStr">
        <is>
          <t>8d41de26-6ccf-4109-b73d-177a9b59ab50</t>
        </is>
      </c>
      <c r="T291">
        <v>0</v>
      </c>
      <c r="U291">
        <v>1</v>
      </c>
      <c r="V291" t="inlineStr">
        <is>
          <t>0.0.5</t>
        </is>
      </c>
      <c r="W291" t="inlineStr">
        <is>
          <t>已完成</t>
        </is>
      </c>
      <c r="X291" t="inlineStr">
        <is>
          <t>🎨艺术</t>
        </is>
      </c>
      <c r="Y291" t="inlineStr">
        <is>
          <t>UIUX</t>
        </is>
      </c>
      <c r="Z291" t="inlineStr">
        <is>
          <t>P2 - Nice to Have</t>
        </is>
      </c>
      <c r="AA291"/>
      <c r="AB291"/>
      <c r="AC291" t="inlineStr">
        <is>
          <t>ee9e782f-8625-473f-ba1b-d97ed6c6e2f9</t>
        </is>
      </c>
      <c r="AD291" t="inlineStr">
        <is>
          <t>NzUzMjAzNDQ5ODk2NDY2ODQ0NDo4ZDQxZGUyNi02Y2NmLTQxMDktYjczZC0xNzdhOWI1OWFiNTA6NGM2NDc4YjA3MDA4Zjg0Y2QwYWRiOTE0NjRiMTY4ZmE6MQ==</t>
        </is>
      </c>
      <c r="AE291">
        <v>4</v>
      </c>
    </row>
    <row r="292" ht="25.5" customHeight="1">
      <c r="A292" s="2" t="str">
        <f>=HYPERLINK("https://applink.feishu.cn/client/todo/detail?guid=70bd6615-8c85-4b53-8d65-a298053fa1b0&amp;suite_entity_num=t100656", "自动制导")</f>
        <v>自动制导</v>
      </c>
      <c r="B292"/>
      <c r="C292" t="inlineStr">
        <is>
          <t>默认分组</t>
        </is>
      </c>
      <c r="D292" t="inlineStr">
        <is>
          <t>1</t>
        </is>
      </c>
      <c r="E292" t="inlineStr">
        <is>
          <t>或签任务</t>
        </is>
      </c>
      <c r="F292"/>
      <c r="G292" t="inlineStr">
        <is>
          <t>0</t>
        </is>
      </c>
      <c r="H292"/>
      <c r="I292" t="inlineStr">
        <is>
          <t>Decay</t>
        </is>
      </c>
      <c r="J292" t="inlineStr">
        <is>
          <t>Decay,龚政涛</t>
        </is>
      </c>
      <c r="K292" t="inlineStr">
        <is>
          <t>Decay</t>
        </is>
      </c>
      <c r="L292" s="3">
        <v>45756.91063657407</v>
      </c>
      <c r="M292" s="3"/>
      <c r="N292" s="3">
        <v>45758.67983796296</v>
      </c>
      <c r="O292" s="3"/>
      <c r="P292" s="3">
        <v>45874.40420138889</v>
      </c>
      <c r="Q292" s="2" t="str">
        <f>=HYPERLINK("https://applink.feishu.cn/client/todo/task_list?guid=4d92b9af-66d1-4cd7-95d1-4b753a64ca6b", "跃入迷城")</f>
        <v>跃入迷城</v>
      </c>
      <c r="R292" t="inlineStr">
        <is>
          <t>4d92b9af-66d1-4cd7-95d1-4b753a64ca6b</t>
        </is>
      </c>
      <c r="S292" t="inlineStr">
        <is>
          <t>70bd6615-8c85-4b53-8d65-a298053fa1b0</t>
        </is>
      </c>
      <c r="T292">
        <v>0</v>
      </c>
      <c r="U292">
        <v>7</v>
      </c>
      <c r="V292" t="inlineStr">
        <is>
          <t>0.0.5</t>
        </is>
      </c>
      <c r="W292" t="inlineStr">
        <is>
          <t>已完成</t>
        </is>
      </c>
      <c r="X292" t="inlineStr">
        <is>
          <t>🎮玩法</t>
        </is>
      </c>
      <c r="Y292" t="inlineStr">
        <is>
          <t>技能</t>
        </is>
      </c>
      <c r="Z292" t="inlineStr">
        <is>
          <t>P0 - Must (not) Have</t>
        </is>
      </c>
      <c r="AA292"/>
      <c r="AB292"/>
      <c r="AC292"/>
      <c r="AD292" t="inlineStr">
        <is>
          <t>NzUzMjAzNDQ5ODk2NDY2ODQ0NDo3MGJkNjYxNS04Yzg1LTRiNTMtOGQ2NS1hMjk4MDUzZmExYjA6ODVhMjczYjE0MDRjNjc4ZjM3NmUwN2Q0NWI0NWMxYzc6MQ==</t>
        </is>
      </c>
      <c r="AE292"/>
    </row>
    <row r="293" ht="25.5" customHeight="1">
      <c r="A293" s="2" t="str">
        <f>=HYPERLINK("https://applink.feishu.cn/client/todo/detail?guid=16d7c4af-1e84-411c-bd9b-9550d5c0e5d9&amp;suite_entity_num=t100660", "调整镜头抖动系统")</f>
        <v>调整镜头抖动系统</v>
      </c>
      <c r="B293" t="inlineStr">
        <is>
          <t xml:space="preserve">前置任务：t100296 </t>
        </is>
      </c>
      <c r="C293" t="inlineStr">
        <is>
          <t>默认分组</t>
        </is>
      </c>
      <c r="D293" t="inlineStr">
        <is>
          <t>1</t>
        </is>
      </c>
      <c r="E293" t="inlineStr">
        <is>
          <t>或签任务</t>
        </is>
      </c>
      <c r="F293"/>
      <c r="G293" t="inlineStr">
        <is>
          <t>0</t>
        </is>
      </c>
      <c r="H293"/>
      <c r="I293" t="inlineStr">
        <is>
          <t>龚政涛</t>
        </is>
      </c>
      <c r="J293" t="inlineStr">
        <is>
          <t>龚政涛</t>
        </is>
      </c>
      <c r="K293" t="inlineStr">
        <is>
          <t>龚政涛</t>
        </is>
      </c>
      <c r="L293" s="3">
        <v>45758.63134259259</v>
      </c>
      <c r="M293" s="3"/>
      <c r="N293" s="3">
        <v>45865.948379629626</v>
      </c>
      <c r="O293" s="3"/>
      <c r="P293" s="3">
        <v>45868.43054398148</v>
      </c>
      <c r="Q293" s="2" t="str">
        <f>=HYPERLINK("https://applink.feishu.cn/client/todo/task_list?guid=4d92b9af-66d1-4cd7-95d1-4b753a64ca6b", "跃入迷城")</f>
        <v>跃入迷城</v>
      </c>
      <c r="R293" t="inlineStr">
        <is>
          <t>4d92b9af-66d1-4cd7-95d1-4b753a64ca6b</t>
        </is>
      </c>
      <c r="S293" t="inlineStr">
        <is>
          <t>16d7c4af-1e84-411c-bd9b-9550d5c0e5d9</t>
        </is>
      </c>
      <c r="T293">
        <v>0</v>
      </c>
      <c r="U293">
        <v>2</v>
      </c>
      <c r="V293" t="inlineStr">
        <is>
          <t>0.0.5</t>
        </is>
      </c>
      <c r="W293" t="inlineStr">
        <is>
          <t>未开始</t>
        </is>
      </c>
      <c r="X293" t="inlineStr">
        <is>
          <t>🛠️技术</t>
        </is>
      </c>
      <c r="Y293" t="inlineStr">
        <is>
          <t>镜头</t>
        </is>
      </c>
      <c r="Z293" t="inlineStr">
        <is>
          <t>P3 - Not Related</t>
        </is>
      </c>
      <c r="AA293"/>
      <c r="AB293"/>
      <c r="AC293"/>
      <c r="AD293" t="inlineStr">
        <is>
          <t>NzUzMjAzNDQ5ODk2NDY2ODQ0NDoxNmQ3YzRhZi0xZTg0LTQxMWMtYmQ5Yi05NTUwZDVjMGU1ZDk6YWY2OTdkMGMxZDllZDU4NTIwOTg5Nzc0YTdlMzVjZGY6MQ==</t>
        </is>
      </c>
      <c r="AE293"/>
    </row>
    <row r="294" ht="25.5" customHeight="1">
      <c r="A294" s="2" t="str">
        <f>=HYPERLINK("https://applink.feishu.cn/client/todo/detail?guid=19402f40-95bf-4b01-9fde-43c57464da05&amp;suite_entity_num=t100668", "减少测试关卡，简化测试流程")</f>
        <v>减少测试关卡，简化测试流程</v>
      </c>
      <c r="B294"/>
      <c r="C294" t="inlineStr">
        <is>
          <t>默认分组</t>
        </is>
      </c>
      <c r="D294" t="inlineStr">
        <is>
          <t>1</t>
        </is>
      </c>
      <c r="E294" t="inlineStr">
        <is>
          <t>或签任务</t>
        </is>
      </c>
      <c r="F294"/>
      <c r="G294" t="inlineStr">
        <is>
          <t>0</t>
        </is>
      </c>
      <c r="H294"/>
      <c r="I294" t="inlineStr">
        <is>
          <t>龚政涛</t>
        </is>
      </c>
      <c r="J294" t="inlineStr">
        <is>
          <t>龚政涛</t>
        </is>
      </c>
      <c r="K294" t="inlineStr">
        <is>
          <t>龚政涛</t>
        </is>
      </c>
      <c r="L294" s="3">
        <v>45766.69876157407</v>
      </c>
      <c r="M294" s="3"/>
      <c r="N294" s="3">
        <v>45868.43329861111</v>
      </c>
      <c r="O294" s="3"/>
      <c r="P294" s="3">
        <v>45868.43329861111</v>
      </c>
      <c r="Q294" s="2" t="str">
        <f>=HYPERLINK("https://applink.feishu.cn/client/todo/task_list?guid=4d92b9af-66d1-4cd7-95d1-4b753a64ca6b", "跃入迷城")</f>
        <v>跃入迷城</v>
      </c>
      <c r="R294" t="inlineStr">
        <is>
          <t>4d92b9af-66d1-4cd7-95d1-4b753a64ca6b</t>
        </is>
      </c>
      <c r="S294" t="inlineStr">
        <is>
          <t>19402f40-95bf-4b01-9fde-43c57464da05</t>
        </is>
      </c>
      <c r="T294">
        <v>0</v>
      </c>
      <c r="U294">
        <v>0</v>
      </c>
      <c r="V294" t="inlineStr">
        <is>
          <t>0.0.5</t>
        </is>
      </c>
      <c r="W294" t="inlineStr">
        <is>
          <t>工作中</t>
        </is>
      </c>
      <c r="X294" t="inlineStr">
        <is>
          <t>🎮玩法</t>
        </is>
      </c>
      <c r="Y294" t="inlineStr">
        <is>
          <t>关卡</t>
        </is>
      </c>
      <c r="Z294" t="inlineStr">
        <is>
          <t>P0 - Must (not) Have</t>
        </is>
      </c>
      <c r="AA294"/>
      <c r="AB294"/>
      <c r="AC294"/>
      <c r="AD294" t="inlineStr">
        <is>
          <t>NzUzMjAzNDQ5ODk2NDY2ODQ0NDoxOTQwMmY0MC05NWJmLTRiMDEtOWZkZS00M2M1NzQ2NGRhMDU6NDU4YjkxMThhNGRlYTNlMzk2NTQwODBhZmExMGE5ODM6MQ==</t>
        </is>
      </c>
      <c r="AE294"/>
    </row>
    <row r="295" ht="25.5" customHeight="1">
      <c r="A295" s="2" t="str">
        <f>=HYPERLINK("https://applink.feishu.cn/client/todo/detail?guid=1b9437c2-5e46-452c-93e4-aeb47a61ef8f&amp;suite_entity_num=t100655", "武器吸附功能2.0")</f>
        <v>武器吸附功能2.0</v>
      </c>
      <c r="B295"/>
      <c r="C295" t="inlineStr">
        <is>
          <t>默认分组</t>
        </is>
      </c>
      <c r="D295" t="inlineStr">
        <is>
          <t>0</t>
        </is>
      </c>
      <c r="E295" t="inlineStr">
        <is>
          <t>或签任务</t>
        </is>
      </c>
      <c r="F295"/>
      <c r="G295" t="inlineStr">
        <is>
          <t>0</t>
        </is>
      </c>
      <c r="H295"/>
      <c r="I295"/>
      <c r="J295" t="inlineStr">
        <is>
          <t>龚政涛</t>
        </is>
      </c>
      <c r="K295" t="inlineStr">
        <is>
          <t>龚政涛</t>
        </is>
      </c>
      <c r="L295" s="3">
        <v>45753.532905092594</v>
      </c>
      <c r="M295" s="3"/>
      <c r="N295" s="3"/>
      <c r="O295" s="3"/>
      <c r="P295" s="3">
        <v>45896.500081018516</v>
      </c>
      <c r="Q295" s="2" t="str">
        <f>=HYPERLINK("https://applink.feishu.cn/client/todo/task_list?guid=4d92b9af-66d1-4cd7-95d1-4b753a64ca6b", "跃入迷城")</f>
        <v>跃入迷城</v>
      </c>
      <c r="R295" t="inlineStr">
        <is>
          <t>4d92b9af-66d1-4cd7-95d1-4b753a64ca6b</t>
        </is>
      </c>
      <c r="S295" t="inlineStr">
        <is>
          <t>1b9437c2-5e46-452c-93e4-aeb47a61ef8f</t>
        </is>
      </c>
      <c r="T295">
        <v>0</v>
      </c>
      <c r="U295">
        <v>0</v>
      </c>
      <c r="V295" t="inlineStr">
        <is>
          <t>0.1.0</t>
        </is>
      </c>
      <c r="W295"/>
      <c r="X295" t="inlineStr">
        <is>
          <t>🛠️技术</t>
        </is>
      </c>
      <c r="Y295" t="inlineStr">
        <is>
          <t>操作</t>
        </is>
      </c>
      <c r="Z295" t="inlineStr">
        <is>
          <t>P3 - Not Related</t>
        </is>
      </c>
      <c r="AA295"/>
      <c r="AB295"/>
      <c r="AC295"/>
      <c r="AD295" t="inlineStr">
        <is>
          <t>NzUzMjAzNDQ5ODk2NDY2ODQ0NDoxYjk0MzdjMi01ZTQ2LTQ1MmMtOTNlNC1hZWI0N2E2MWVmOGY6MzM4MTRhNTEyYTllYzU3ODViZDcwN2M4NDJlOWM0ODM6MQ==</t>
        </is>
      </c>
      <c r="AE295"/>
    </row>
    <row r="296" ht="25.5" customHeight="1">
      <c r="A296" s="2" t="str">
        <f>=HYPERLINK("https://applink.feishu.cn/client/todo/detail?guid=c45e48c2-2365-40c1-82ba-8f2e36a22919&amp;suite_entity_num=t100652", "技能 - 闪亮登场 (Hall/玩家)")</f>
        <v>技能 - 闪亮登场 (Hall/玩家)</v>
      </c>
      <c r="B296"/>
      <c r="C296" t="inlineStr">
        <is>
          <t>默认分组</t>
        </is>
      </c>
      <c r="D296" t="inlineStr">
        <is>
          <t>1</t>
        </is>
      </c>
      <c r="E296" t="inlineStr">
        <is>
          <t>或签任务</t>
        </is>
      </c>
      <c r="F296"/>
      <c r="G296" t="inlineStr">
        <is>
          <t>0</t>
        </is>
      </c>
      <c r="H296"/>
      <c r="I296" t="inlineStr">
        <is>
          <t>Decay</t>
        </is>
      </c>
      <c r="J296" t="inlineStr">
        <is>
          <t>Decay,龚政涛</t>
        </is>
      </c>
      <c r="K296" t="inlineStr">
        <is>
          <t>Decay</t>
        </is>
      </c>
      <c r="L296" s="3">
        <v>45746.861284722225</v>
      </c>
      <c r="M296" s="3"/>
      <c r="N296" s="3">
        <v>45748.493368055555</v>
      </c>
      <c r="O296" s="3"/>
      <c r="P296" s="3">
        <v>45874.40422453704</v>
      </c>
      <c r="Q296" s="2" t="str">
        <f>=HYPERLINK("https://applink.feishu.cn/client/todo/task_list?guid=4d92b9af-66d1-4cd7-95d1-4b753a64ca6b", "跃入迷城")</f>
        <v>跃入迷城</v>
      </c>
      <c r="R296" t="inlineStr">
        <is>
          <t>4d92b9af-66d1-4cd7-95d1-4b753a64ca6b</t>
        </is>
      </c>
      <c r="S296" t="inlineStr">
        <is>
          <t>c45e48c2-2365-40c1-82ba-8f2e36a22919</t>
        </is>
      </c>
      <c r="T296">
        <v>0</v>
      </c>
      <c r="U296">
        <v>27</v>
      </c>
      <c r="V296" t="inlineStr">
        <is>
          <t>0.0.5</t>
        </is>
      </c>
      <c r="W296" t="inlineStr">
        <is>
          <t>已完成</t>
        </is>
      </c>
      <c r="X296" t="inlineStr">
        <is>
          <t>🎮玩法</t>
        </is>
      </c>
      <c r="Y296" t="inlineStr">
        <is>
          <t>技能</t>
        </is>
      </c>
      <c r="Z296" t="inlineStr">
        <is>
          <t>P0 - Must (not) Have</t>
        </is>
      </c>
      <c r="AA296"/>
      <c r="AB296"/>
      <c r="AC296"/>
      <c r="AD296" t="inlineStr">
        <is>
          <t>NzUzMjAzNDQ5ODk2NDY2ODQ0NDpjNDVlNDhjMi0yMzY1LTQwYzEtODJiYS04ZjJlMzZhMjI5MTk6YjlhMmZhNDQ0NTU4YjQ1ZmUxM2Y4NDcyODg1OTUyZTk6MQ==</t>
        </is>
      </c>
      <c r="AE296"/>
    </row>
    <row r="297" ht="25.5" customHeight="1">
      <c r="A297" s="2" t="str">
        <f>=HYPERLINK("https://applink.feishu.cn/client/todo/detail?guid=83514326-e0bf-496c-9de2-407d38650f06&amp;suite_entity_num=t100642", "Section Gate改为双filter解决方向问题")</f>
        <v>Section Gate改为双filter解决方向问题</v>
      </c>
      <c r="B297"/>
      <c r="C297" t="inlineStr">
        <is>
          <t>默认分组</t>
        </is>
      </c>
      <c r="D297" t="inlineStr">
        <is>
          <t>1</t>
        </is>
      </c>
      <c r="E297" t="inlineStr">
        <is>
          <t>或签任务</t>
        </is>
      </c>
      <c r="F297"/>
      <c r="G297" t="inlineStr">
        <is>
          <t>0</t>
        </is>
      </c>
      <c r="H297"/>
      <c r="I297" t="inlineStr">
        <is>
          <t>Decay</t>
        </is>
      </c>
      <c r="J297" t="inlineStr">
        <is>
          <t>龚政涛,Decay</t>
        </is>
      </c>
      <c r="K297" t="inlineStr">
        <is>
          <t>龚政涛</t>
        </is>
      </c>
      <c r="L297" s="3">
        <v>45741.56076388889</v>
      </c>
      <c r="M297" s="3"/>
      <c r="N297" s="3">
        <v>45868.433217592596</v>
      </c>
      <c r="O297" s="3"/>
      <c r="P297" s="3">
        <v>45868.433217592596</v>
      </c>
      <c r="Q297" s="2" t="str">
        <f>=HYPERLINK("https://applink.feishu.cn/client/todo/task_list?guid=4d92b9af-66d1-4cd7-95d1-4b753a64ca6b", "跃入迷城")</f>
        <v>跃入迷城</v>
      </c>
      <c r="R297" t="inlineStr">
        <is>
          <t>4d92b9af-66d1-4cd7-95d1-4b753a64ca6b</t>
        </is>
      </c>
      <c r="S297" t="inlineStr">
        <is>
          <t>83514326-e0bf-496c-9de2-407d38650f06</t>
        </is>
      </c>
      <c r="T297">
        <v>0</v>
      </c>
      <c r="U297">
        <v>1</v>
      </c>
      <c r="V297" t="inlineStr">
        <is>
          <t>0.0.5</t>
        </is>
      </c>
      <c r="W297" t="inlineStr">
        <is>
          <t>待验证</t>
        </is>
      </c>
      <c r="X297" t="inlineStr">
        <is>
          <t>🎮玩法</t>
        </is>
      </c>
      <c r="Y297" t="inlineStr">
        <is>
          <t>关卡</t>
        </is>
      </c>
      <c r="Z297" t="inlineStr">
        <is>
          <t>P0 - Must (not) Have</t>
        </is>
      </c>
      <c r="AA297"/>
      <c r="AB297"/>
      <c r="AC297"/>
      <c r="AD297" t="inlineStr">
        <is>
          <t>NzUzMjAzNDQ5ODk2NDY2ODQ0NDo4MzUxNDMyNi1lMGJmLTQ5NmMtOWRlMi00MDdkMzg2NTBmMDY6NWQwMzIyZDM1MjdhZTUyMDUxYjRkNjM5ZDBhMzRhMjE6MQ==</t>
        </is>
      </c>
      <c r="AE297"/>
    </row>
    <row r="298" ht="25.5" customHeight="1">
      <c r="A298" s="2" t="str">
        <f>=HYPERLINK("https://applink.feishu.cn/client/todo/detail?guid=0ab773e3-759c-4b32-a6b0-e1ea4c0c6d23&amp;suite_entity_num=t100662", "震荡波")</f>
        <v>震荡波</v>
      </c>
      <c r="B298"/>
      <c r="C298" t="inlineStr">
        <is>
          <t>默认分组</t>
        </is>
      </c>
      <c r="D298" t="inlineStr">
        <is>
          <t>1</t>
        </is>
      </c>
      <c r="E298" t="inlineStr">
        <is>
          <t>或签任务</t>
        </is>
      </c>
      <c r="F298"/>
      <c r="G298" t="inlineStr">
        <is>
          <t>0</t>
        </is>
      </c>
      <c r="H298"/>
      <c r="I298" t="inlineStr">
        <is>
          <t>Decay</t>
        </is>
      </c>
      <c r="J298" t="inlineStr">
        <is>
          <t>Decay,龚政涛</t>
        </is>
      </c>
      <c r="K298" t="inlineStr">
        <is>
          <t>Decay</t>
        </is>
      </c>
      <c r="L298" s="3">
        <v>45759.63922453704</v>
      </c>
      <c r="M298" s="3"/>
      <c r="N298" s="3">
        <v>45763.60637731481</v>
      </c>
      <c r="O298" s="3"/>
      <c r="P298" s="3">
        <v>45874.404131944444</v>
      </c>
      <c r="Q298" s="2" t="str">
        <f>=HYPERLINK("https://applink.feishu.cn/client/todo/task_list?guid=4d92b9af-66d1-4cd7-95d1-4b753a64ca6b", "跃入迷城")</f>
        <v>跃入迷城</v>
      </c>
      <c r="R298" t="inlineStr">
        <is>
          <t>4d92b9af-66d1-4cd7-95d1-4b753a64ca6b</t>
        </is>
      </c>
      <c r="S298" t="inlineStr">
        <is>
          <t>0ab773e3-759c-4b32-a6b0-e1ea4c0c6d23</t>
        </is>
      </c>
      <c r="T298">
        <v>0</v>
      </c>
      <c r="U298">
        <v>2</v>
      </c>
      <c r="V298" t="inlineStr">
        <is>
          <t>0.0.5</t>
        </is>
      </c>
      <c r="W298" t="inlineStr">
        <is>
          <t>已完成</t>
        </is>
      </c>
      <c r="X298" t="inlineStr">
        <is>
          <t>🎮玩法</t>
        </is>
      </c>
      <c r="Y298" t="inlineStr">
        <is>
          <t>技能</t>
        </is>
      </c>
      <c r="Z298" t="inlineStr">
        <is>
          <t>P0 - Must (not) Have</t>
        </is>
      </c>
      <c r="AA298"/>
      <c r="AB298"/>
      <c r="AC298"/>
      <c r="AD298" t="inlineStr">
        <is>
          <t>NzUzMjAzNDQ5ODk2NDY2ODQ0NDowYWI3NzNlMy03NTljLTRiMzItYTZiMC1lMWVhNGMwYzZkMjM6NGU2NWIwMGRlNmNhN2M1M2M1ODkyYzZlNWI3ODRiN2Q6MQ==</t>
        </is>
      </c>
      <c r="AE298"/>
    </row>
    <row r="299" ht="25.5" customHeight="1">
      <c r="A299" s="2" t="str">
        <f>=HYPERLINK("https://applink.feishu.cn/client/todo/detail?guid=7268d5a2-ac77-455b-8966-7470b7201897&amp;suite_entity_num=t100663", "技能 - 宣泄")</f>
        <v>技能 - 宣泄</v>
      </c>
      <c r="B299"/>
      <c r="C299" t="inlineStr">
        <is>
          <t>默认分组</t>
        </is>
      </c>
      <c r="D299" t="inlineStr">
        <is>
          <t>1</t>
        </is>
      </c>
      <c r="E299" t="inlineStr">
        <is>
          <t>或签任务</t>
        </is>
      </c>
      <c r="F299"/>
      <c r="G299" t="inlineStr">
        <is>
          <t>0</t>
        </is>
      </c>
      <c r="H299"/>
      <c r="I299" t="inlineStr">
        <is>
          <t>Decay</t>
        </is>
      </c>
      <c r="J299" t="inlineStr">
        <is>
          <t>Decay,龚政涛</t>
        </is>
      </c>
      <c r="K299" t="inlineStr">
        <is>
          <t>Decay</t>
        </is>
      </c>
      <c r="L299" s="3">
        <v>45761.892430555556</v>
      </c>
      <c r="M299" s="3"/>
      <c r="N299" s="3">
        <v>45763.64003472222</v>
      </c>
      <c r="O299" s="3"/>
      <c r="P299" s="3">
        <v>45874.40414351852</v>
      </c>
      <c r="Q299" s="2" t="str">
        <f>=HYPERLINK("https://applink.feishu.cn/client/todo/task_list?guid=4d92b9af-66d1-4cd7-95d1-4b753a64ca6b", "跃入迷城")</f>
        <v>跃入迷城</v>
      </c>
      <c r="R299" t="inlineStr">
        <is>
          <t>4d92b9af-66d1-4cd7-95d1-4b753a64ca6b</t>
        </is>
      </c>
      <c r="S299" t="inlineStr">
        <is>
          <t>7268d5a2-ac77-455b-8966-7470b7201897</t>
        </is>
      </c>
      <c r="T299">
        <v>0</v>
      </c>
      <c r="U299">
        <v>1</v>
      </c>
      <c r="V299" t="inlineStr">
        <is>
          <t>0.0.5</t>
        </is>
      </c>
      <c r="W299" t="inlineStr">
        <is>
          <t>已完成</t>
        </is>
      </c>
      <c r="X299" t="inlineStr">
        <is>
          <t>🎮玩法</t>
        </is>
      </c>
      <c r="Y299" t="inlineStr">
        <is>
          <t>技能</t>
        </is>
      </c>
      <c r="Z299" t="inlineStr">
        <is>
          <t>P2 - Nice to Have</t>
        </is>
      </c>
      <c r="AA299"/>
      <c r="AB299"/>
      <c r="AC299"/>
      <c r="AD299" t="inlineStr">
        <is>
          <t>NzUzMjAzNDQ5ODk2NDY2ODQ0NDo3MjY4ZDVhMi1hYzc3LTQ1NWItODk2Ni03NDcwYjcyMDE4OTc6MWU2ZDMyYzZkZjU2NmVhZTQzNTdmNzAxNGI0YWMxZjk6MQ==</t>
        </is>
      </c>
      <c r="AE299"/>
    </row>
    <row r="300" ht="25.5" customHeight="1">
      <c r="A300" s="2" t="str">
        <f>=HYPERLINK("https://applink.feishu.cn/client/todo/detail?guid=b6d7436e-d23a-4c2d-8f44-6cff5d10f6a4&amp;suite_entity_num=t100661", "体力恢复的冷却计算存在问题")</f>
        <v>体力恢复的冷却计算存在问题</v>
      </c>
      <c r="B300"/>
      <c r="C300" t="inlineStr">
        <is>
          <t>默认分组</t>
        </is>
      </c>
      <c r="D300" t="inlineStr">
        <is>
          <t>0</t>
        </is>
      </c>
      <c r="E300" t="inlineStr">
        <is>
          <t>或签任务</t>
        </is>
      </c>
      <c r="F300"/>
      <c r="G300" t="inlineStr">
        <is>
          <t>0</t>
        </is>
      </c>
      <c r="H300"/>
      <c r="I300"/>
      <c r="J300" t="inlineStr">
        <is>
          <t>龚政涛</t>
        </is>
      </c>
      <c r="K300" t="inlineStr">
        <is>
          <t>龚政涛</t>
        </is>
      </c>
      <c r="L300" s="3">
        <v>45758.63311342592</v>
      </c>
      <c r="M300" s="3"/>
      <c r="N300" s="3"/>
      <c r="O300" s="3"/>
      <c r="P300" s="3">
        <v>45896.50005787037</v>
      </c>
      <c r="Q300" s="2" t="str">
        <f>=HYPERLINK("https://applink.feishu.cn/client/todo/task_list?guid=4d92b9af-66d1-4cd7-95d1-4b753a64ca6b", "跃入迷城")</f>
        <v>跃入迷城</v>
      </c>
      <c r="R300" t="inlineStr">
        <is>
          <t>4d92b9af-66d1-4cd7-95d1-4b753a64ca6b</t>
        </is>
      </c>
      <c r="S300" t="inlineStr">
        <is>
          <t>b6d7436e-d23a-4c2d-8f44-6cff5d10f6a4</t>
        </is>
      </c>
      <c r="T300">
        <v>0</v>
      </c>
      <c r="U300">
        <v>0</v>
      </c>
      <c r="V300"/>
      <c r="W300"/>
      <c r="X300" t="inlineStr">
        <is>
          <t>🛠️技术</t>
        </is>
      </c>
      <c r="Y300" t="inlineStr">
        <is>
          <t>操作</t>
        </is>
      </c>
      <c r="Z300"/>
      <c r="AA300"/>
      <c r="AB300"/>
      <c r="AC300"/>
      <c r="AD300" t="inlineStr">
        <is>
          <t>NzUzMjAzNDQ5ODk2NDY2ODQ0NDpiNmQ3NDM2ZS1kMjNhLTRjMmQtOGY0NC02Y2ZmNWQxMGY2YTQ6NDY4OTMyZDA1YWI4ZWE3NTAwNzFjMzhjNDZiNmI4Yjk6MQ==</t>
        </is>
      </c>
      <c r="AE300"/>
    </row>
    <row r="301" ht="25.5" customHeight="1">
      <c r="A301" s="2" t="str">
        <f>=HYPERLINK("https://applink.feishu.cn/client/todo/detail?guid=219f8d42-1902-4ffe-a63c-f881c1fb449a&amp;suite_entity_num=t100787", "义体技能 - 无声夜 / 影戏")</f>
        <v>义体技能 - 无声夜 / 影戏</v>
      </c>
      <c r="B301"/>
      <c r="C301" t="inlineStr">
        <is>
          <t>默认分组</t>
        </is>
      </c>
      <c r="D301" t="inlineStr">
        <is>
          <t>1</t>
        </is>
      </c>
      <c r="E301" t="inlineStr">
        <is>
          <t>或签任务</t>
        </is>
      </c>
      <c r="F301"/>
      <c r="G301" t="inlineStr">
        <is>
          <t>0</t>
        </is>
      </c>
      <c r="H301"/>
      <c r="I301" t="inlineStr">
        <is>
          <t>Decay</t>
        </is>
      </c>
      <c r="J301" t="inlineStr">
        <is>
          <t>龚政涛,Decay</t>
        </is>
      </c>
      <c r="K301" t="inlineStr">
        <is>
          <t>Decay</t>
        </is>
      </c>
      <c r="L301" s="3">
        <v>45799.89616898148</v>
      </c>
      <c r="M301" s="3"/>
      <c r="N301" s="3">
        <v>45812.43966435185</v>
      </c>
      <c r="O301" s="3"/>
      <c r="P301" s="3">
        <v>45874.404270833336</v>
      </c>
      <c r="Q301" s="2" t="str">
        <f>=HYPERLINK("https://applink.feishu.cn/client/todo/task_list?guid=4d92b9af-66d1-4cd7-95d1-4b753a64ca6b", "跃入迷城")</f>
        <v>跃入迷城</v>
      </c>
      <c r="R301" t="inlineStr">
        <is>
          <t>4d92b9af-66d1-4cd7-95d1-4b753a64ca6b</t>
        </is>
      </c>
      <c r="S301" t="inlineStr">
        <is>
          <t>219f8d42-1902-4ffe-a63c-f881c1fb449a</t>
        </is>
      </c>
      <c r="T301">
        <v>0</v>
      </c>
      <c r="U301">
        <v>1</v>
      </c>
      <c r="V301" t="inlineStr">
        <is>
          <t>0.0.5</t>
        </is>
      </c>
      <c r="W301" t="inlineStr">
        <is>
          <t>已完成</t>
        </is>
      </c>
      <c r="X301" t="inlineStr">
        <is>
          <t>🎮玩法</t>
        </is>
      </c>
      <c r="Y301" t="inlineStr">
        <is>
          <t>技能</t>
        </is>
      </c>
      <c r="Z301" t="inlineStr">
        <is>
          <t>P1 - Bigger the Better</t>
        </is>
      </c>
      <c r="AA301"/>
      <c r="AB301"/>
      <c r="AC301"/>
      <c r="AD301" t="inlineStr">
        <is>
          <t>NzUzMjAzNDQ5ODk2NDY2ODQ0NDoyMTlmOGQ0Mi0xOTAyLTRmZmUtYTYzYy1mODgxYzFmYjQ0OWE6NzE1NzE3NDg5MjIzMTk4MzI4ZDdjYjY5MzAyMDk5MjQ6MQ==</t>
        </is>
      </c>
      <c r="AE301"/>
    </row>
    <row r="302" ht="25.5" customHeight="1">
      <c xml:space="preserve" r="A302" s="2" t="str">
        <f>=HYPERLINK("https://applink.feishu.cn/client/todo/detail?guid=bd00776b-29ef-441a-b8a7-3bfc457d836b&amp;suite_entity_num=t100794", "✨新增：现在游戏可以调整画质选项了，可以在更低配置的设备上运行 ")</f>
        <v>✨新增：现在游戏可以调整画质选项了，可以在更低配置的设备上运行 </v>
      </c>
      <c r="B302"/>
      <c r="C302" t="inlineStr">
        <is>
          <t>默认分组</t>
        </is>
      </c>
      <c r="D302" t="inlineStr">
        <is>
          <t>0</t>
        </is>
      </c>
      <c r="E302" t="inlineStr">
        <is>
          <t>或签任务</t>
        </is>
      </c>
      <c r="F302"/>
      <c r="G302" t="inlineStr">
        <is>
          <t>0</t>
        </is>
      </c>
      <c r="H302"/>
      <c r="I302" t="inlineStr">
        <is>
          <t>Decay</t>
        </is>
      </c>
      <c r="J302" t="inlineStr">
        <is>
          <t>龚政涛,Decay</t>
        </is>
      </c>
      <c r="K302" t="inlineStr">
        <is>
          <t>龚政涛</t>
        </is>
      </c>
      <c r="L302" s="3">
        <v>45800.778344907405</v>
      </c>
      <c r="M302" s="3"/>
      <c r="N302" s="3"/>
      <c r="O302" s="3"/>
      <c r="P302" s="3">
        <v>45896.50083333333</v>
      </c>
      <c r="Q302" s="2" t="str">
        <f>=HYPERLINK("https://applink.feishu.cn/client/todo/task_list?guid=4d92b9af-66d1-4cd7-95d1-4b753a64ca6b", "跃入迷城")</f>
        <v>跃入迷城</v>
      </c>
      <c r="R302" t="inlineStr">
        <is>
          <t>4d92b9af-66d1-4cd7-95d1-4b753a64ca6b</t>
        </is>
      </c>
      <c r="S302" t="inlineStr">
        <is>
          <t>bd00776b-29ef-441a-b8a7-3bfc457d836b</t>
        </is>
      </c>
      <c r="T302">
        <v>0</v>
      </c>
      <c r="U302">
        <v>0</v>
      </c>
      <c r="V302" t="inlineStr">
        <is>
          <t>0.0.5</t>
        </is>
      </c>
      <c r="W302" t="inlineStr">
        <is>
          <t>已拆分</t>
        </is>
      </c>
      <c r="X302" t="inlineStr">
        <is>
          <t>🛠️技术</t>
        </is>
      </c>
      <c r="Y302" t="inlineStr">
        <is>
          <t>程序底层</t>
        </is>
      </c>
      <c r="Z302" t="inlineStr">
        <is>
          <t>P2 - Nice to Have</t>
        </is>
      </c>
      <c r="AA302"/>
      <c r="AB302"/>
      <c r="AC302"/>
      <c r="AD302" t="inlineStr">
        <is>
          <t>NzUzMjAzNDQ5ODk2NDY2ODQ0NDpiZDAwNzc2Yi0yOWVmLTQ0MWEtYjhhNy0zYmZjNDU3ZDgzNmI6OWNmMGZmM2IyYWU5Nzg2YjJmMjE5YjlkMTI0NjIxMzY6MQ==</t>
        </is>
      </c>
      <c r="AE302"/>
    </row>
    <row r="303" ht="25.5" customHeight="1">
      <c xml:space="preserve" r="A303" s="2" t="str">
        <f>=HYPERLINK("https://applink.feishu.cn/client/todo/detail?guid=e71b9659-0505-4182-a2e8-e70df773715f&amp;suite_entity_num=t100752", "🪡修改：武器打印机现在可以正确的显示武器伤害了 ")</f>
        <v>🪡修改：武器打印机现在可以正确的显示武器伤害了 </v>
      </c>
      <c r="B303"/>
      <c r="C303" t="inlineStr">
        <is>
          <t>默认分组</t>
        </is>
      </c>
      <c r="D303" t="inlineStr">
        <is>
          <t>1</t>
        </is>
      </c>
      <c r="E303" t="inlineStr">
        <is>
          <t>或签任务</t>
        </is>
      </c>
      <c r="F303"/>
      <c r="G303" t="inlineStr">
        <is>
          <t>0</t>
        </is>
      </c>
      <c r="H303"/>
      <c r="I303" t="inlineStr">
        <is>
          <t>朱金标</t>
        </is>
      </c>
      <c r="J303" t="inlineStr">
        <is>
          <t>龚政涛,Decay,朱金标</t>
        </is>
      </c>
      <c r="K303" t="inlineStr">
        <is>
          <t>龚政涛</t>
        </is>
      </c>
      <c r="L303" s="3">
        <v>45796.794699074075</v>
      </c>
      <c r="M303" s="3"/>
      <c r="N303" s="3">
        <v>45941.43943287037</v>
      </c>
      <c r="O303" s="3">
        <v>45918.333333333336</v>
      </c>
      <c r="P303" s="3">
        <v>45941.43943287037</v>
      </c>
      <c r="Q303" s="2" t="str">
        <f>=HYPERLINK("https://applink.feishu.cn/client/todo/task_list?guid=4d92b9af-66d1-4cd7-95d1-4b753a64ca6b", "跃入迷城")</f>
        <v>跃入迷城</v>
      </c>
      <c r="R303" t="inlineStr">
        <is>
          <t>4d92b9af-66d1-4cd7-95d1-4b753a64ca6b</t>
        </is>
      </c>
      <c r="S303" t="inlineStr">
        <is>
          <t>e71b9659-0505-4182-a2e8-e70df773715f</t>
        </is>
      </c>
      <c r="T303">
        <v>0</v>
      </c>
      <c r="U303">
        <v>0</v>
      </c>
      <c r="V303" t="inlineStr">
        <is>
          <t>0.0.5</t>
        </is>
      </c>
      <c r="W303"/>
      <c r="X303" t="inlineStr">
        <is>
          <t>🛠️技术</t>
        </is>
      </c>
      <c r="Y303" t="inlineStr">
        <is>
          <t>装备</t>
        </is>
      </c>
      <c r="Z303" t="inlineStr">
        <is>
          <t>P0 - Must (not) Have</t>
        </is>
      </c>
      <c r="AA303"/>
      <c r="AB303" t="inlineStr">
        <is>
          <t>350a3a9a-342b-4547-8bf1-61f409611911</t>
        </is>
      </c>
      <c r="AC303"/>
      <c r="AD303" t="inlineStr">
        <is>
          <t>NzUzMjAzNDQ5ODk2NDY2ODQ0NDplNzFiOTY1OS0wNTA1LTQxODItYTJlOC1lNzBkZjc3MzcxNWY6ODNmNjA2YjBhMTQ2ZGVlYWYyNmM2N2U4MWYxZmJlZjA6MQ==</t>
        </is>
      </c>
      <c r="AE303"/>
    </row>
    <row r="304" ht="25.5" customHeight="1">
      <c xml:space="preserve" r="A304" s="2" t="str">
        <f>=HYPERLINK("https://applink.feishu.cn/client/todo/detail?guid=a05eb32e-9d1e-43b8-b15f-f22f00e964dd&amp;suite_entity_num=t100793", "✨新增：游戏中新增了设置选单 ")</f>
        <v>✨新增：游戏中新增了设置选单 </v>
      </c>
      <c r="B304"/>
      <c r="C304" t="inlineStr">
        <is>
          <t>默认分组</t>
        </is>
      </c>
      <c r="D304" t="inlineStr">
        <is>
          <t>0</t>
        </is>
      </c>
      <c r="E304" t="inlineStr">
        <is>
          <t>或签任务</t>
        </is>
      </c>
      <c r="F304"/>
      <c r="G304" t="inlineStr">
        <is>
          <t>0</t>
        </is>
      </c>
      <c r="H304"/>
      <c r="I304" t="inlineStr">
        <is>
          <t>郭斯已</t>
        </is>
      </c>
      <c r="J304" t="inlineStr">
        <is>
          <t>小林🍃,郭斯已,龚政涛,Decay</t>
        </is>
      </c>
      <c r="K304" t="inlineStr">
        <is>
          <t>龚政涛</t>
        </is>
      </c>
      <c r="L304" s="3">
        <v>45800.77825231481</v>
      </c>
      <c r="M304" s="3">
        <v>45922.333333333336</v>
      </c>
      <c r="N304" s="3"/>
      <c r="O304" s="3">
        <v>45923.333333333336</v>
      </c>
      <c r="P304" s="3">
        <v>45895.501921296294</v>
      </c>
      <c r="Q304" s="2" t="str">
        <f>=HYPERLINK("https://applink.feishu.cn/client/todo/task_list?guid=4d92b9af-66d1-4cd7-95d1-4b753a64ca6b", "跃入迷城")</f>
        <v>跃入迷城</v>
      </c>
      <c r="R304" t="inlineStr">
        <is>
          <t>4d92b9af-66d1-4cd7-95d1-4b753a64ca6b</t>
        </is>
      </c>
      <c r="S304" t="inlineStr">
        <is>
          <t>a05eb32e-9d1e-43b8-b15f-f22f00e964dd</t>
        </is>
      </c>
      <c r="T304">
        <v>0</v>
      </c>
      <c r="U304">
        <v>0</v>
      </c>
      <c r="V304" t="inlineStr">
        <is>
          <t>0.0.5</t>
        </is>
      </c>
      <c r="W304" t="inlineStr">
        <is>
          <t>已拆分</t>
        </is>
      </c>
      <c r="X304" t="inlineStr">
        <is>
          <t>🎨艺术</t>
        </is>
      </c>
      <c r="Y304" t="inlineStr">
        <is>
          <t>UIUX</t>
        </is>
      </c>
      <c r="Z304" t="inlineStr">
        <is>
          <t>P2 - Nice to Have</t>
        </is>
      </c>
      <c r="AA304"/>
      <c r="AB304" t="inlineStr">
        <is>
          <t>a09d162a-b9b4-426f-9dc5-ae92217417bc, 25fd384d-1784-4f88-a18d-0debe989ac18</t>
        </is>
      </c>
      <c r="AC304"/>
      <c r="AD304" t="inlineStr">
        <is>
          <t>NzUzMjAzNDQ5ODk2NDY2ODQ0NDphMDVlYjMyZS05ZDFlLTQzYjgtYjE1Zi1mMjJmMDBlOTY0ZGQ6OTA4Mjg4ODFmMjllNjJmMjhjYThjOTFkZDQxOTFmNWM6MQ==</t>
        </is>
      </c>
      <c r="AE304"/>
    </row>
    <row r="305" ht="25.5" customHeight="1">
      <c xml:space="preserve" r="A305" s="2" t="str">
        <f>=HYPERLINK("https://applink.feishu.cn/client/todo/detail?guid=a09d162a-b9b4-426f-9dc5-ae92217417bc&amp;suite_entity_num=t100806", "✨新增：选项菜单中新增了武器攻击方式的切换功能，现在可以在“传统”和“双武器”方案之间切换 ")</f>
        <v>✨新增：选项菜单中新增了武器攻击方式的切换功能，现在可以在“传统”和“双武器”方案之间切换 </v>
      </c>
      <c r="B305"/>
      <c r="C305" t="inlineStr">
        <is>
          <t>默认分组</t>
        </is>
      </c>
      <c r="D305" t="inlineStr">
        <is>
          <t>0</t>
        </is>
      </c>
      <c r="E305" t="inlineStr">
        <is>
          <t>或签任务</t>
        </is>
      </c>
      <c r="F305"/>
      <c r="G305" t="inlineStr">
        <is>
          <t>0</t>
        </is>
      </c>
      <c r="H305"/>
      <c r="I305" t="inlineStr">
        <is>
          <t>Decay</t>
        </is>
      </c>
      <c r="J305" t="inlineStr">
        <is>
          <t>郭斯已,龚政涛,Decay</t>
        </is>
      </c>
      <c r="K305" t="inlineStr">
        <is>
          <t>龚政涛</t>
        </is>
      </c>
      <c r="L305" s="3">
        <v>45810.91637731482</v>
      </c>
      <c r="M305" s="3">
        <v>45924.333333333336</v>
      </c>
      <c r="N305" s="3"/>
      <c r="O305" s="3">
        <v>45925.333333333336</v>
      </c>
      <c r="P305" s="3">
        <v>45895.501909722225</v>
      </c>
      <c r="Q305" s="2" t="str">
        <f>=HYPERLINK("https://applink.feishu.cn/client/todo/task_list?guid=4d92b9af-66d1-4cd7-95d1-4b753a64ca6b", "跃入迷城")</f>
        <v>跃入迷城</v>
      </c>
      <c r="R305" t="inlineStr">
        <is>
          <t>4d92b9af-66d1-4cd7-95d1-4b753a64ca6b</t>
        </is>
      </c>
      <c r="S305" t="inlineStr">
        <is>
          <t>a09d162a-b9b4-426f-9dc5-ae92217417bc</t>
        </is>
      </c>
      <c r="T305">
        <v>0</v>
      </c>
      <c r="U305">
        <v>0</v>
      </c>
      <c r="V305" t="inlineStr">
        <is>
          <t>0.0.5</t>
        </is>
      </c>
      <c r="W305" t="inlineStr">
        <is>
          <t>已拆分</t>
        </is>
      </c>
      <c r="X305" t="inlineStr">
        <is>
          <t>🛠️技术</t>
        </is>
      </c>
      <c r="Y305" t="inlineStr">
        <is>
          <t>UIUX</t>
        </is>
      </c>
      <c r="Z305" t="inlineStr">
        <is>
          <t>P2 - Nice to Have</t>
        </is>
      </c>
      <c r="AA305" t="inlineStr">
        <is>
          <t>a05eb32e-9d1e-43b8-b15f-f22f00e964dd</t>
        </is>
      </c>
      <c r="AB305"/>
      <c r="AC305"/>
      <c r="AD305" t="inlineStr">
        <is>
          <t>NzUzMjAzNDQ5ODk2NDY2ODQ0NDphMDlkMTYyYS1iOWI0LTQyNmYtOWRjNS1hZTkyMjE3NDE3YmM6ZTAzZjdlYWUyYjA2ZTc4YTgyY2RjZjEzNDE2NDM0ODI6MQ==</t>
        </is>
      </c>
      <c r="AE305"/>
    </row>
    <row r="306" ht="25.5" customHeight="1">
      <c xml:space="preserve" r="A306" s="2" t="str">
        <f>=HYPERLINK("https://applink.feishu.cn/client/todo/detail?guid=33acb82f-b9b1-4ebe-aa2f-a587ffd97005&amp;suite_entity_num=t100771", "🪡修改：更新了战争迷雾区域的视觉效果，现在战争迷雾会正确遮挡未经过的房间内的对象 ")</f>
        <v>🪡修改：更新了战争迷雾区域的视觉效果，现在战争迷雾会正确遮挡未经过的房间内的对象 </v>
      </c>
      <c r="B306"/>
      <c r="C306" t="inlineStr">
        <is>
          <t>默认分组</t>
        </is>
      </c>
      <c r="D306" t="inlineStr">
        <is>
          <t>0</t>
        </is>
      </c>
      <c r="E306" t="inlineStr">
        <is>
          <t>或签任务</t>
        </is>
      </c>
      <c r="F306"/>
      <c r="G306" t="inlineStr">
        <is>
          <t>0</t>
        </is>
      </c>
      <c r="H306">
        <v>0.5</v>
      </c>
      <c r="I306" t="inlineStr">
        <is>
          <t>Decay</t>
        </is>
      </c>
      <c r="J306" t="inlineStr">
        <is>
          <t>龚政涛,林雪菲,Decay</t>
        </is>
      </c>
      <c r="K306" t="inlineStr">
        <is>
          <t>龚政涛</t>
        </is>
      </c>
      <c r="L306" s="3">
        <v>45799.67628472222</v>
      </c>
      <c r="M306" s="3">
        <v>45901.333333333336</v>
      </c>
      <c r="N306" s="3"/>
      <c r="O306" s="3"/>
      <c r="P306" s="3">
        <v>45890.97552083333</v>
      </c>
      <c r="Q306" s="2" t="str">
        <f>=HYPERLINK("https://applink.feishu.cn/client/todo/task_list?guid=4d92b9af-66d1-4cd7-95d1-4b753a64ca6b", "跃入迷城")</f>
        <v>跃入迷城</v>
      </c>
      <c r="R306" t="inlineStr">
        <is>
          <t>4d92b9af-66d1-4cd7-95d1-4b753a64ca6b</t>
        </is>
      </c>
      <c r="S306" t="inlineStr">
        <is>
          <t>33acb82f-b9b1-4ebe-aa2f-a587ffd97005</t>
        </is>
      </c>
      <c r="T306">
        <v>2</v>
      </c>
      <c r="U306">
        <v>0</v>
      </c>
      <c r="V306" t="inlineStr">
        <is>
          <t>0.0.5</t>
        </is>
      </c>
      <c r="W306" t="inlineStr">
        <is>
          <t>未开始</t>
        </is>
      </c>
      <c r="X306"/>
      <c r="Y306" t="inlineStr">
        <is>
          <t>镜头</t>
        </is>
      </c>
      <c r="Z306" t="inlineStr">
        <is>
          <t>P1 - Bigger the Better</t>
        </is>
      </c>
      <c r="AA306"/>
      <c r="AB306"/>
      <c r="AC306"/>
      <c r="AD306" t="inlineStr">
        <is>
          <t>NzUzMjAzNDQ5ODk2NDY2ODQ0NDozM2FjYjgyZi1iOWIxLTRlYmUtYWEyZi1hNTg3ZmZkOTcwMDU6M2E4ZGU4Y2JjMjk4YzQ5YTRkMmQ3NjAyYzJkZDlmOTQ6MQ==</t>
        </is>
      </c>
      <c r="AE306"/>
    </row>
    <row r="307" ht="25.5" customHeight="1">
      <c r="A307" s="2" t="str">
        <f>=HYPERLINK("https://applink.feishu.cn/client/todo/detail?guid=94053b96-27e0-4665-8c4f-c1d8136cf520&amp;suite_entity_num=t100799", "清关镜头拉远 / 移除关灯")</f>
        <v>清关镜头拉远 / 移除关灯</v>
      </c>
      <c r="B307"/>
      <c r="C307" t="inlineStr">
        <is>
          <t>默认分组</t>
        </is>
      </c>
      <c r="D307" t="inlineStr">
        <is>
          <t>1</t>
        </is>
      </c>
      <c r="E307" t="inlineStr">
        <is>
          <t>或签任务</t>
        </is>
      </c>
      <c r="F307"/>
      <c r="G307" t="inlineStr">
        <is>
          <t>0</t>
        </is>
      </c>
      <c r="H307"/>
      <c r="I307" t="inlineStr">
        <is>
          <t>Decay</t>
        </is>
      </c>
      <c r="J307" t="inlineStr">
        <is>
          <t>Decay,龚政涛</t>
        </is>
      </c>
      <c r="K307" t="inlineStr">
        <is>
          <t>Decay</t>
        </is>
      </c>
      <c r="L307" s="3">
        <v>45806.69137731481</v>
      </c>
      <c r="M307" s="3"/>
      <c r="N307" s="3">
        <v>45877.60631944444</v>
      </c>
      <c r="O307" s="3"/>
      <c r="P307" s="3">
        <v>45877.60633101852</v>
      </c>
      <c r="Q307" s="2" t="str">
        <f>=HYPERLINK("https://applink.feishu.cn/client/todo/task_list?guid=4d92b9af-66d1-4cd7-95d1-4b753a64ca6b", "跃入迷城")</f>
        <v>跃入迷城</v>
      </c>
      <c r="R307" t="inlineStr">
        <is>
          <t>4d92b9af-66d1-4cd7-95d1-4b753a64ca6b</t>
        </is>
      </c>
      <c r="S307" t="inlineStr">
        <is>
          <t>94053b96-27e0-4665-8c4f-c1d8136cf520</t>
        </is>
      </c>
      <c r="T307">
        <v>0</v>
      </c>
      <c r="U307">
        <v>1</v>
      </c>
      <c r="V307" t="inlineStr">
        <is>
          <t>0.0.5</t>
        </is>
      </c>
      <c r="W307" t="inlineStr">
        <is>
          <t>待验证</t>
        </is>
      </c>
      <c r="X307" t="inlineStr">
        <is>
          <t>🛠️技术</t>
        </is>
      </c>
      <c r="Y307" t="inlineStr">
        <is>
          <t>镜头</t>
        </is>
      </c>
      <c r="Z307"/>
      <c r="AA307"/>
      <c r="AB307"/>
      <c r="AC307"/>
      <c r="AD307" t="inlineStr">
        <is>
          <t>NzUzMjAzNDQ5ODk2NDY2ODQ0NDo5NDA1M2I5Ni0yN2UwLTQ2NjUtOGM0Zi1jMWQ4MTM2Y2Y1MjA6ZDFlYjJkMGQ3MjU0ZTAwMWNiMmY1YTkxZjNjNTdkZjY6MQ==</t>
        </is>
      </c>
      <c r="AE307"/>
    </row>
    <row r="308" ht="25.5" customHeight="1">
      <c r="A308" s="2" t="str">
        <f>=HYPERLINK("https://applink.feishu.cn/client/todo/detail?guid=b89e74b3-86b8-4ce5-aa37-29c0f4ef51be&amp;suite_entity_num=t100747", "虚血与吸血")</f>
        <v>虚血与吸血</v>
      </c>
      <c r="B308"/>
      <c r="C308" t="inlineStr">
        <is>
          <t>默认分组</t>
        </is>
      </c>
      <c r="D308" t="inlineStr">
        <is>
          <t>1</t>
        </is>
      </c>
      <c r="E308" t="inlineStr">
        <is>
          <t>或签任务</t>
        </is>
      </c>
      <c r="F308"/>
      <c r="G308" t="inlineStr">
        <is>
          <t>0</t>
        </is>
      </c>
      <c r="H308"/>
      <c r="I308" t="inlineStr">
        <is>
          <t>Decay</t>
        </is>
      </c>
      <c r="J308" t="inlineStr">
        <is>
          <t>Decay,龚政涛,朱金标</t>
        </is>
      </c>
      <c r="K308" t="inlineStr">
        <is>
          <t>Decay</t>
        </is>
      </c>
      <c r="L308" s="3">
        <v>45793.95423611111</v>
      </c>
      <c r="M308" s="3"/>
      <c r="N308" s="3">
        <v>45868.432592592595</v>
      </c>
      <c r="O308" s="3"/>
      <c r="P308" s="3">
        <v>45868.432604166665</v>
      </c>
      <c r="Q308" s="2" t="str">
        <f>=HYPERLINK("https://applink.feishu.cn/client/todo/task_list?guid=4d92b9af-66d1-4cd7-95d1-4b753a64ca6b", "跃入迷城")</f>
        <v>跃入迷城</v>
      </c>
      <c r="R308" t="inlineStr">
        <is>
          <t>4d92b9af-66d1-4cd7-95d1-4b753a64ca6b</t>
        </is>
      </c>
      <c r="S308" t="inlineStr">
        <is>
          <t>b89e74b3-86b8-4ce5-aa37-29c0f4ef51be</t>
        </is>
      </c>
      <c r="T308">
        <v>0</v>
      </c>
      <c r="U308">
        <v>1</v>
      </c>
      <c r="V308" t="inlineStr">
        <is>
          <t>0.0.5</t>
        </is>
      </c>
      <c r="W308"/>
      <c r="X308" t="inlineStr">
        <is>
          <t>🛠️技术</t>
        </is>
      </c>
      <c r="Y308" t="inlineStr">
        <is>
          <t>技能</t>
        </is>
      </c>
      <c r="Z308"/>
      <c r="AA308"/>
      <c r="AB308"/>
      <c r="AC308"/>
      <c r="AD308" t="inlineStr">
        <is>
          <t>NzUzMjAzNDQ5ODk2NDY2ODQ0NDpiODllNzRiMy04NmI4LTRjZTUtYWEzNy0yOWMwZjRlZjUxYmU6YWMxNjRkNzExYzgwNmQ2ZTkxN2EzYjFiZTViNWYzYWU6MQ==</t>
        </is>
      </c>
      <c r="AE308"/>
    </row>
    <row r="309" ht="25.5" customHeight="1">
      <c xml:space="preserve" r="A309" s="2" t="str">
        <f>=HYPERLINK("https://applink.feishu.cn/client/todo/detail?guid=d3433274-fd98-4367-9d04-1998c696fe95&amp;suite_entity_num=t100753", "🪡修改：关卡的布局进行了调整，现在关卡内的动线和敌人布置会变得更合理 ")</f>
        <v>🪡修改：关卡的布局进行了调整，现在关卡内的动线和敌人布置会变得更合理 </v>
      </c>
      <c r="B309"/>
      <c r="C309" t="inlineStr">
        <is>
          <t>默认分组</t>
        </is>
      </c>
      <c r="D309" t="inlineStr">
        <is>
          <t>0</t>
        </is>
      </c>
      <c r="E309" t="inlineStr">
        <is>
          <t>或签任务</t>
        </is>
      </c>
      <c r="F309"/>
      <c r="G309" t="inlineStr">
        <is>
          <t>0</t>
        </is>
      </c>
      <c r="H309">
        <v>0.5</v>
      </c>
      <c r="I309" t="inlineStr">
        <is>
          <t>龚政涛</t>
        </is>
      </c>
      <c r="J309" t="inlineStr">
        <is>
          <t>梁旭铖,龚政涛,rio</t>
        </is>
      </c>
      <c r="K309" t="inlineStr">
        <is>
          <t>龚政涛</t>
        </is>
      </c>
      <c r="L309" s="3">
        <v>45796.79491898148</v>
      </c>
      <c r="M309" s="3"/>
      <c r="N309" s="3"/>
      <c r="O309" s="3"/>
      <c r="P309" s="3">
        <v>45950.40827546296</v>
      </c>
      <c r="Q309" s="2" t="str">
        <f>=HYPERLINK("https://applink.feishu.cn/client/todo/task_list?guid=4d92b9af-66d1-4cd7-95d1-4b753a64ca6b", "跃入迷城")</f>
        <v>跃入迷城</v>
      </c>
      <c r="R309" t="inlineStr">
        <is>
          <t>4d92b9af-66d1-4cd7-95d1-4b753a64ca6b</t>
        </is>
      </c>
      <c r="S309" t="inlineStr">
        <is>
          <t>d3433274-fd98-4367-9d04-1998c696fe95</t>
        </is>
      </c>
      <c r="T309">
        <v>2</v>
      </c>
      <c r="U309">
        <v>0</v>
      </c>
      <c r="V309" t="inlineStr">
        <is>
          <t>0.0.5</t>
        </is>
      </c>
      <c r="W309" t="inlineStr">
        <is>
          <t>已拆分</t>
        </is>
      </c>
      <c r="X309"/>
      <c r="Y309" t="inlineStr">
        <is>
          <t>关卡</t>
        </is>
      </c>
      <c r="Z309" t="inlineStr">
        <is>
          <t>P0 - Must (not) Have</t>
        </is>
      </c>
      <c r="AA309"/>
      <c r="AB309"/>
      <c r="AC309"/>
      <c r="AD309" t="inlineStr">
        <is>
          <t>NzUzMjAzNDQ5ODk2NDY2ODQ0NDpkMzQzMzI3NC1mZDk4LTQzNjctOWQwNC0xOTk4YzY5NmZlOTU6MjI0NTcxNTJlYmVmY2ExOTc1M2QxZjhhYjM2NzYwZmU6MQ==</t>
        </is>
      </c>
      <c r="AE309"/>
    </row>
    <row r="310" ht="25.5" customHeight="1">
      <c r="A310" s="2" t="str">
        <f>=HYPERLINK("https://applink.feishu.cn/client/todo/detail?guid=d625e603-ec3f-47f5-9acc-c59eb7a36ba3&amp;suite_entity_num=t100757", "光学迷彩 / 光学扭曲 / 蜃影步")</f>
        <v>光学迷彩 / 光学扭曲 / 蜃影步</v>
      </c>
      <c r="B310"/>
      <c r="C310" t="inlineStr">
        <is>
          <t>默认分组</t>
        </is>
      </c>
      <c r="D310" t="inlineStr">
        <is>
          <t>1</t>
        </is>
      </c>
      <c r="E310" t="inlineStr">
        <is>
          <t>或签任务</t>
        </is>
      </c>
      <c r="F310"/>
      <c r="G310" t="inlineStr">
        <is>
          <t>0</t>
        </is>
      </c>
      <c r="H310"/>
      <c r="I310" t="inlineStr">
        <is>
          <t>Decay</t>
        </is>
      </c>
      <c r="J310" t="inlineStr">
        <is>
          <t>Decay,龚政涛</t>
        </is>
      </c>
      <c r="K310" t="inlineStr">
        <is>
          <t>Decay</t>
        </is>
      </c>
      <c r="L310" s="3">
        <v>45798.843773148146</v>
      </c>
      <c r="M310" s="3"/>
      <c r="N310" s="3">
        <v>45812.439618055556</v>
      </c>
      <c r="O310" s="3"/>
      <c r="P310" s="3">
        <v>45874.40425925926</v>
      </c>
      <c r="Q310" s="2" t="str">
        <f>=HYPERLINK("https://applink.feishu.cn/client/todo/task_list?guid=4d92b9af-66d1-4cd7-95d1-4b753a64ca6b", "跃入迷城")</f>
        <v>跃入迷城</v>
      </c>
      <c r="R310" t="inlineStr">
        <is>
          <t>4d92b9af-66d1-4cd7-95d1-4b753a64ca6b</t>
        </is>
      </c>
      <c r="S310" t="inlineStr">
        <is>
          <t>d625e603-ec3f-47f5-9acc-c59eb7a36ba3</t>
        </is>
      </c>
      <c r="T310">
        <v>0</v>
      </c>
      <c r="U310">
        <v>1</v>
      </c>
      <c r="V310" t="inlineStr">
        <is>
          <t>0.0.5</t>
        </is>
      </c>
      <c r="W310" t="inlineStr">
        <is>
          <t>已完成</t>
        </is>
      </c>
      <c r="X310" t="inlineStr">
        <is>
          <t>🎮玩法</t>
        </is>
      </c>
      <c r="Y310" t="inlineStr">
        <is>
          <t>技能</t>
        </is>
      </c>
      <c r="Z310" t="inlineStr">
        <is>
          <t>P1 - Bigger the Better</t>
        </is>
      </c>
      <c r="AA310"/>
      <c r="AB310"/>
      <c r="AC310"/>
      <c r="AD310" t="inlineStr">
        <is>
          <t>NzUzMjAzNDQ5ODk2NDY2ODQ0NDpkNjI1ZTYwMy1lYzNmLTQ3ZjUtOWFjYy1jNTllYjdhMzZiYTM6ODA1ZDdlMjMwM2QxNTJiMTQzMGJmMzU3NjhmN2FjYTY6MQ==</t>
        </is>
      </c>
      <c r="AE310"/>
    </row>
    <row r="311" ht="25.5" customHeight="1">
      <c r="A311" s="2" t="str">
        <f>=HYPERLINK("https://applink.feishu.cn/client/todo/detail?guid=36440482-4200-4309-ba25-821b89d9ec28&amp;suite_entity_num=t100789", "义体技能 - 匿踪大师")</f>
        <v>义体技能 - 匿踪大师</v>
      </c>
      <c r="B311"/>
      <c r="C311" t="inlineStr">
        <is>
          <t>默认分组</t>
        </is>
      </c>
      <c r="D311" t="inlineStr">
        <is>
          <t>1</t>
        </is>
      </c>
      <c r="E311" t="inlineStr">
        <is>
          <t>或签任务</t>
        </is>
      </c>
      <c r="F311"/>
      <c r="G311" t="inlineStr">
        <is>
          <t>0</t>
        </is>
      </c>
      <c r="H311"/>
      <c r="I311" t="inlineStr">
        <is>
          <t>Decay</t>
        </is>
      </c>
      <c r="J311" t="inlineStr">
        <is>
          <t>龚政涛,Decay</t>
        </is>
      </c>
      <c r="K311" t="inlineStr">
        <is>
          <t>Decay</t>
        </is>
      </c>
      <c r="L311" s="3">
        <v>45800.67925925926</v>
      </c>
      <c r="M311" s="3"/>
      <c r="N311" s="3">
        <v>45812.43953703704</v>
      </c>
      <c r="O311" s="3"/>
      <c r="P311" s="3">
        <v>45874.404282407406</v>
      </c>
      <c r="Q311" s="2" t="str">
        <f>=HYPERLINK("https://applink.feishu.cn/client/todo/task_list?guid=4d92b9af-66d1-4cd7-95d1-4b753a64ca6b", "跃入迷城")</f>
        <v>跃入迷城</v>
      </c>
      <c r="R311" t="inlineStr">
        <is>
          <t>4d92b9af-66d1-4cd7-95d1-4b753a64ca6b</t>
        </is>
      </c>
      <c r="S311" t="inlineStr">
        <is>
          <t>36440482-4200-4309-ba25-821b89d9ec28</t>
        </is>
      </c>
      <c r="T311">
        <v>0</v>
      </c>
      <c r="U311">
        <v>1</v>
      </c>
      <c r="V311" t="inlineStr">
        <is>
          <t>0.0.5</t>
        </is>
      </c>
      <c r="W311" t="inlineStr">
        <is>
          <t>已完成</t>
        </is>
      </c>
      <c r="X311" t="inlineStr">
        <is>
          <t>🎮玩法</t>
        </is>
      </c>
      <c r="Y311" t="inlineStr">
        <is>
          <t>技能</t>
        </is>
      </c>
      <c r="Z311" t="inlineStr">
        <is>
          <t>P1 - Bigger the Better</t>
        </is>
      </c>
      <c r="AA311"/>
      <c r="AB311"/>
      <c r="AC311"/>
      <c r="AD311" t="inlineStr">
        <is>
          <t>NzUzMjAzNDQ5ODk2NDY2ODQ0NDozNjQ0MDQ4Mi00MjAwLTQzMDktYmEyNS04MjFiODlkOWVjMjg6MmYxODU0M2ZmYWRjZGI3YWIxYjU3ODc0MmZkMzQ4Yzk6MQ==</t>
        </is>
      </c>
      <c r="AE311"/>
    </row>
    <row r="312" ht="25.5" customHeight="1">
      <c xml:space="preserve" r="A312" s="2" t="str">
        <f>=HYPERLINK("https://applink.feishu.cn/client/todo/detail?guid=a5cf62f3-364e-4178-813c-251c25ca3aea&amp;suite_entity_num=t100772", "✨新增：战斗状态下的鼠标指针UI，现在鼠标指针会随远程武器后坐力扩散，且会提示攻击和击中，带来更好的反馈和手感 ")</f>
        <v>✨新增：战斗状态下的鼠标指针UI，现在鼠标指针会随远程武器后坐力扩散，且会提示攻击和击中，带来更好的反馈和手感 </v>
      </c>
      <c r="B312"/>
      <c r="C312" t="inlineStr">
        <is>
          <t>默认分组</t>
        </is>
      </c>
      <c r="D312" t="inlineStr">
        <is>
          <t>1</t>
        </is>
      </c>
      <c r="E312" t="inlineStr">
        <is>
          <t>或签任务</t>
        </is>
      </c>
      <c r="F312"/>
      <c r="G312" t="inlineStr">
        <is>
          <t>0</t>
        </is>
      </c>
      <c r="H312"/>
      <c r="I312" t="inlineStr">
        <is>
          <t>Decay</t>
        </is>
      </c>
      <c r="J312" t="inlineStr">
        <is>
          <t>Decay,龚政涛</t>
        </is>
      </c>
      <c r="K312" t="inlineStr">
        <is>
          <t>龚政涛</t>
        </is>
      </c>
      <c r="L312" s="3">
        <v>45799.676620370374</v>
      </c>
      <c r="M312" s="3"/>
      <c r="N312" s="3">
        <v>45810.91621527778</v>
      </c>
      <c r="O312" s="3"/>
      <c r="P312" s="3">
        <v>45868.03761574074</v>
      </c>
      <c r="Q312" s="2" t="str">
        <f>=HYPERLINK("https://applink.feishu.cn/client/todo/task_list?guid=4d92b9af-66d1-4cd7-95d1-4b753a64ca6b", "跃入迷城")</f>
        <v>跃入迷城</v>
      </c>
      <c r="R312" t="inlineStr">
        <is>
          <t>4d92b9af-66d1-4cd7-95d1-4b753a64ca6b</t>
        </is>
      </c>
      <c r="S312" t="inlineStr">
        <is>
          <t>a5cf62f3-364e-4178-813c-251c25ca3aea</t>
        </is>
      </c>
      <c r="T312">
        <v>0</v>
      </c>
      <c r="U312">
        <v>1</v>
      </c>
      <c r="V312" t="inlineStr">
        <is>
          <t>0.0.5</t>
        </is>
      </c>
      <c r="W312" t="inlineStr">
        <is>
          <t>已完成</t>
        </is>
      </c>
      <c r="X312" t="inlineStr">
        <is>
          <t>🎮玩法</t>
        </is>
      </c>
      <c r="Y312" t="inlineStr">
        <is>
          <t>操作</t>
        </is>
      </c>
      <c r="Z312" t="inlineStr">
        <is>
          <t>P0 - Must (not) Have</t>
        </is>
      </c>
      <c r="AA312"/>
      <c r="AB312"/>
      <c r="AC312"/>
      <c r="AD312" t="inlineStr">
        <is>
          <t>NzUzMjAzNDQ5ODk2NDY2ODQ0NDphNWNmNjJmMy0zNjRlLTQxNzgtODEzYy0yNTFjMjVjYTNhZWE6NzU0NDdmZjViOTdjZWJmMGUzZGQ2ZTAzZmRjMWFmNjE6MQ==</t>
        </is>
      </c>
      <c r="AE312"/>
    </row>
    <row r="313" ht="25.5" customHeight="1">
      <c r="A313" s="2" t="str">
        <f>=HYPERLINK("https://applink.feishu.cn/client/todo/detail?guid=1fda7f58-5dbd-45b1-8daf-b331076584fc&amp;suite_entity_num=t100679", "翻滚推动敌人 &lt; 🪡修改：翻滚现在会小幅度推开途径的敌人，以确保玩家不会被多个敌人围困")</f>
        <v>翻滚推动敌人 &lt; 🪡修改：翻滚现在会小幅度推开途径的敌人，以确保玩家不会被多个敌人围困</v>
      </c>
      <c r="B313"/>
      <c r="C313"/>
      <c r="D313" t="inlineStr">
        <is>
          <t>1</t>
        </is>
      </c>
      <c r="E313" t="inlineStr">
        <is>
          <t>或签任务</t>
        </is>
      </c>
      <c r="F313"/>
      <c r="G313" t="inlineStr">
        <is>
          <t>0</t>
        </is>
      </c>
      <c r="H313"/>
      <c r="I313" t="inlineStr">
        <is>
          <t>Decay</t>
        </is>
      </c>
      <c r="J313" t="inlineStr">
        <is>
          <t>Decay,龚政涛</t>
        </is>
      </c>
      <c r="K313" t="inlineStr">
        <is>
          <t>Decay</t>
        </is>
      </c>
      <c r="L313" s="3">
        <v>45775.756886574076</v>
      </c>
      <c r="M313" s="3"/>
      <c r="N313" s="3">
        <v>45812.47530092593</v>
      </c>
      <c r="O313" s="3"/>
      <c r="P313" s="3">
        <v>45868.037523148145</v>
      </c>
      <c r="Q313" s="2" t="str">
        <f>=HYPERLINK("https://applink.feishu.cn/client/todo/task_list?guid=4d92b9af-66d1-4cd7-95d1-4b753a64ca6b", "跃入迷城")</f>
        <v>跃入迷城</v>
      </c>
      <c r="R313" t="inlineStr">
        <is>
          <t>4d92b9af-66d1-4cd7-95d1-4b753a64ca6b</t>
        </is>
      </c>
      <c r="S313" t="inlineStr">
        <is>
          <t>1fda7f58-5dbd-45b1-8daf-b331076584fc</t>
        </is>
      </c>
      <c r="T313">
        <v>0</v>
      </c>
      <c r="U313">
        <v>2</v>
      </c>
      <c r="V313" t="inlineStr">
        <is>
          <t>0.0.5</t>
        </is>
      </c>
      <c r="W313" t="inlineStr">
        <is>
          <t>已完成</t>
        </is>
      </c>
      <c r="X313" t="inlineStr">
        <is>
          <t>🎮玩法</t>
        </is>
      </c>
      <c r="Y313" t="inlineStr">
        <is>
          <t>操作</t>
        </is>
      </c>
      <c r="Z313" t="inlineStr">
        <is>
          <t>P2 - Nice to Have</t>
        </is>
      </c>
      <c r="AA313"/>
      <c r="AB313"/>
      <c r="AC313" t="inlineStr">
        <is>
          <t>3f5923cc-e7eb-404f-9195-cbad5aac3171</t>
        </is>
      </c>
      <c r="AD313" t="inlineStr">
        <is>
          <t>NzUzMjAzNDQ5ODk2NDY2ODQ0NDoxZmRhN2Y1OC01ZGJkLTQ1YjEtOGRhZi1iMzMxMDc2NTg0ZmM6ZjQ0ZjM5MTM1OTNlNTFhMWQ4OGRhNTZkZDIzNzFjOWU6MQ==</t>
        </is>
      </c>
      <c r="AE313"/>
    </row>
    <row r="314" ht="25.5" customHeight="1">
      <c xml:space="preserve" r="A314" s="2" t="str">
        <f>=HYPERLINK("https://applink.feishu.cn/client/todo/detail?guid=61f3ca8c-a917-4fac-819c-fa10b3fd5a3f&amp;suite_entity_num=t100745", "✨新增：护甲现在提供额外的减伤效果，减伤量为{20%} ")</f>
        <v>✨新增：护甲现在提供额外的减伤效果，减伤量为{20%} </v>
      </c>
      <c r="B314"/>
      <c r="C314" t="inlineStr">
        <is>
          <t>默认分组</t>
        </is>
      </c>
      <c r="D314" t="inlineStr">
        <is>
          <t>0</t>
        </is>
      </c>
      <c r="E314" t="inlineStr">
        <is>
          <t>或签任务</t>
        </is>
      </c>
      <c r="F314"/>
      <c r="G314" t="inlineStr">
        <is>
          <t>0</t>
        </is>
      </c>
      <c r="H314"/>
      <c r="I314" t="inlineStr">
        <is>
          <t>Decay</t>
        </is>
      </c>
      <c r="J314" t="inlineStr">
        <is>
          <t>龚政涛,Decay</t>
        </is>
      </c>
      <c r="K314" t="inlineStr">
        <is>
          <t>龚政涛</t>
        </is>
      </c>
      <c r="L314" s="3">
        <v>45792.91877314815</v>
      </c>
      <c r="M314" s="3"/>
      <c r="N314" s="3"/>
      <c r="O314" s="3">
        <v>45918.333333333336</v>
      </c>
      <c r="P314" s="3">
        <v>45918.56009259259</v>
      </c>
      <c r="Q314" s="2" t="str">
        <f>=HYPERLINK("https://applink.feishu.cn/client/todo/task_list?guid=4d92b9af-66d1-4cd7-95d1-4b753a64ca6b", "跃入迷城")</f>
        <v>跃入迷城</v>
      </c>
      <c r="R314" t="inlineStr">
        <is>
          <t>4d92b9af-66d1-4cd7-95d1-4b753a64ca6b</t>
        </is>
      </c>
      <c r="S314" t="inlineStr">
        <is>
          <t>61f3ca8c-a917-4fac-819c-fa10b3fd5a3f</t>
        </is>
      </c>
      <c r="T314">
        <v>0</v>
      </c>
      <c r="U314">
        <v>1</v>
      </c>
      <c r="V314" t="inlineStr">
        <is>
          <t>0.0.5</t>
        </is>
      </c>
      <c r="W314" t="inlineStr">
        <is>
          <t>未开始</t>
        </is>
      </c>
      <c r="X314" t="inlineStr">
        <is>
          <t>🎮玩法</t>
        </is>
      </c>
      <c r="Y314" t="inlineStr">
        <is>
          <t>角色</t>
        </is>
      </c>
      <c r="Z314" t="inlineStr">
        <is>
          <t>P2 - Nice to Have</t>
        </is>
      </c>
      <c r="AA314" t="inlineStr">
        <is>
          <t>9d3e6fd9-8648-4d29-9595-a50d0dbb4c68</t>
        </is>
      </c>
      <c r="AB314"/>
      <c r="AC314"/>
      <c r="AD314" t="inlineStr">
        <is>
          <t>NzUzMjAzNDQ5ODk2NDY2ODQ0NDo2MWYzY2E4Yy1hOTE3LTRmYWMtODE5Yy1mYTEwYjNmZDVhM2Y6NGIzOWM4OTFiOTMzZjNlOTFjOTgyMzEzYWVhZjJmMjM6MQ==</t>
        </is>
      </c>
      <c r="AE314"/>
    </row>
    <row r="315" ht="25.5" customHeight="1">
      <c r="A315" s="2" t="str">
        <f>=HYPERLINK("https://applink.feishu.cn/client/todo/detail?guid=b70eca0b-cf26-43b0-a01d-ea12ca56c338&amp;suite_entity_num=t100726", "义体技能 - 暗杀头脑")</f>
        <v>义体技能 - 暗杀头脑</v>
      </c>
      <c r="B315"/>
      <c r="C315" t="inlineStr">
        <is>
          <t>默认分组</t>
        </is>
      </c>
      <c r="D315" t="inlineStr">
        <is>
          <t>1</t>
        </is>
      </c>
      <c r="E315" t="inlineStr">
        <is>
          <t>或签任务</t>
        </is>
      </c>
      <c r="F315"/>
      <c r="G315" t="inlineStr">
        <is>
          <t>0</t>
        </is>
      </c>
      <c r="H315"/>
      <c r="I315" t="inlineStr">
        <is>
          <t>Decay</t>
        </is>
      </c>
      <c r="J315" t="inlineStr">
        <is>
          <t>Decay,龚政涛</t>
        </is>
      </c>
      <c r="K315" t="inlineStr">
        <is>
          <t>Decay</t>
        </is>
      </c>
      <c r="L315" s="3">
        <v>45791.65521990741</v>
      </c>
      <c r="M315" s="3"/>
      <c r="N315" s="3">
        <v>45812.43945601852</v>
      </c>
      <c r="O315" s="3"/>
      <c r="P315" s="3">
        <v>45874.4041087963</v>
      </c>
      <c r="Q315" s="2" t="str">
        <f>=HYPERLINK("https://applink.feishu.cn/client/todo/task_list?guid=4d92b9af-66d1-4cd7-95d1-4b753a64ca6b", "跃入迷城")</f>
        <v>跃入迷城</v>
      </c>
      <c r="R315" t="inlineStr">
        <is>
          <t>4d92b9af-66d1-4cd7-95d1-4b753a64ca6b</t>
        </is>
      </c>
      <c r="S315" t="inlineStr">
        <is>
          <t>b70eca0b-cf26-43b0-a01d-ea12ca56c338</t>
        </is>
      </c>
      <c r="T315">
        <v>0</v>
      </c>
      <c r="U315">
        <v>1</v>
      </c>
      <c r="V315" t="inlineStr">
        <is>
          <t>0.0.5</t>
        </is>
      </c>
      <c r="W315" t="inlineStr">
        <is>
          <t>已完成</t>
        </is>
      </c>
      <c r="X315" t="inlineStr">
        <is>
          <t>🎮玩法</t>
        </is>
      </c>
      <c r="Y315" t="inlineStr">
        <is>
          <t>技能</t>
        </is>
      </c>
      <c r="Z315" t="inlineStr">
        <is>
          <t>P1 - Bigger the Better</t>
        </is>
      </c>
      <c r="AA315"/>
      <c r="AB315"/>
      <c r="AC315"/>
      <c r="AD315" t="inlineStr">
        <is>
          <t>NzUzMjAzNDQ5ODk2NDY2ODQ0NDpiNzBlY2EwYi1jZjI2LTQzYjAtYTAxZC1lYTEyY2E1NmMzMzg6MzdjNjFhODU5Nzc3YjgwY2Y1NjBkZTQxMGQ3ZTRkY2Q6MQ==</t>
        </is>
      </c>
      <c r="AE315"/>
    </row>
    <row r="316" ht="25.5" customHeight="1">
      <c xml:space="preserve" r="A316" s="2" t="str">
        <f>=HYPERLINK("https://applink.feishu.cn/client/todo/detail?guid=9d3e6fd9-8648-4d29-9595-a50d0dbb4c68&amp;suite_entity_num=t100746", "✨新增：消耗体力现在会恢复“能量”值，主动技能现在要消耗“能量”释放 ")</f>
        <v>✨新增：消耗体力现在会恢复“能量”值，主动技能现在要消耗“能量”释放 </v>
      </c>
      <c r="B316"/>
      <c r="C316" t="inlineStr">
        <is>
          <t>默认分组</t>
        </is>
      </c>
      <c r="D316" t="inlineStr">
        <is>
          <t>0</t>
        </is>
      </c>
      <c r="E316" t="inlineStr">
        <is>
          <t>或签任务</t>
        </is>
      </c>
      <c r="F316"/>
      <c r="G316" t="inlineStr">
        <is>
          <t>0</t>
        </is>
      </c>
      <c r="H316"/>
      <c r="I316" t="inlineStr">
        <is>
          <t>Decay</t>
        </is>
      </c>
      <c r="J316" t="inlineStr">
        <is>
          <t>龚政涛,Decay</t>
        </is>
      </c>
      <c r="K316" t="inlineStr">
        <is>
          <t>龚政涛</t>
        </is>
      </c>
      <c r="L316" s="3">
        <v>45792.91888888889</v>
      </c>
      <c r="M316" s="3"/>
      <c r="N316" s="3"/>
      <c r="O316" s="3">
        <v>45918.333333333336</v>
      </c>
      <c r="P316" s="3">
        <v>45918.560115740744</v>
      </c>
      <c r="Q316" s="2" t="str">
        <f>=HYPERLINK("https://applink.feishu.cn/client/todo/task_list?guid=4d92b9af-66d1-4cd7-95d1-4b753a64ca6b", "跃入迷城")</f>
        <v>跃入迷城</v>
      </c>
      <c r="R316" t="inlineStr">
        <is>
          <t>4d92b9af-66d1-4cd7-95d1-4b753a64ca6b</t>
        </is>
      </c>
      <c r="S316" t="inlineStr">
        <is>
          <t>9d3e6fd9-8648-4d29-9595-a50d0dbb4c68</t>
        </is>
      </c>
      <c r="T316">
        <v>0</v>
      </c>
      <c r="U316">
        <v>2</v>
      </c>
      <c r="V316" t="inlineStr">
        <is>
          <t>0.0.5</t>
        </is>
      </c>
      <c r="W316" t="inlineStr">
        <is>
          <t>未开始</t>
        </is>
      </c>
      <c r="X316" t="inlineStr">
        <is>
          <t>🛠️技术</t>
        </is>
      </c>
      <c r="Y316" t="inlineStr">
        <is>
          <t>角色</t>
        </is>
      </c>
      <c r="Z316" t="inlineStr">
        <is>
          <t>P1 - Bigger the Better</t>
        </is>
      </c>
      <c r="AA316"/>
      <c r="AB316" t="inlineStr">
        <is>
          <t>61f3ca8c-a917-4fac-819c-fa10b3fd5a3f</t>
        </is>
      </c>
      <c r="AC316"/>
      <c r="AD316" t="inlineStr">
        <is>
          <t>NzUzMjAzNDQ5ODk2NDY2ODQ0NDo5ZDNlNmZkOS04NjQ4LTRkMjktOTU5NS1hNTBkMGRiYjRjNjg6YmUzMTEzYzYyODQ4MDdlYTFiNzRkYzJkMDZlMWQzZGI6MQ==</t>
        </is>
      </c>
      <c r="AE316"/>
    </row>
    <row r="317" ht="25.5" customHeight="1">
      <c r="A317" s="2" t="str">
        <f>=HYPERLINK("https://applink.feishu.cn/client/todo/detail?guid=eb3864cf-41d8-4dc6-9bc3-911c11d8ba85&amp;suite_entity_num=t100797", "✨新增：玩家被墙壁遮挡时，会隐藏半墙优化视野")</f>
        <v>✨新增：玩家被墙壁遮挡时，会隐藏半墙优化视野</v>
      </c>
      <c r="B317"/>
      <c r="C317" t="inlineStr">
        <is>
          <t>默认分组</t>
        </is>
      </c>
      <c r="D317" t="inlineStr">
        <is>
          <t>0</t>
        </is>
      </c>
      <c r="E317" t="inlineStr">
        <is>
          <t>或签任务</t>
        </is>
      </c>
      <c r="F317"/>
      <c r="G317" t="inlineStr">
        <is>
          <t>0</t>
        </is>
      </c>
      <c r="H317">
        <v>0.17</v>
      </c>
      <c r="I317" t="inlineStr">
        <is>
          <t>Decay</t>
        </is>
      </c>
      <c r="J317" t="inlineStr">
        <is>
          <t>Decay,龚政涛</t>
        </is>
      </c>
      <c r="K317" t="inlineStr">
        <is>
          <t>Decay</t>
        </is>
      </c>
      <c r="L317" s="3">
        <v>45805.86429398148</v>
      </c>
      <c r="M317" s="3">
        <v>45901.333333333336</v>
      </c>
      <c r="N317" s="3"/>
      <c r="O317" s="3">
        <v>45918.333333333336</v>
      </c>
      <c r="P317" s="3">
        <v>45918.56017361111</v>
      </c>
      <c r="Q317" s="2" t="str">
        <f>=HYPERLINK("https://applink.feishu.cn/client/todo/task_list?guid=4d92b9af-66d1-4cd7-95d1-4b753a64ca6b", "跃入迷城")</f>
        <v>跃入迷城</v>
      </c>
      <c r="R317" t="inlineStr">
        <is>
          <t>4d92b9af-66d1-4cd7-95d1-4b753a64ca6b</t>
        </is>
      </c>
      <c r="S317" t="inlineStr">
        <is>
          <t>eb3864cf-41d8-4dc6-9bc3-911c11d8ba85</t>
        </is>
      </c>
      <c r="T317">
        <v>6</v>
      </c>
      <c r="U317">
        <v>21</v>
      </c>
      <c r="V317" t="inlineStr">
        <is>
          <t>0.0.5</t>
        </is>
      </c>
      <c r="W317"/>
      <c r="X317"/>
      <c r="Y317" t="inlineStr">
        <is>
          <t>关卡</t>
        </is>
      </c>
      <c r="Z317" t="inlineStr">
        <is>
          <t>P0 - Must (not) Have</t>
        </is>
      </c>
      <c r="AA317"/>
      <c r="AB317"/>
      <c r="AC317"/>
      <c r="AD317" t="inlineStr">
        <is>
          <t>NzUzMjAzNDQ5ODk2NDY2ODQ0NDplYjM4NjRjZi00MWQ4LTRkYzYtOWJjMy05MTFjMTFkOGJhODU6MGMxYzQ2MzFiYjViM2IxZDI0NzNkMWEzZmE2YjU2MWM6MQ==</t>
        </is>
      </c>
      <c r="AE317"/>
    </row>
    <row r="318" ht="25.5" customHeight="1">
      <c r="A318" s="2" t="str">
        <f>=HYPERLINK("https://applink.feishu.cn/client/todo/detail?guid=284b0e2f-a6a4-4a4e-99e6-7ed52fccfbc0&amp;suite_entity_num=t100751", "✨新增：受到生命值伤害现在会缓慢扣减“虚血”")</f>
        <v>✨新增：受到生命值伤害现在会缓慢扣减“虚血”</v>
      </c>
      <c r="B318"/>
      <c r="C318" t="inlineStr">
        <is>
          <t>默认分组</t>
        </is>
      </c>
      <c r="D318" t="inlineStr">
        <is>
          <t>1</t>
        </is>
      </c>
      <c r="E318" t="inlineStr">
        <is>
          <t>或签任务</t>
        </is>
      </c>
      <c r="F318"/>
      <c r="G318" t="inlineStr">
        <is>
          <t>0</t>
        </is>
      </c>
      <c r="H318"/>
      <c r="I318" t="inlineStr">
        <is>
          <t>Decay</t>
        </is>
      </c>
      <c r="J318" t="inlineStr">
        <is>
          <t>龚政涛,Decay</t>
        </is>
      </c>
      <c r="K318" t="inlineStr">
        <is>
          <t>龚政涛</t>
        </is>
      </c>
      <c r="L318" s="3">
        <v>45796.79361111111</v>
      </c>
      <c r="M318" s="3"/>
      <c r="N318" s="3">
        <v>45796.794074074074</v>
      </c>
      <c r="O318" s="3"/>
      <c r="P318" s="3">
        <v>45796.794074074074</v>
      </c>
      <c r="Q318" s="2" t="str">
        <f>=HYPERLINK("https://applink.feishu.cn/client/todo/task_list?guid=4d92b9af-66d1-4cd7-95d1-4b753a64ca6b", "跃入迷城")</f>
        <v>跃入迷城</v>
      </c>
      <c r="R318" t="inlineStr">
        <is>
          <t>4d92b9af-66d1-4cd7-95d1-4b753a64ca6b</t>
        </is>
      </c>
      <c r="S318" t="inlineStr">
        <is>
          <t>284b0e2f-a6a4-4a4e-99e6-7ed52fccfbc0</t>
        </is>
      </c>
      <c r="T318">
        <v>0</v>
      </c>
      <c r="U318">
        <v>0</v>
      </c>
      <c r="V318" t="inlineStr">
        <is>
          <t>0.0.5</t>
        </is>
      </c>
      <c r="W318" t="inlineStr">
        <is>
          <t>已完成</t>
        </is>
      </c>
      <c r="X318"/>
      <c r="Y318" t="inlineStr">
        <is>
          <t>角色</t>
        </is>
      </c>
      <c r="Z318" t="inlineStr">
        <is>
          <t>P2 - Nice to Have</t>
        </is>
      </c>
      <c r="AA318"/>
      <c r="AB318"/>
      <c r="AC318"/>
      <c r="AD318" t="inlineStr">
        <is>
          <t>NzUzMjAzNDQ5ODk2NDY2ODQ0NDoyODRiMGUyZi1hNmE0LTRhNGUtOTllNi03ZWQ1MmZjY2ZiYzA6ZjE0Yzc5ODcxOWM1MzhmMTc4OTgwMzgyNjZlODA2MGM6MQ==</t>
        </is>
      </c>
      <c r="AE318"/>
    </row>
    <row r="319" ht="25.5" customHeight="1">
      <c r="A319" s="2" t="str">
        <f>=HYPERLINK("https://applink.feishu.cn/client/todo/detail?guid=ab37eb99-89b0-4b2e-891d-d88034917b55&amp;suite_entity_num=t100776", "🪡修改：完成关卡的视觉效果从红灯提示改为了开阔视野")</f>
        <v>🪡修改：完成关卡的视觉效果从红灯提示改为了开阔视野</v>
      </c>
      <c r="B319"/>
      <c r="C319" t="inlineStr">
        <is>
          <t>默认分组</t>
        </is>
      </c>
      <c r="D319" t="inlineStr">
        <is>
          <t>1</t>
        </is>
      </c>
      <c r="E319" t="inlineStr">
        <is>
          <t>或签任务</t>
        </is>
      </c>
      <c r="F319"/>
      <c r="G319" t="inlineStr">
        <is>
          <t>0</t>
        </is>
      </c>
      <c r="H319"/>
      <c r="I319" t="inlineStr">
        <is>
          <t>Decay,龚政涛</t>
        </is>
      </c>
      <c r="J319" t="inlineStr">
        <is>
          <t>Decay,龚政涛</t>
        </is>
      </c>
      <c r="K319" t="inlineStr">
        <is>
          <t>龚政涛</t>
        </is>
      </c>
      <c r="L319" s="3">
        <v>45799.68696759259</v>
      </c>
      <c r="M319" s="3"/>
      <c r="N319" s="3">
        <v>45890.478541666664</v>
      </c>
      <c r="O319" s="3">
        <v>45901.333333333336</v>
      </c>
      <c r="P319" s="3">
        <v>45890.47855324074</v>
      </c>
      <c r="Q319" s="2" t="str">
        <f>=HYPERLINK("https://applink.feishu.cn/client/todo/task_list?guid=4d92b9af-66d1-4cd7-95d1-4b753a64ca6b", "跃入迷城")</f>
        <v>跃入迷城</v>
      </c>
      <c r="R319" t="inlineStr">
        <is>
          <t>4d92b9af-66d1-4cd7-95d1-4b753a64ca6b</t>
        </is>
      </c>
      <c r="S319" t="inlineStr">
        <is>
          <t>ab37eb99-89b0-4b2e-891d-d88034917b55</t>
        </is>
      </c>
      <c r="T319">
        <v>0</v>
      </c>
      <c r="U319">
        <v>2</v>
      </c>
      <c r="V319" t="inlineStr">
        <is>
          <t>0.0.5</t>
        </is>
      </c>
      <c r="W319" t="inlineStr">
        <is>
          <t>已完成</t>
        </is>
      </c>
      <c r="X319" t="inlineStr">
        <is>
          <t>🎮玩法</t>
        </is>
      </c>
      <c r="Y319" t="inlineStr">
        <is>
          <t>关卡</t>
        </is>
      </c>
      <c r="Z319" t="inlineStr">
        <is>
          <t>P1 - Bigger the Better</t>
        </is>
      </c>
      <c r="AA319"/>
      <c r="AB319"/>
      <c r="AC319"/>
      <c r="AD319" t="inlineStr">
        <is>
          <t>NzUzMjAzNDQ5ODk2NDY2ODQ0NDphYjM3ZWI5OS04OWIwLTRiMmUtODkxZC1kODgwMzQ5MTdiNTU6YjVmMDI1MzAzODNiN2RiZDc5OTgyOWZlYjQ3ZjVhOTY6MQ==</t>
        </is>
      </c>
      <c r="AE319"/>
    </row>
    <row r="320" ht="25.5" customHeight="1">
      <c r="A320" s="2" t="str">
        <f>=HYPERLINK("https://applink.feishu.cn/client/todo/detail?guid=844a233e-0642-45a4-b91f-6845f28b7e2b&amp;suite_entity_num=t100798", "bIsInitial字段")</f>
        <v>bIsInitial字段</v>
      </c>
      <c r="B320"/>
      <c r="C320" t="inlineStr">
        <is>
          <t>默认分组</t>
        </is>
      </c>
      <c r="D320" t="inlineStr">
        <is>
          <t>1</t>
        </is>
      </c>
      <c r="E320" t="inlineStr">
        <is>
          <t>或签任务</t>
        </is>
      </c>
      <c r="F320"/>
      <c r="G320" t="inlineStr">
        <is>
          <t>0</t>
        </is>
      </c>
      <c r="H320"/>
      <c r="I320" t="inlineStr">
        <is>
          <t>Decay</t>
        </is>
      </c>
      <c r="J320" t="inlineStr">
        <is>
          <t>Decay,龚政涛</t>
        </is>
      </c>
      <c r="K320" t="inlineStr">
        <is>
          <t>Decay</t>
        </is>
      </c>
      <c r="L320" s="3">
        <v>45806.689050925925</v>
      </c>
      <c r="M320" s="3">
        <v>45863.333333333336</v>
      </c>
      <c r="N320" s="3">
        <v>45874.40293981481</v>
      </c>
      <c r="O320" s="3">
        <v>45863.333333333336</v>
      </c>
      <c r="P320" s="3">
        <v>45874.40293981481</v>
      </c>
      <c r="Q320" s="2" t="str">
        <f>=HYPERLINK("https://applink.feishu.cn/client/todo/task_list?guid=4d92b9af-66d1-4cd7-95d1-4b753a64ca6b", "跃入迷城")</f>
        <v>跃入迷城</v>
      </c>
      <c r="R320" t="inlineStr">
        <is>
          <t>4d92b9af-66d1-4cd7-95d1-4b753a64ca6b</t>
        </is>
      </c>
      <c r="S320" t="inlineStr">
        <is>
          <t>844a233e-0642-45a4-b91f-6845f28b7e2b</t>
        </is>
      </c>
      <c r="T320">
        <v>0</v>
      </c>
      <c r="U320">
        <v>1</v>
      </c>
      <c r="V320" t="inlineStr">
        <is>
          <t>0.0.5</t>
        </is>
      </c>
      <c r="W320" t="inlineStr">
        <is>
          <t>工作中</t>
        </is>
      </c>
      <c r="X320" t="inlineStr">
        <is>
          <t>🛠️技术</t>
        </is>
      </c>
      <c r="Y320" t="inlineStr">
        <is>
          <t>关卡</t>
        </is>
      </c>
      <c r="Z320"/>
      <c r="AA320"/>
      <c r="AB320"/>
      <c r="AC320"/>
      <c r="AD320" t="inlineStr">
        <is>
          <t>NzUzMjAzNDQ5ODk2NDY2ODQ0NDo4NDRhMjMzZS0wNjQyLTQ1YTQtYjkxZi02ODQ1ZjI4YjdlMmI6YjAxYTY0YjExYzUwYjg2YTkwYWI2NzNkNWNjZjAwZDA6MQ==</t>
        </is>
      </c>
      <c r="AE320"/>
    </row>
    <row r="321" ht="25.5" customHeight="1">
      <c xml:space="preserve" r="A321" s="2" t="str">
        <f>=HYPERLINK("https://applink.feishu.cn/client/todo/detail?guid=637d0774-d17b-4c56-8f3e-5cc29e4be8c1&amp;suite_entity_num=t100807", "🪡修改：所有冲击事件带来的动画变得更明显了 ")</f>
        <v>🪡修改：所有冲击事件带来的动画变得更明显了 </v>
      </c>
      <c r="B321"/>
      <c r="C321" t="inlineStr">
        <is>
          <t>默认分组</t>
        </is>
      </c>
      <c r="D321" t="inlineStr">
        <is>
          <t>0</t>
        </is>
      </c>
      <c r="E321" t="inlineStr">
        <is>
          <t>或签任务</t>
        </is>
      </c>
      <c r="F321"/>
      <c r="G321" t="inlineStr">
        <is>
          <t>0</t>
        </is>
      </c>
      <c r="H321"/>
      <c r="I321" t="inlineStr">
        <is>
          <t>龚政涛</t>
        </is>
      </c>
      <c r="J321" t="inlineStr">
        <is>
          <t>龚政涛</t>
        </is>
      </c>
      <c r="K321" t="inlineStr">
        <is>
          <t>龚政涛</t>
        </is>
      </c>
      <c r="L321" s="3">
        <v>45810.91675925926</v>
      </c>
      <c r="M321" s="3"/>
      <c r="N321" s="3"/>
      <c r="O321" s="3"/>
      <c r="P321" s="3">
        <v>45865.95364583333</v>
      </c>
      <c r="Q321" s="2" t="str">
        <f>=HYPERLINK("https://applink.feishu.cn/client/todo/task_list?guid=4d92b9af-66d1-4cd7-95d1-4b753a64ca6b", "跃入迷城")</f>
        <v>跃入迷城</v>
      </c>
      <c r="R321" t="inlineStr">
        <is>
          <t>4d92b9af-66d1-4cd7-95d1-4b753a64ca6b</t>
        </is>
      </c>
      <c r="S321" t="inlineStr">
        <is>
          <t>637d0774-d17b-4c56-8f3e-5cc29e4be8c1</t>
        </is>
      </c>
      <c r="T321">
        <v>0</v>
      </c>
      <c r="U321">
        <v>0</v>
      </c>
      <c r="V321" t="inlineStr">
        <is>
          <t>0.0.5</t>
        </is>
      </c>
      <c r="W321" t="inlineStr">
        <is>
          <t>未开始</t>
        </is>
      </c>
      <c r="X321" t="inlineStr">
        <is>
          <t>🎨艺术</t>
        </is>
      </c>
      <c r="Y321" t="inlineStr">
        <is>
          <t>动画</t>
        </is>
      </c>
      <c r="Z321" t="inlineStr">
        <is>
          <t>P1 - Bigger the Better</t>
        </is>
      </c>
      <c r="AA321"/>
      <c r="AB321"/>
      <c r="AC321"/>
      <c r="AD321" t="inlineStr">
        <is>
          <t>NzUzMjAzNDQ5ODk2NDY2ODQ0NDo2MzdkMDc3NC1kMTdiLTRjNTYtOGYzZS01Y2MyOWU0YmU4YzE6YjMzZDc5NDc4YTE5NTkxZDYzNjg3YmIzNTExOWM3NTY6MQ==</t>
        </is>
      </c>
      <c r="AE321"/>
    </row>
    <row r="322" ht="25.5" customHeight="1">
      <c xml:space="preserve" r="A322" s="2" t="str">
        <f>=HYPERLINK("https://applink.feishu.cn/client/todo/detail?guid=b5b3cf09-e2af-4f6b-885e-c3afc23421c1&amp;suite_entity_num=t100790", "✨新增：墙壁、地面、门、窗、电梯制作了定制模型，以更好的呈现正式版本的视觉风格 ")</f>
        <v>✨新增：墙壁、地面、门、窗、电梯制作了定制模型，以更好的呈现正式版本的视觉风格 </v>
      </c>
      <c r="B322"/>
      <c r="C322" t="inlineStr">
        <is>
          <t>默认分组</t>
        </is>
      </c>
      <c r="D322" t="inlineStr">
        <is>
          <t>0</t>
        </is>
      </c>
      <c r="E322" t="inlineStr">
        <is>
          <t>或签任务</t>
        </is>
      </c>
      <c r="F322"/>
      <c r="G322" t="inlineStr">
        <is>
          <t>0</t>
        </is>
      </c>
      <c r="H322">
        <v>0.67</v>
      </c>
      <c r="I322" t="inlineStr">
        <is>
          <t>陈吉瑞</t>
        </is>
      </c>
      <c r="J322" t="inlineStr">
        <is>
          <t>龚政涛,惠康,Mizuko,王晶,陈麒升,陈吉瑞</t>
        </is>
      </c>
      <c r="K322" t="inlineStr">
        <is>
          <t>龚政涛</t>
        </is>
      </c>
      <c r="L322" s="3">
        <v>45800.77381944445</v>
      </c>
      <c r="M322" s="3"/>
      <c r="N322" s="3"/>
      <c r="O322" s="3"/>
      <c r="P322" s="3">
        <v>45895.4871875</v>
      </c>
      <c r="Q322" s="2" t="str">
        <f>=HYPERLINK("https://applink.feishu.cn/client/todo/task_list?guid=4d92b9af-66d1-4cd7-95d1-4b753a64ca6b", "跃入迷城")</f>
        <v>跃入迷城</v>
      </c>
      <c r="R322" t="inlineStr">
        <is>
          <t>4d92b9af-66d1-4cd7-95d1-4b753a64ca6b</t>
        </is>
      </c>
      <c r="S322" t="inlineStr">
        <is>
          <t>b5b3cf09-e2af-4f6b-885e-c3afc23421c1</t>
        </is>
      </c>
      <c r="T322">
        <v>6</v>
      </c>
      <c r="U322">
        <v>0</v>
      </c>
      <c r="V322" t="inlineStr">
        <is>
          <t>0.0.5</t>
        </is>
      </c>
      <c r="W322" t="inlineStr">
        <is>
          <t>已拆分</t>
        </is>
      </c>
      <c r="X322" t="inlineStr">
        <is>
          <t>🎨艺术</t>
        </is>
      </c>
      <c r="Y322" t="inlineStr">
        <is>
          <t>模型</t>
        </is>
      </c>
      <c r="Z322" t="inlineStr">
        <is>
          <t>P0 - Must (not) Have</t>
        </is>
      </c>
      <c r="AA322"/>
      <c r="AB322"/>
      <c r="AC322"/>
      <c r="AD322" t="inlineStr">
        <is>
          <t>NzUzMjAzNDQ5ODk2NDY2ODQ0NDpiNWIzY2YwOS1lMmFmLTRmNmItODg1ZS1jM2FmYzIzNDIxYzE6Mzg3NzdmYjM5NWRjMmY2ZjMyZWRhMTViZTMyYjlhZTI6MQ==</t>
        </is>
      </c>
      <c r="AE322"/>
    </row>
    <row r="323" ht="25.5" customHeight="1">
      <c xml:space="preserve" r="A323" s="2" t="str">
        <f>=HYPERLINK("https://applink.feishu.cn/client/todo/detail?guid=b8db2752-14ca-4485-a13b-4754b66a2ce3&amp;suite_entity_num=t100774", "✨新增：武器击中敌人带来的“卡肉”停顿效果，增强了游戏打击手感 ")</f>
        <v>✨新增：武器击中敌人带来的“卡肉”停顿效果，增强了游戏打击手感 </v>
      </c>
      <c r="B323"/>
      <c r="C323" t="inlineStr">
        <is>
          <t>默认分组</t>
        </is>
      </c>
      <c r="D323" t="inlineStr">
        <is>
          <t>1</t>
        </is>
      </c>
      <c r="E323" t="inlineStr">
        <is>
          <t>或签任务</t>
        </is>
      </c>
      <c r="F323"/>
      <c r="G323" t="inlineStr">
        <is>
          <t>0</t>
        </is>
      </c>
      <c r="H323"/>
      <c r="I323" t="inlineStr">
        <is>
          <t>Decay</t>
        </is>
      </c>
      <c r="J323" t="inlineStr">
        <is>
          <t>龚政涛,Decay</t>
        </is>
      </c>
      <c r="K323" t="inlineStr">
        <is>
          <t>龚政涛</t>
        </is>
      </c>
      <c r="L323" s="3">
        <v>45799.676770833335</v>
      </c>
      <c r="M323" s="3"/>
      <c r="N323" s="3">
        <v>45799.67674768518</v>
      </c>
      <c r="O323" s="3"/>
      <c r="P323" s="3">
        <v>45866.67383101852</v>
      </c>
      <c r="Q323" s="2" t="str">
        <f>=HYPERLINK("https://applink.feishu.cn/client/todo/task_list?guid=4d92b9af-66d1-4cd7-95d1-4b753a64ca6b", "跃入迷城")</f>
        <v>跃入迷城</v>
      </c>
      <c r="R323" t="inlineStr">
        <is>
          <t>4d92b9af-66d1-4cd7-95d1-4b753a64ca6b</t>
        </is>
      </c>
      <c r="S323" t="inlineStr">
        <is>
          <t>b8db2752-14ca-4485-a13b-4754b66a2ce3</t>
        </is>
      </c>
      <c r="T323">
        <v>0</v>
      </c>
      <c r="U323">
        <v>0</v>
      </c>
      <c r="V323" t="inlineStr">
        <is>
          <t>0.0.5</t>
        </is>
      </c>
      <c r="W323"/>
      <c r="X323"/>
      <c r="Y323"/>
      <c r="Z323"/>
      <c r="AA323"/>
      <c r="AB323"/>
      <c r="AC323"/>
      <c r="AD323" t="inlineStr">
        <is>
          <t>NzUzMjAzNDQ5ODk2NDY2ODQ0NDpiOGRiMjc1Mi0xNGNhLTQ0ODUtYTEzYi00NzU0YjY2YTJjZTM6MDMzODUxYzcxMGQ5MTdkMDc3YTEyNWE1NzU3ZmVkOTM6MQ==</t>
        </is>
      </c>
      <c r="AE323"/>
    </row>
    <row r="324" ht="25.5" customHeight="1">
      <c r="A324" s="2" t="str">
        <f>=HYPERLINK("https://applink.feishu.cn/client/todo/detail?guid=b2477bcf-aa1b-4767-9ae0-8e84efce9005&amp;suite_entity_num=t100810", "🪡修改：调整了音效的触发机制、新增了音效资产")</f>
        <v>🪡修改：调整了音效的触发机制、新增了音效资产</v>
      </c>
      <c r="B324"/>
      <c r="C324" t="inlineStr">
        <is>
          <t>默认分组</t>
        </is>
      </c>
      <c r="D324" t="inlineStr">
        <is>
          <t>0</t>
        </is>
      </c>
      <c r="E324" t="inlineStr">
        <is>
          <t>或签任务</t>
        </is>
      </c>
      <c r="F324"/>
      <c r="G324" t="inlineStr">
        <is>
          <t>0</t>
        </is>
      </c>
      <c r="H324"/>
      <c r="I324" t="inlineStr">
        <is>
          <t>Decay</t>
        </is>
      </c>
      <c r="J324" t="inlineStr">
        <is>
          <t>龚政涛,Decay</t>
        </is>
      </c>
      <c r="K324" t="inlineStr">
        <is>
          <t>龚政涛</t>
        </is>
      </c>
      <c r="L324" s="3">
        <v>45812.43509259259</v>
      </c>
      <c r="M324" s="3"/>
      <c r="N324" s="3"/>
      <c r="O324" s="3"/>
      <c r="P324" s="3">
        <v>45866.67018518518</v>
      </c>
      <c r="Q324" s="2" t="str">
        <f>=HYPERLINK("https://applink.feishu.cn/client/todo/task_list?guid=4d92b9af-66d1-4cd7-95d1-4b753a64ca6b", "跃入迷城")</f>
        <v>跃入迷城</v>
      </c>
      <c r="R324" t="inlineStr">
        <is>
          <t>4d92b9af-66d1-4cd7-95d1-4b753a64ca6b</t>
        </is>
      </c>
      <c r="S324" t="inlineStr">
        <is>
          <t>b2477bcf-aa1b-4767-9ae0-8e84efce9005</t>
        </is>
      </c>
      <c r="T324">
        <v>0</v>
      </c>
      <c r="U324">
        <v>0</v>
      </c>
      <c r="V324" t="inlineStr">
        <is>
          <t>0.0.5</t>
        </is>
      </c>
      <c r="W324" t="inlineStr">
        <is>
          <t>未开始</t>
        </is>
      </c>
      <c r="X324" t="inlineStr">
        <is>
          <t>🛠️技术</t>
        </is>
      </c>
      <c r="Y324" t="inlineStr">
        <is>
          <t>音乐</t>
        </is>
      </c>
      <c r="Z324" t="inlineStr">
        <is>
          <t>P1 - Bigger the Better</t>
        </is>
      </c>
      <c r="AA324"/>
      <c r="AB324"/>
      <c r="AC324"/>
      <c r="AD324" t="inlineStr">
        <is>
          <t>NzUzMjAzNDQ5ODk2NDY2ODQ0NDpiMjQ3N2JjZi1hYTFiLTQ3NjctOWFlMC04ZTg0ZWZjZTkwMDU6YjczZWJiY2EwZTgxYmQ1NzMwMmQzNGQ4NzM4NjA4NWE6MQ==</t>
        </is>
      </c>
      <c r="AE324"/>
    </row>
    <row r="325" ht="25.5" customHeight="1">
      <c r="A325" s="2" t="str">
        <f>=HYPERLINK("https://applink.feishu.cn/client/todo/detail?guid=3f5923cc-e7eb-404f-9195-cbad5aac3171&amp;suite_entity_num=t100777", "🪡修改：翻滚现在会小幅度推开途径的敌人，以确保玩家不会被多个敌人围困")</f>
        <v>🪡修改：翻滚现在会小幅度推开途径的敌人，以确保玩家不会被多个敌人围困</v>
      </c>
      <c r="B325"/>
      <c r="C325" t="inlineStr">
        <is>
          <t>默认分组</t>
        </is>
      </c>
      <c r="D325" t="inlineStr">
        <is>
          <t>1</t>
        </is>
      </c>
      <c r="E325" t="inlineStr">
        <is>
          <t>或签任务</t>
        </is>
      </c>
      <c r="F325"/>
      <c r="G325" t="inlineStr">
        <is>
          <t>0</t>
        </is>
      </c>
      <c r="H325">
        <v>0.33</v>
      </c>
      <c r="I325" t="inlineStr">
        <is>
          <t>Decay</t>
        </is>
      </c>
      <c r="J325" t="inlineStr">
        <is>
          <t>龚政涛,Decay</t>
        </is>
      </c>
      <c r="K325" t="inlineStr">
        <is>
          <t>龚政涛</t>
        </is>
      </c>
      <c r="L325" s="3">
        <v>45799.68923611111</v>
      </c>
      <c r="M325" s="3"/>
      <c r="N325" s="3">
        <v>45799.68920138889</v>
      </c>
      <c r="O325" s="3"/>
      <c r="P325" s="3">
        <v>45868.03712962963</v>
      </c>
      <c r="Q325" s="2" t="str">
        <f>=HYPERLINK("https://applink.feishu.cn/client/todo/task_list?guid=4d92b9af-66d1-4cd7-95d1-4b753a64ca6b", "跃入迷城")</f>
        <v>跃入迷城</v>
      </c>
      <c r="R325" t="inlineStr">
        <is>
          <t>4d92b9af-66d1-4cd7-95d1-4b753a64ca6b</t>
        </is>
      </c>
      <c r="S325" t="inlineStr">
        <is>
          <t>3f5923cc-e7eb-404f-9195-cbad5aac3171</t>
        </is>
      </c>
      <c r="T325">
        <v>3</v>
      </c>
      <c r="U325">
        <v>0</v>
      </c>
      <c r="V325" t="inlineStr">
        <is>
          <t>0.0.5</t>
        </is>
      </c>
      <c r="W325" t="inlineStr">
        <is>
          <t>已完成</t>
        </is>
      </c>
      <c r="X325" t="inlineStr">
        <is>
          <t>🎮玩法</t>
        </is>
      </c>
      <c r="Y325" t="inlineStr">
        <is>
          <t>操作</t>
        </is>
      </c>
      <c r="Z325" t="inlineStr">
        <is>
          <t>P1 - Bigger the Better</t>
        </is>
      </c>
      <c r="AA325"/>
      <c r="AB325"/>
      <c r="AC325"/>
      <c r="AD325" t="inlineStr">
        <is>
          <t>NzUzMjAzNDQ5ODk2NDY2ODQ0NDozZjU5MjNjYy1lN2ViLTQwNGYtOTE5NS1jYmFkNWFhYzMxNzE6NzJiNTMwYTNlZDZiMDcwYTAxOGI3NmI0MGY5YjAxMTI6MQ==</t>
        </is>
      </c>
      <c r="AE325"/>
    </row>
    <row r="326" ht="25.5" customHeight="1">
      <c xml:space="preserve" r="A326" s="2" t="str">
        <f>=HYPERLINK("https://applink.feishu.cn/client/todo/detail?guid=ac428c2f-96e9-4cd8-83aa-b78ec9473ea1&amp;suite_entity_num=t100758", "✨新增：平级关卡切换的功能：玩家现在可以在同一个游戏强度（Level）下，访问其他地图，进行额外的挑战以获得额外奖励，该访问功能需要消耗特定的局内资源，同样的资源也可以用于刷新奖励 ")</f>
        <v>✨新增：平级关卡切换的功能：玩家现在可以在同一个游戏强度（Level）下，访问其他地图，进行额外的挑战以获得额外奖励，该访问功能需要消耗特定的局内资源，同样的资源也可以用于刷新奖励 </v>
      </c>
      <c r="B326"/>
      <c r="C326" t="inlineStr">
        <is>
          <t>默认分组</t>
        </is>
      </c>
      <c r="D326" t="inlineStr">
        <is>
          <t>0</t>
        </is>
      </c>
      <c r="E326" t="inlineStr">
        <is>
          <t>或签任务</t>
        </is>
      </c>
      <c r="F326"/>
      <c r="G326" t="inlineStr">
        <is>
          <t>0</t>
        </is>
      </c>
      <c r="H326">
        <v>0</v>
      </c>
      <c r="I326" t="inlineStr">
        <is>
          <t>Decay</t>
        </is>
      </c>
      <c r="J326" t="inlineStr">
        <is>
          <t>龚政涛,Decay</t>
        </is>
      </c>
      <c r="K326" t="inlineStr">
        <is>
          <t>龚政涛</t>
        </is>
      </c>
      <c r="L326" s="3">
        <v>45799.67493055556</v>
      </c>
      <c r="M326" s="3">
        <v>45902.333333333336</v>
      </c>
      <c r="N326" s="3"/>
      <c r="O326" s="3">
        <v>45912.333333333336</v>
      </c>
      <c r="P326" s="3">
        <v>45918.56178240741</v>
      </c>
      <c r="Q326" s="2" t="str">
        <f>=HYPERLINK("https://applink.feishu.cn/client/todo/task_list?guid=4d92b9af-66d1-4cd7-95d1-4b753a64ca6b", "跃入迷城")</f>
        <v>跃入迷城</v>
      </c>
      <c r="R326" t="inlineStr">
        <is>
          <t>4d92b9af-66d1-4cd7-95d1-4b753a64ca6b</t>
        </is>
      </c>
      <c r="S326" t="inlineStr">
        <is>
          <t>ac428c2f-96e9-4cd8-83aa-b78ec9473ea1</t>
        </is>
      </c>
      <c r="T326">
        <v>3</v>
      </c>
      <c r="U326">
        <v>0</v>
      </c>
      <c r="V326" t="inlineStr">
        <is>
          <t>0.0.5</t>
        </is>
      </c>
      <c r="W326"/>
      <c r="X326"/>
      <c r="Y326" t="inlineStr">
        <is>
          <t>关卡</t>
        </is>
      </c>
      <c r="Z326" t="inlineStr">
        <is>
          <t>P0 - Must (not) Have</t>
        </is>
      </c>
      <c r="AA326" t="inlineStr">
        <is>
          <t>f13757d5-44f3-4120-ace3-8e2d59451c18</t>
        </is>
      </c>
      <c r="AB326" t="inlineStr">
        <is>
          <t>a724068f-9a4d-422a-b877-271742bcd7a4</t>
        </is>
      </c>
      <c r="AC326"/>
      <c r="AD326" t="inlineStr">
        <is>
          <t>NzUzMjAzNDQ5ODk2NDY2ODQ0NDphYzQyOGMyZi05NmU5LTRjZDgtODNhYS1iNzhlYzk0NzNlYTE6NDlmMTA4MjY0YzZjY2U0OTYyMmExYjYwMjE3Mzk4ODk6MQ==</t>
        </is>
      </c>
      <c r="AE326"/>
    </row>
    <row r="327" ht="25.5" customHeight="1">
      <c xml:space="preserve" r="A327" s="2" t="str">
        <f>=HYPERLINK("https://applink.feishu.cn/client/todo/detail?guid=ea302a4f-03b4-4cf3-8297-67793f05d094&amp;suite_entity_num=t100809", "新撤退逻辑 &lt; ✨新增：玩家现在需要在逃生阳台等待一段时间才能顺利逃生，期间，整张地图的敌人都会知道玩家的位置 ")</f>
        <v>新撤退逻辑 &lt; ✨新增：玩家现在需要在逃生阳台等待一段时间才能顺利逃生，期间，整张地图的敌人都会知道玩家的位置 </v>
      </c>
      <c r="B327"/>
      <c r="C327"/>
      <c r="D327" t="inlineStr">
        <is>
          <t>1</t>
        </is>
      </c>
      <c r="E327" t="inlineStr">
        <is>
          <t>或签任务</t>
        </is>
      </c>
      <c r="F327"/>
      <c r="G327" t="inlineStr">
        <is>
          <t>0</t>
        </is>
      </c>
      <c r="H327"/>
      <c r="I327" t="inlineStr">
        <is>
          <t>Decay</t>
        </is>
      </c>
      <c r="J327" t="inlineStr">
        <is>
          <t>Decay,龚政涛</t>
        </is>
      </c>
      <c r="K327" t="inlineStr">
        <is>
          <t>Decay</t>
        </is>
      </c>
      <c r="L327" s="3">
        <v>45811.965416666666</v>
      </c>
      <c r="M327" s="3">
        <v>45811.333333333336</v>
      </c>
      <c r="N327" s="3">
        <v>45874.40944444444</v>
      </c>
      <c r="O327" s="3">
        <v>45812.333333333336</v>
      </c>
      <c r="P327" s="3">
        <v>45874.40944444444</v>
      </c>
      <c r="Q327" s="2" t="str">
        <f>=HYPERLINK("https://applink.feishu.cn/client/todo/task_list?guid=4d92b9af-66d1-4cd7-95d1-4b753a64ca6b", "跃入迷城")</f>
        <v>跃入迷城</v>
      </c>
      <c r="R327" t="inlineStr">
        <is>
          <t>4d92b9af-66d1-4cd7-95d1-4b753a64ca6b</t>
        </is>
      </c>
      <c r="S327" t="inlineStr">
        <is>
          <t>ea302a4f-03b4-4cf3-8297-67793f05d094</t>
        </is>
      </c>
      <c r="T327">
        <v>0</v>
      </c>
      <c r="U327">
        <v>4</v>
      </c>
      <c r="V327" t="inlineStr">
        <is>
          <t>0.0.5</t>
        </is>
      </c>
      <c r="W327" t="inlineStr">
        <is>
          <t>待验证</t>
        </is>
      </c>
      <c r="X327" t="inlineStr">
        <is>
          <t>🎮玩法</t>
        </is>
      </c>
      <c r="Y327" t="inlineStr">
        <is>
          <t>关卡</t>
        </is>
      </c>
      <c r="Z327" t="inlineStr">
        <is>
          <t>P0 - Must (not) Have</t>
        </is>
      </c>
      <c r="AA327"/>
      <c r="AB327"/>
      <c r="AC327" t="inlineStr">
        <is>
          <t>2be821f0-cb1c-432a-b432-3aaa3e40ac99</t>
        </is>
      </c>
      <c r="AD327" t="inlineStr">
        <is>
          <t>NzUzMjAzNDQ5ODk2NDY2ODQ0NDplYTMwMmE0Zi0wM2I0LTRjZjMtODI5Ny02Nzc5M2YwNWQwOTQ6YjhjNmJjYjYyMGFjMzhiNjlkYTA1NWViNjk5YjhjMTI6MQ==</t>
        </is>
      </c>
      <c r="AE327"/>
    </row>
    <row r="328" ht="25.5" customHeight="1">
      <c xml:space="preserve" r="A328" s="2" t="str">
        <f>=HYPERLINK("https://applink.feishu.cn/client/todo/detail?guid=2be821f0-cb1c-432a-b432-3aaa3e40ac99&amp;suite_entity_num=t100768", "✨新增：玩家现在需要在逃生阳台等待一段时间才能顺利逃生，期间，整张地图的敌人都会知道玩家的位置 ")</f>
        <v>✨新增：玩家现在需要在逃生阳台等待一段时间才能顺利逃生，期间，整张地图的敌人都会知道玩家的位置 </v>
      </c>
      <c r="B328"/>
      <c r="C328" t="inlineStr">
        <is>
          <t>默认分组</t>
        </is>
      </c>
      <c r="D328" t="inlineStr">
        <is>
          <t>1</t>
        </is>
      </c>
      <c r="E328" t="inlineStr">
        <is>
          <t>或签任务</t>
        </is>
      </c>
      <c r="F328"/>
      <c r="G328" t="inlineStr">
        <is>
          <t>0</t>
        </is>
      </c>
      <c r="H328">
        <v>1</v>
      </c>
      <c r="I328" t="inlineStr">
        <is>
          <t>Decay</t>
        </is>
      </c>
      <c r="J328" t="inlineStr">
        <is>
          <t>龚政涛,Decay</t>
        </is>
      </c>
      <c r="K328" t="inlineStr">
        <is>
          <t>龚政涛</t>
        </is>
      </c>
      <c r="L328" s="3">
        <v>45799.67591435185</v>
      </c>
      <c r="M328" s="3"/>
      <c r="N328" s="3">
        <v>45877.627430555556</v>
      </c>
      <c r="O328" s="3"/>
      <c r="P328" s="3">
        <v>45877.62744212963</v>
      </c>
      <c r="Q328" s="2" t="str">
        <f>=HYPERLINK("https://applink.feishu.cn/client/todo/task_list?guid=4d92b9af-66d1-4cd7-95d1-4b753a64ca6b", "跃入迷城")</f>
        <v>跃入迷城</v>
      </c>
      <c r="R328" t="inlineStr">
        <is>
          <t>4d92b9af-66d1-4cd7-95d1-4b753a64ca6b</t>
        </is>
      </c>
      <c r="S328" t="inlineStr">
        <is>
          <t>2be821f0-cb1c-432a-b432-3aaa3e40ac99</t>
        </is>
      </c>
      <c r="T328">
        <v>1</v>
      </c>
      <c r="U328">
        <v>0</v>
      </c>
      <c r="V328" t="inlineStr">
        <is>
          <t>0.0.5</t>
        </is>
      </c>
      <c r="W328" t="inlineStr">
        <is>
          <t>工作中</t>
        </is>
      </c>
      <c r="X328" t="inlineStr">
        <is>
          <t>🎮玩法</t>
        </is>
      </c>
      <c r="Y328" t="inlineStr">
        <is>
          <t>关卡</t>
        </is>
      </c>
      <c r="Z328" t="inlineStr">
        <is>
          <t>P0 - Must (not) Have</t>
        </is>
      </c>
      <c r="AA328"/>
      <c r="AB328"/>
      <c r="AC328"/>
      <c r="AD328" t="inlineStr">
        <is>
          <t>NzUzMjAzNDQ5ODk2NDY2ODQ0NDoyYmU4MjFmMC1jYjFjLTQzMmEtYjQzMi0zYWFhM2U0MGFjOTk6NDFjMjJkZGU1Mzc1NzU3MTY3ZjA2ZGFlM2EyMTgzMTk6MQ==</t>
        </is>
      </c>
      <c r="AE328"/>
    </row>
    <row r="329" ht="25.5" customHeight="1">
      <c r="A329" s="2" t="str">
        <f>=HYPERLINK("https://applink.feishu.cn/client/todo/detail?guid=f21b3f5f-97d8-456a-97a3-73bbd9289375&amp;suite_entity_num=t100808", "✨新增：游戏现在支持XBOX（或同协议）手柄游玩")</f>
        <v>✨新增：游戏现在支持XBOX（或同协议）手柄游玩</v>
      </c>
      <c r="B329"/>
      <c r="C329" t="inlineStr">
        <is>
          <t>默认分组</t>
        </is>
      </c>
      <c r="D329" t="inlineStr">
        <is>
          <t>0</t>
        </is>
      </c>
      <c r="E329" t="inlineStr">
        <is>
          <t>或签任务</t>
        </is>
      </c>
      <c r="F329"/>
      <c r="G329" t="inlineStr">
        <is>
          <t>0</t>
        </is>
      </c>
      <c r="H329"/>
      <c r="I329" t="inlineStr">
        <is>
          <t>Decay</t>
        </is>
      </c>
      <c r="J329" t="inlineStr">
        <is>
          <t>龚政涛,Decay</t>
        </is>
      </c>
      <c r="K329" t="inlineStr">
        <is>
          <t>龚政涛</t>
        </is>
      </c>
      <c r="L329" s="3">
        <v>45810.91783564815</v>
      </c>
      <c r="M329" s="3">
        <v>45901.333333333336</v>
      </c>
      <c r="N329" s="3"/>
      <c r="O329" s="3"/>
      <c r="P329" s="3">
        <v>45890.97547453704</v>
      </c>
      <c r="Q329" s="2" t="str">
        <f>=HYPERLINK("https://applink.feishu.cn/client/todo/task_list?guid=4d92b9af-66d1-4cd7-95d1-4b753a64ca6b", "跃入迷城")</f>
        <v>跃入迷城</v>
      </c>
      <c r="R329" t="inlineStr">
        <is>
          <t>4d92b9af-66d1-4cd7-95d1-4b753a64ca6b</t>
        </is>
      </c>
      <c r="S329" t="inlineStr">
        <is>
          <t>f21b3f5f-97d8-456a-97a3-73bbd9289375</t>
        </is>
      </c>
      <c r="T329">
        <v>0</v>
      </c>
      <c r="U329">
        <v>0</v>
      </c>
      <c r="V329" t="inlineStr">
        <is>
          <t>0.0.5</t>
        </is>
      </c>
      <c r="W329"/>
      <c r="X329" t="inlineStr">
        <is>
          <t>🛠️技术</t>
        </is>
      </c>
      <c r="Y329" t="inlineStr">
        <is>
          <t>操作</t>
        </is>
      </c>
      <c r="Z329" t="inlineStr">
        <is>
          <t>P1 - Bigger the Better</t>
        </is>
      </c>
      <c r="AA329"/>
      <c r="AB329" t="inlineStr">
        <is>
          <t>2a3362e9-fc7d-4e61-a0f5-df6db8ef0425</t>
        </is>
      </c>
      <c r="AC329"/>
      <c r="AD329" t="inlineStr">
        <is>
          <t>NzUzMjAzNDQ5ODk2NDY2ODQ0NDpmMjFiM2Y1Zi05N2Q4LTQ1NmEtOTdhMy03M2JiZDkyODkzNzU6YTQ1MmRlODQ1ZGYzODFhYWJlNTNlZmU5ZjU2N2NhZWY6MQ==</t>
        </is>
      </c>
      <c r="AE329"/>
    </row>
    <row r="330" ht="25.5" customHeight="1">
      <c xml:space="preserve" r="A330" s="2" t="str">
        <f>=HYPERLINK("https://applink.feishu.cn/client/todo/detail?guid=4f056fb9-dcab-4f16-bda2-8c88304952c2&amp;suite_entity_num=t100770", "✨新增：敌人和玩家的技能释放现在有了草图版本的VFX，玩家现在可以更清晰的看到技能影响的范围和释放状态 ")</f>
        <v>✨新增：敌人和玩家的技能释放现在有了草图版本的VFX，玩家现在可以更清晰的看到技能影响的范围和释放状态 </v>
      </c>
      <c r="B330"/>
      <c r="C330" t="inlineStr">
        <is>
          <t>默认分组</t>
        </is>
      </c>
      <c r="D330" t="inlineStr">
        <is>
          <t>1</t>
        </is>
      </c>
      <c r="E330" t="inlineStr">
        <is>
          <t>或签任务</t>
        </is>
      </c>
      <c r="F330"/>
      <c r="G330" t="inlineStr">
        <is>
          <t>0</t>
        </is>
      </c>
      <c r="H330"/>
      <c r="I330" t="inlineStr">
        <is>
          <t>Decay</t>
        </is>
      </c>
      <c r="J330" t="inlineStr">
        <is>
          <t>龚政涛,Decay</t>
        </is>
      </c>
      <c r="K330" t="inlineStr">
        <is>
          <t>龚政涛</t>
        </is>
      </c>
      <c r="L330" s="3">
        <v>45799.67622685185</v>
      </c>
      <c r="M330" s="3"/>
      <c r="N330" s="3">
        <v>45799.67621527778</v>
      </c>
      <c r="O330" s="3"/>
      <c r="P330" s="3">
        <v>45866.67386574074</v>
      </c>
      <c r="Q330" s="2" t="str">
        <f>=HYPERLINK("https://applink.feishu.cn/client/todo/task_list?guid=4d92b9af-66d1-4cd7-95d1-4b753a64ca6b", "跃入迷城")</f>
        <v>跃入迷城</v>
      </c>
      <c r="R330" t="inlineStr">
        <is>
          <t>4d92b9af-66d1-4cd7-95d1-4b753a64ca6b</t>
        </is>
      </c>
      <c r="S330" t="inlineStr">
        <is>
          <t>4f056fb9-dcab-4f16-bda2-8c88304952c2</t>
        </is>
      </c>
      <c r="T330">
        <v>0</v>
      </c>
      <c r="U330">
        <v>0</v>
      </c>
      <c r="V330" t="inlineStr">
        <is>
          <t>0.0.5</t>
        </is>
      </c>
      <c r="W330"/>
      <c r="X330"/>
      <c r="Y330"/>
      <c r="Z330"/>
      <c r="AA330"/>
      <c r="AB330"/>
      <c r="AC330"/>
      <c r="AD330" t="inlineStr">
        <is>
          <t>NzUzMjAzNDQ5ODk2NDY2ODQ0NDo0ZjA1NmZiOS1kY2FiLTRmMTYtYmRhMi04Yzg4MzA0OTUyYzI6NDU0Y2E1MzI3NTk1YTUyZTg5NmE4MjUzNDhhNGRhZWU6MQ==</t>
        </is>
      </c>
      <c r="AE330"/>
    </row>
    <row r="331" ht="25.5" customHeight="1">
      <c xml:space="preserve" r="A331" s="2" t="str">
        <f>=HYPERLINK("https://applink.feishu.cn/client/todo/detail?guid=b8c4e2a6-1eb2-4005-b20f-45c016b8ea2f&amp;suite_entity_num=t100775", "🪡修改：武器动画和实际前后摇数值匹配，现在武器会在正确的动画节点造成伤害 ")</f>
        <v>🪡修改：武器动画和实际前后摇数值匹配，现在武器会在正确的动画节点造成伤害 </v>
      </c>
      <c r="B331"/>
      <c r="C331" t="inlineStr">
        <is>
          <t>默认分组</t>
        </is>
      </c>
      <c r="D331" t="inlineStr">
        <is>
          <t>1</t>
        </is>
      </c>
      <c r="E331" t="inlineStr">
        <is>
          <t>或签任务</t>
        </is>
      </c>
      <c r="F331"/>
      <c r="G331" t="inlineStr">
        <is>
          <t>0</t>
        </is>
      </c>
      <c r="H331"/>
      <c r="I331" t="inlineStr">
        <is>
          <t>Decay</t>
        </is>
      </c>
      <c r="J331" t="inlineStr">
        <is>
          <t>龚政涛,Decay</t>
        </is>
      </c>
      <c r="K331" t="inlineStr">
        <is>
          <t>龚政涛</t>
        </is>
      </c>
      <c r="L331" s="3">
        <v>45799.67681712963</v>
      </c>
      <c r="M331" s="3"/>
      <c r="N331" s="3">
        <v>45799.67679398148</v>
      </c>
      <c r="O331" s="3"/>
      <c r="P331" s="3">
        <v>45866.67380787037</v>
      </c>
      <c r="Q331" s="2" t="str">
        <f>=HYPERLINK("https://applink.feishu.cn/client/todo/task_list?guid=4d92b9af-66d1-4cd7-95d1-4b753a64ca6b", "跃入迷城")</f>
        <v>跃入迷城</v>
      </c>
      <c r="R331" t="inlineStr">
        <is>
          <t>4d92b9af-66d1-4cd7-95d1-4b753a64ca6b</t>
        </is>
      </c>
      <c r="S331" t="inlineStr">
        <is>
          <t>b8c4e2a6-1eb2-4005-b20f-45c016b8ea2f</t>
        </is>
      </c>
      <c r="T331">
        <v>0</v>
      </c>
      <c r="U331">
        <v>0</v>
      </c>
      <c r="V331" t="inlineStr">
        <is>
          <t>0.0.5</t>
        </is>
      </c>
      <c r="W331"/>
      <c r="X331"/>
      <c r="Y331"/>
      <c r="Z331"/>
      <c r="AA331"/>
      <c r="AB331"/>
      <c r="AC331"/>
      <c r="AD331" t="inlineStr">
        <is>
          <t>NzUzMjAzNDQ5ODk2NDY2ODQ0NDpiOGM0ZTJhNi0xZWIyLTQwMDUtYjIwZi00NWMwMTZiOGVhMmY6ZGNiYWM2MDIyZmJjZTNiYzkxZmFjMWM0NmNlMjllMjY6MQ==</t>
        </is>
      </c>
      <c r="AE331"/>
    </row>
    <row r="332" ht="25.5" customHeight="1">
      <c xml:space="preserve" r="A332" s="2" t="str">
        <f>=HYPERLINK("https://applink.feishu.cn/client/todo/detail?guid=60fe4f56-8a63-4f90-8f59-7007420a95e6&amp;suite_entity_num=t100773", "🪡修改：冲刺现在被修改为翻滚，提供更写实的体验，并且内置了冷却时间。翻滚冷却期间玩家依旧可以奔跑 ")</f>
        <v>🪡修改：冲刺现在被修改为翻滚，提供更写实的体验，并且内置了冷却时间。翻滚冷却期间玩家依旧可以奔跑 </v>
      </c>
      <c r="B332"/>
      <c r="C332" t="inlineStr">
        <is>
          <t>默认分组</t>
        </is>
      </c>
      <c r="D332" t="inlineStr">
        <is>
          <t>1</t>
        </is>
      </c>
      <c r="E332" t="inlineStr">
        <is>
          <t>或签任务</t>
        </is>
      </c>
      <c r="F332"/>
      <c r="G332" t="inlineStr">
        <is>
          <t>0</t>
        </is>
      </c>
      <c r="H332"/>
      <c r="I332" t="inlineStr">
        <is>
          <t>Decay</t>
        </is>
      </c>
      <c r="J332" t="inlineStr">
        <is>
          <t>龚政涛,Decay</t>
        </is>
      </c>
      <c r="K332" t="inlineStr">
        <is>
          <t>龚政涛</t>
        </is>
      </c>
      <c r="L332" s="3">
        <v>45799.676724537036</v>
      </c>
      <c r="M332" s="3"/>
      <c r="N332" s="3">
        <v>45799.6890625</v>
      </c>
      <c r="O332" s="3"/>
      <c r="P332" s="3">
        <v>45866.673854166664</v>
      </c>
      <c r="Q332" s="2" t="str">
        <f>=HYPERLINK("https://applink.feishu.cn/client/todo/task_list?guid=4d92b9af-66d1-4cd7-95d1-4b753a64ca6b", "跃入迷城")</f>
        <v>跃入迷城</v>
      </c>
      <c r="R332" t="inlineStr">
        <is>
          <t>4d92b9af-66d1-4cd7-95d1-4b753a64ca6b</t>
        </is>
      </c>
      <c r="S332" t="inlineStr">
        <is>
          <t>60fe4f56-8a63-4f90-8f59-7007420a95e6</t>
        </is>
      </c>
      <c r="T332">
        <v>0</v>
      </c>
      <c r="U332">
        <v>0</v>
      </c>
      <c r="V332" t="inlineStr">
        <is>
          <t>0.0.5</t>
        </is>
      </c>
      <c r="W332"/>
      <c r="X332"/>
      <c r="Y332"/>
      <c r="Z332"/>
      <c r="AA332"/>
      <c r="AB332"/>
      <c r="AC332"/>
      <c r="AD332" t="inlineStr">
        <is>
          <t>NzUzMjAzNDQ5ODk2NDY2ODQ0NDo2MGZlNGY1Ni04YTYzLTRmOTAtOGY1OS03MDA3NDIwYTk1ZTY6MWNjYmU0ZGFiZDgyMjQ5Mjc3YzNkMjM1NjE2ZDdlMjA6MQ==</t>
        </is>
      </c>
      <c r="AE332"/>
    </row>
    <row r="333" ht="25.5" customHeight="1">
      <c r="A333" s="2" t="str">
        <f>=HYPERLINK("https://applink.feishu.cn/client/todo/detail?guid=74155b8e-e39e-4605-8fff-083e0187df5a&amp;suite_entity_num=t100761", "🪡修改：调整了部分敌人的AI逻辑")</f>
        <v>🪡修改：调整了部分敌人的AI逻辑</v>
      </c>
      <c r="B333"/>
      <c r="C333" t="inlineStr">
        <is>
          <t>默认分组</t>
        </is>
      </c>
      <c r="D333" t="inlineStr">
        <is>
          <t>0</t>
        </is>
      </c>
      <c r="E333" t="inlineStr">
        <is>
          <t>或签任务</t>
        </is>
      </c>
      <c r="F333"/>
      <c r="G333" t="inlineStr">
        <is>
          <t>0</t>
        </is>
      </c>
      <c r="H333">
        <v>0</v>
      </c>
      <c r="I333" t="inlineStr">
        <is>
          <t>龚政涛</t>
        </is>
      </c>
      <c r="J333" t="inlineStr">
        <is>
          <t>龚政涛</t>
        </is>
      </c>
      <c r="K333" t="inlineStr">
        <is>
          <t>龚政涛</t>
        </is>
      </c>
      <c r="L333" s="3">
        <v>45799.67523148148</v>
      </c>
      <c r="M333" s="3">
        <v>45901.333333333336</v>
      </c>
      <c r="N333" s="3"/>
      <c r="O333" s="3">
        <v>45912.333333333336</v>
      </c>
      <c r="P333" s="3">
        <v>45911.40997685185</v>
      </c>
      <c r="Q333" s="2" t="str">
        <f>=HYPERLINK("https://applink.feishu.cn/client/todo/task_list?guid=4d92b9af-66d1-4cd7-95d1-4b753a64ca6b", "跃入迷城")</f>
        <v>跃入迷城</v>
      </c>
      <c r="R333" t="inlineStr">
        <is>
          <t>4d92b9af-66d1-4cd7-95d1-4b753a64ca6b</t>
        </is>
      </c>
      <c r="S333" t="inlineStr">
        <is>
          <t>74155b8e-e39e-4605-8fff-083e0187df5a</t>
        </is>
      </c>
      <c r="T333">
        <v>4</v>
      </c>
      <c r="U333">
        <v>0</v>
      </c>
      <c r="V333" t="inlineStr">
        <is>
          <t>0.0.5</t>
        </is>
      </c>
      <c r="W333"/>
      <c r="X333"/>
      <c r="Y333" t="inlineStr">
        <is>
          <t>AI</t>
        </is>
      </c>
      <c r="Z333"/>
      <c r="AA333"/>
      <c r="AB333"/>
      <c r="AC333"/>
      <c r="AD333" t="inlineStr">
        <is>
          <t>NzUzMjAzNDQ5ODk2NDY2ODQ0NDo3NDE1NWI4ZS1lMzllLTQ2MDUtOGZmZi0wODNlMDE4N2RmNWE6ZmI3NmM4NjIwYzdhNzU2Mjc3OTk4OTNhNTBiNzRhYjM6MQ==</t>
        </is>
      </c>
      <c r="AE333"/>
    </row>
    <row r="334" ht="25.5" customHeight="1">
      <c xml:space="preserve" r="A334" s="2" t="str">
        <f>=HYPERLINK("https://applink.feishu.cn/client/todo/detail?guid=d9f122d7-ad7a-418f-86f8-982b7bd70c22&amp;suite_entity_num=t100765", "🪡修改：AI现在有更合理的巡逻路线，会在设定的空间内巡逻，而非随机移动；另外，我们也对AI进行了素质教育，如果AI的巡逻路线途经门，AI会随手关门 ")</f>
        <v>🪡修改：AI现在有更合理的巡逻路线，会在设定的空间内巡逻，而非随机移动；另外，我们也对AI进行了素质教育，如果AI的巡逻路线途经门，AI会随手关门 </v>
      </c>
      <c r="B334"/>
      <c r="C334" t="inlineStr">
        <is>
          <t>默认分组</t>
        </is>
      </c>
      <c r="D334" t="inlineStr">
        <is>
          <t>0</t>
        </is>
      </c>
      <c r="E334" t="inlineStr">
        <is>
          <t>或签任务</t>
        </is>
      </c>
      <c r="F334"/>
      <c r="G334" t="inlineStr">
        <is>
          <t>0</t>
        </is>
      </c>
      <c r="H334"/>
      <c r="I334" t="inlineStr">
        <is>
          <t>兔只几何</t>
        </is>
      </c>
      <c r="J334" t="inlineStr">
        <is>
          <t>龚政涛,兔只几何</t>
        </is>
      </c>
      <c r="K334" t="inlineStr">
        <is>
          <t>龚政涛</t>
        </is>
      </c>
      <c r="L334" s="3">
        <v>45799.67548611111</v>
      </c>
      <c r="M334" s="3"/>
      <c r="N334" s="3"/>
      <c r="O334" s="3"/>
      <c r="P334" s="3">
        <v>45896.50069444445</v>
      </c>
      <c r="Q334" s="2" t="str">
        <f>=HYPERLINK("https://applink.feishu.cn/client/todo/task_list?guid=4d92b9af-66d1-4cd7-95d1-4b753a64ca6b", "跃入迷城")</f>
        <v>跃入迷城</v>
      </c>
      <c r="R334" t="inlineStr">
        <is>
          <t>4d92b9af-66d1-4cd7-95d1-4b753a64ca6b</t>
        </is>
      </c>
      <c r="S334" t="inlineStr">
        <is>
          <t>d9f122d7-ad7a-418f-86f8-982b7bd70c22</t>
        </is>
      </c>
      <c r="T334">
        <v>0</v>
      </c>
      <c r="U334">
        <v>0</v>
      </c>
      <c r="V334" t="inlineStr">
        <is>
          <t>0.0.5</t>
        </is>
      </c>
      <c r="W334" t="inlineStr">
        <is>
          <t>已拆分</t>
        </is>
      </c>
      <c r="X334" t="inlineStr">
        <is>
          <t>🎮玩法</t>
        </is>
      </c>
      <c r="Y334" t="inlineStr">
        <is>
          <t>AI</t>
        </is>
      </c>
      <c r="Z334" t="inlineStr">
        <is>
          <t>P1 - Bigger the Better</t>
        </is>
      </c>
      <c r="AA334"/>
      <c r="AB334"/>
      <c r="AC334"/>
      <c r="AD334" t="inlineStr">
        <is>
          <t>NzUzMjAzNDQ5ODk2NDY2ODQ0NDpkOWYxMjJkNy1hZDdhLTQxOGYtODZmOC05ODJiN2JkNzBjMjI6YjA5MDY4YzdhMzU0NTAzNjQ0ODcxYTcyMzY4YmMxOGI6MQ==</t>
        </is>
      </c>
      <c r="AE334"/>
    </row>
    <row r="335" ht="25.5" customHeight="1">
      <c xml:space="preserve" r="A335" s="2" t="str">
        <f>=HYPERLINK("https://applink.feishu.cn/client/todo/detail?guid=f6b0f2d9-62a6-4ff3-9bad-c9661d674259&amp;suite_entity_num=t100762", "✨新增：追加了技能和装备 ")</f>
        <v>✨新增：追加了技能和装备 </v>
      </c>
      <c r="B335"/>
      <c r="C335" t="inlineStr">
        <is>
          <t>默认分组</t>
        </is>
      </c>
      <c r="D335" t="inlineStr">
        <is>
          <t>0</t>
        </is>
      </c>
      <c r="E335" t="inlineStr">
        <is>
          <t>或签任务</t>
        </is>
      </c>
      <c r="F335"/>
      <c r="G335" t="inlineStr">
        <is>
          <t>0</t>
        </is>
      </c>
      <c r="H335"/>
      <c r="I335" t="inlineStr">
        <is>
          <t>龚政涛</t>
        </is>
      </c>
      <c r="J335" t="inlineStr">
        <is>
          <t>朱金标,龚政涛,Decay</t>
        </is>
      </c>
      <c r="K335" t="inlineStr">
        <is>
          <t>龚政涛</t>
        </is>
      </c>
      <c r="L335" s="3">
        <v>45799.67528935185</v>
      </c>
      <c r="M335" s="3">
        <v>45906.333333333336</v>
      </c>
      <c r="N335" s="3"/>
      <c r="O335" s="3">
        <v>45919.333333333336</v>
      </c>
      <c r="P335" s="3">
        <v>45911.41069444444</v>
      </c>
      <c r="Q335" s="2" t="str">
        <f>=HYPERLINK("https://applink.feishu.cn/client/todo/task_list?guid=4d92b9af-66d1-4cd7-95d1-4b753a64ca6b", "跃入迷城")</f>
        <v>跃入迷城</v>
      </c>
      <c r="R335" t="inlineStr">
        <is>
          <t>4d92b9af-66d1-4cd7-95d1-4b753a64ca6b</t>
        </is>
      </c>
      <c r="S335" t="inlineStr">
        <is>
          <t>f6b0f2d9-62a6-4ff3-9bad-c9661d674259</t>
        </is>
      </c>
      <c r="T335">
        <v>0</v>
      </c>
      <c r="U335">
        <v>0</v>
      </c>
      <c r="V335" t="inlineStr">
        <is>
          <t>0.0.5</t>
        </is>
      </c>
      <c r="W335"/>
      <c r="X335" t="inlineStr">
        <is>
          <t>🎮玩法</t>
        </is>
      </c>
      <c r="Y335" t="inlineStr">
        <is>
          <t>装备</t>
        </is>
      </c>
      <c r="Z335" t="inlineStr">
        <is>
          <t>P0 - Must (not) Have</t>
        </is>
      </c>
      <c r="AA335"/>
      <c r="AB335"/>
      <c r="AC335"/>
      <c r="AD335" t="inlineStr">
        <is>
          <t>NzUzMjAzNDQ5ODk2NDY2ODQ0NDpmNmIwZjJkOS02MmE2LTRmZjMtOWJhZC1jOTY2MWQ2NzQyNTk6ZmRkYzY1MGYwNTliZDI2MWM1M2I3ZDlmZWJlNDBhOWU6MQ==</t>
        </is>
      </c>
      <c r="AE335"/>
    </row>
    <row r="336" ht="25.5" customHeight="1">
      <c r="A336" s="2" t="str">
        <f>=HYPERLINK("https://applink.feishu.cn/client/todo/detail?guid=ee9e782f-8625-473f-ba1b-d97ed6c6e2f9&amp;suite_entity_num=t100792", "🪡修改：彻底更新了场景内、HUD的UI效果")</f>
        <v>🪡修改：彻底更新了场景内、HUD的UI效果</v>
      </c>
      <c r="B336"/>
      <c r="C336" t="inlineStr">
        <is>
          <t>默认分组</t>
        </is>
      </c>
      <c r="D336" t="inlineStr">
        <is>
          <t>0</t>
        </is>
      </c>
      <c r="E336" t="inlineStr">
        <is>
          <t>或签任务</t>
        </is>
      </c>
      <c r="F336"/>
      <c r="G336" t="inlineStr">
        <is>
          <t>0</t>
        </is>
      </c>
      <c r="H336">
        <v>0.86</v>
      </c>
      <c r="I336" t="inlineStr">
        <is>
          <t>郭斯已</t>
        </is>
      </c>
      <c r="J336" t="inlineStr">
        <is>
          <t>小林🍃,Zoey,龚政涛,郭斯已</t>
        </is>
      </c>
      <c r="K336" t="inlineStr">
        <is>
          <t>龚政涛</t>
        </is>
      </c>
      <c r="L336" s="3">
        <v>45800.774097222224</v>
      </c>
      <c r="M336" s="3"/>
      <c r="N336" s="3"/>
      <c r="O336" s="3"/>
      <c r="P336" s="3">
        <v>45895.501875</v>
      </c>
      <c r="Q336" s="2" t="str">
        <f>=HYPERLINK("https://applink.feishu.cn/client/todo/task_list?guid=4d92b9af-66d1-4cd7-95d1-4b753a64ca6b", "跃入迷城")</f>
        <v>跃入迷城</v>
      </c>
      <c r="R336" t="inlineStr">
        <is>
          <t>4d92b9af-66d1-4cd7-95d1-4b753a64ca6b</t>
        </is>
      </c>
      <c r="S336" t="inlineStr">
        <is>
          <t>ee9e782f-8625-473f-ba1b-d97ed6c6e2f9</t>
        </is>
      </c>
      <c r="T336">
        <v>7</v>
      </c>
      <c r="U336">
        <v>0</v>
      </c>
      <c r="V336" t="inlineStr">
        <is>
          <t>0.0.5</t>
        </is>
      </c>
      <c r="W336" t="inlineStr">
        <is>
          <t>已拆分</t>
        </is>
      </c>
      <c r="X336" t="inlineStr">
        <is>
          <t>🎨艺术</t>
        </is>
      </c>
      <c r="Y336" t="inlineStr">
        <is>
          <t>UIUX</t>
        </is>
      </c>
      <c r="Z336" t="inlineStr">
        <is>
          <t>P1 - Bigger the Better</t>
        </is>
      </c>
      <c r="AA336"/>
      <c r="AB336"/>
      <c r="AC336"/>
      <c r="AD336" t="inlineStr">
        <is>
          <t>NzUzMjAzNDQ5ODk2NDY2ODQ0NDplZTllNzgyZi04NjI1LTQ3M2YtYmExYi1kOTdlZDZjNmUyZjk6NjdhYzZmNjg5ZjA4ZTAwZjJhNDBkMWM0MWM4YTUyZGU6MQ==</t>
        </is>
      </c>
      <c r="AE336"/>
    </row>
    <row r="337" ht="25.5" customHeight="1">
      <c xml:space="preserve" r="A337" s="2" t="str">
        <f>=HYPERLINK("https://applink.feishu.cn/client/todo/detail?guid=f07e046f-c261-44c9-b10e-81f0ed63ea49&amp;suite_entity_num=t100764", "🪡修改：现在AI有更好的寻路逻辑，在进入战斗后，不再会尝试移动到无法攻击玩家的空间，也更少会在门口处被堵住 ")</f>
        <v>🪡修改：现在AI有更好的寻路逻辑，在进入战斗后，不再会尝试移动到无法攻击玩家的空间，也更少会在门口处被堵住 </v>
      </c>
      <c r="B337"/>
      <c r="C337" t="inlineStr">
        <is>
          <t>默认分组</t>
        </is>
      </c>
      <c r="D337" t="inlineStr">
        <is>
          <t>1</t>
        </is>
      </c>
      <c r="E337" t="inlineStr">
        <is>
          <t>或签任务</t>
        </is>
      </c>
      <c r="F337"/>
      <c r="G337" t="inlineStr">
        <is>
          <t>0</t>
        </is>
      </c>
      <c r="H337">
        <v>0.1</v>
      </c>
      <c r="I337" t="inlineStr">
        <is>
          <t>兔只几何</t>
        </is>
      </c>
      <c r="J337" t="inlineStr">
        <is>
          <t>龚政涛,兔只几何</t>
        </is>
      </c>
      <c r="K337" t="inlineStr">
        <is>
          <t>龚政涛</t>
        </is>
      </c>
      <c r="L337" s="3">
        <v>45799.675462962965</v>
      </c>
      <c r="M337" s="3"/>
      <c r="N337" s="3">
        <v>45911.41061342593</v>
      </c>
      <c r="O337" s="3">
        <v>45905.333333333336</v>
      </c>
      <c r="P337" s="3">
        <v>45911.410625</v>
      </c>
      <c r="Q337" s="2" t="str">
        <f>=HYPERLINK("https://applink.feishu.cn/client/todo/task_list?guid=4d92b9af-66d1-4cd7-95d1-4b753a64ca6b", "跃入迷城")</f>
        <v>跃入迷城</v>
      </c>
      <c r="R337" t="inlineStr">
        <is>
          <t>4d92b9af-66d1-4cd7-95d1-4b753a64ca6b</t>
        </is>
      </c>
      <c r="S337" t="inlineStr">
        <is>
          <t>f07e046f-c261-44c9-b10e-81f0ed63ea49</t>
        </is>
      </c>
      <c r="T337">
        <v>10</v>
      </c>
      <c r="U337">
        <v>1</v>
      </c>
      <c r="V337" t="inlineStr">
        <is>
          <t>0.0.5</t>
        </is>
      </c>
      <c r="W337" t="inlineStr">
        <is>
          <t>已完成</t>
        </is>
      </c>
      <c r="X337"/>
      <c r="Y337" t="inlineStr">
        <is>
          <t>AI</t>
        </is>
      </c>
      <c r="Z337" t="inlineStr">
        <is>
          <t>P0 - Must (not) Have</t>
        </is>
      </c>
      <c r="AA337"/>
      <c r="AB337"/>
      <c r="AC337"/>
      <c r="AD337" t="inlineStr">
        <is>
          <t>NzUzMjAzNDQ5ODk2NDY2ODQ0NDpmMDdlMDQ2Zi1jMjYxLTQ0YzktYjEwZS04MWYwZWQ2M2VhNDk6NzE1YTZhYjk2NWMzN2U4ZDM2YTQyYjIxMjlkZTY2NDE6MQ==</t>
        </is>
      </c>
      <c r="AE337"/>
    </row>
    <row r="338" ht="25.5" customHeight="1">
      <c xml:space="preserve" r="A338" s="2" t="str">
        <f>=HYPERLINK("https://applink.feishu.cn/client/todo/detail?guid=87d899c7-58f7-4262-a500-90edc2006508&amp;suite_entity_num=t100778", "✨新增：技能现在由完整的前摇、释放、后摇动画驱动，以提供更好的释放手感，相对应的，调整了一系列技能的释放机制 ")</f>
        <v>✨新增：技能现在由完整的前摇、释放、后摇动画驱动，以提供更好的释放手感，相对应的，调整了一系列技能的释放机制 </v>
      </c>
      <c r="B338"/>
      <c r="C338" t="inlineStr">
        <is>
          <t>默认分组</t>
        </is>
      </c>
      <c r="D338" t="inlineStr">
        <is>
          <t>1</t>
        </is>
      </c>
      <c r="E338" t="inlineStr">
        <is>
          <t>或签任务</t>
        </is>
      </c>
      <c r="F338"/>
      <c r="G338" t="inlineStr">
        <is>
          <t>0</t>
        </is>
      </c>
      <c r="H338"/>
      <c r="I338" t="inlineStr">
        <is>
          <t>Decay</t>
        </is>
      </c>
      <c r="J338" t="inlineStr">
        <is>
          <t>龚政涛,Decay</t>
        </is>
      </c>
      <c r="K338" t="inlineStr">
        <is>
          <t>龚政涛</t>
        </is>
      </c>
      <c r="L338" s="3">
        <v>45799.68923611111</v>
      </c>
      <c r="M338" s="3"/>
      <c r="N338" s="3">
        <v>45799.68921296296</v>
      </c>
      <c r="O338" s="3"/>
      <c r="P338" s="3">
        <v>45866.673796296294</v>
      </c>
      <c r="Q338" s="2" t="str">
        <f>=HYPERLINK("https://applink.feishu.cn/client/todo/task_list?guid=4d92b9af-66d1-4cd7-95d1-4b753a64ca6b", "跃入迷城")</f>
        <v>跃入迷城</v>
      </c>
      <c r="R338" t="inlineStr">
        <is>
          <t>4d92b9af-66d1-4cd7-95d1-4b753a64ca6b</t>
        </is>
      </c>
      <c r="S338" t="inlineStr">
        <is>
          <t>87d899c7-58f7-4262-a500-90edc2006508</t>
        </is>
      </c>
      <c r="T338">
        <v>0</v>
      </c>
      <c r="U338">
        <v>0</v>
      </c>
      <c r="V338" t="inlineStr">
        <is>
          <t>0.0.5</t>
        </is>
      </c>
      <c r="W338"/>
      <c r="X338"/>
      <c r="Y338"/>
      <c r="Z338"/>
      <c r="AA338"/>
      <c r="AB338"/>
      <c r="AC338"/>
      <c r="AD338" t="inlineStr">
        <is>
          <t>NzUzMjAzNDQ5ODk2NDY2ODQ0NDo4N2Q4OTljNy01OGY3LTQyNjItYTUwMC05MGVkYzIwMDY1MDg6ODhkODgxNDkyODRiM2RhN2RlYjk2OWY5MzIyNjdmNTk6MQ==</t>
        </is>
      </c>
      <c r="AE338"/>
    </row>
    <row r="339" ht="25.5" customHeight="1">
      <c xml:space="preserve" r="A339" s="2" t="str">
        <f>=HYPERLINK("https://applink.feishu.cn/client/todo/detail?guid=593b9cf4-031c-4718-ad85-eecc9a1b47e9&amp;suite_entity_num=t100760", "🪡修改：武器打印的子弹获取机制，现在获取新的远程武器时，会赠送满弹夹的子弹，不会消耗备弹 ")</f>
        <v>🪡修改：武器打印的子弹获取机制，现在获取新的远程武器时，会赠送满弹夹的子弹，不会消耗备弹 </v>
      </c>
      <c r="B339"/>
      <c r="C339" t="inlineStr">
        <is>
          <t>默认分组</t>
        </is>
      </c>
      <c r="D339" t="inlineStr">
        <is>
          <t>1</t>
        </is>
      </c>
      <c r="E339" t="inlineStr">
        <is>
          <t>或签任务</t>
        </is>
      </c>
      <c r="F339"/>
      <c r="G339" t="inlineStr">
        <is>
          <t>0</t>
        </is>
      </c>
      <c r="H339"/>
      <c r="I339" t="inlineStr">
        <is>
          <t>Decay</t>
        </is>
      </c>
      <c r="J339" t="inlineStr">
        <is>
          <t>龚政涛,Decay</t>
        </is>
      </c>
      <c r="K339" t="inlineStr">
        <is>
          <t>龚政涛</t>
        </is>
      </c>
      <c r="L339" s="3">
        <v>45799.67513888889</v>
      </c>
      <c r="M339" s="3"/>
      <c r="N339" s="3">
        <v>45799.689305555556</v>
      </c>
      <c r="O339" s="3"/>
      <c r="P339" s="3">
        <v>45866.67391203704</v>
      </c>
      <c r="Q339" s="2" t="str">
        <f>=HYPERLINK("https://applink.feishu.cn/client/todo/task_list?guid=4d92b9af-66d1-4cd7-95d1-4b753a64ca6b", "跃入迷城")</f>
        <v>跃入迷城</v>
      </c>
      <c r="R339" t="inlineStr">
        <is>
          <t>4d92b9af-66d1-4cd7-95d1-4b753a64ca6b</t>
        </is>
      </c>
      <c r="S339" t="inlineStr">
        <is>
          <t>593b9cf4-031c-4718-ad85-eecc9a1b47e9</t>
        </is>
      </c>
      <c r="T339">
        <v>0</v>
      </c>
      <c r="U339">
        <v>0</v>
      </c>
      <c r="V339" t="inlineStr">
        <is>
          <t>0.0.5</t>
        </is>
      </c>
      <c r="W339"/>
      <c r="X339"/>
      <c r="Y339"/>
      <c r="Z339"/>
      <c r="AA339"/>
      <c r="AB339"/>
      <c r="AC339"/>
      <c r="AD339" t="inlineStr">
        <is>
          <t>NzUzMjAzNDQ5ODk2NDY2ODQ0NDo1OTNiOWNmNC0wMzFjLTQ3MTgtYWQ4NS1lZWNjOWExYjQ3ZTk6ZTg1OTM3Y2ViNjk1M2YzYjM1YjIwODkxZjBiOGNiZTU6MQ==</t>
        </is>
      </c>
      <c r="AE339"/>
    </row>
    <row r="340" ht="25.5" customHeight="1">
      <c xml:space="preserve" r="A340" s="2" t="str">
        <f>=HYPERLINK("https://applink.feishu.cn/client/todo/detail?guid=95067256-bbc8-4e66-bde5-ff95afff9d2a&amp;suite_entity_num=t100779", "🪡修改：翻滚的触发逻辑改为“释放翻滚键时触发”，而非原本的“按下翻滚键时触发”，现在玩家可以长按翻滚键，不触发翻滚，直接进行奔跑  ")</f>
        <v>🪡修改：翻滚的触发逻辑改为“释放翻滚键时触发”，而非原本的“按下翻滚键时触发”，现在玩家可以长按翻滚键，不触发翻滚，直接进行奔跑  </v>
      </c>
      <c r="B340"/>
      <c r="C340" t="inlineStr">
        <is>
          <t>默认分组</t>
        </is>
      </c>
      <c r="D340" t="inlineStr">
        <is>
          <t>1</t>
        </is>
      </c>
      <c r="E340" t="inlineStr">
        <is>
          <t>或签任务</t>
        </is>
      </c>
      <c r="F340"/>
      <c r="G340" t="inlineStr">
        <is>
          <t>0</t>
        </is>
      </c>
      <c r="H340"/>
      <c r="I340" t="inlineStr">
        <is>
          <t>Decay</t>
        </is>
      </c>
      <c r="J340" t="inlineStr">
        <is>
          <t>龚政涛,Decay</t>
        </is>
      </c>
      <c r="K340" t="inlineStr">
        <is>
          <t>龚政涛</t>
        </is>
      </c>
      <c r="L340" s="3">
        <v>45799.689259259256</v>
      </c>
      <c r="M340" s="3"/>
      <c r="N340" s="3">
        <v>45799.68922453704</v>
      </c>
      <c r="O340" s="3"/>
      <c r="P340" s="3">
        <v>45866.67377314815</v>
      </c>
      <c r="Q340" s="2" t="str">
        <f>=HYPERLINK("https://applink.feishu.cn/client/todo/task_list?guid=4d92b9af-66d1-4cd7-95d1-4b753a64ca6b", "跃入迷城")</f>
        <v>跃入迷城</v>
      </c>
      <c r="R340" t="inlineStr">
        <is>
          <t>4d92b9af-66d1-4cd7-95d1-4b753a64ca6b</t>
        </is>
      </c>
      <c r="S340" t="inlineStr">
        <is>
          <t>95067256-bbc8-4e66-bde5-ff95afff9d2a</t>
        </is>
      </c>
      <c r="T340">
        <v>0</v>
      </c>
      <c r="U340">
        <v>0</v>
      </c>
      <c r="V340" t="inlineStr">
        <is>
          <t>0.0.5</t>
        </is>
      </c>
      <c r="W340"/>
      <c r="X340"/>
      <c r="Y340"/>
      <c r="Z340"/>
      <c r="AA340"/>
      <c r="AB340"/>
      <c r="AC340"/>
      <c r="AD340" t="inlineStr">
        <is>
          <t>NzUzMjAzNDQ5ODk2NDY2ODQ0NDo5NTA2NzI1Ni1iYmM4LTRlNjYtYmRlNS1mZjk1YWZmZjlkMmE6MGVlOWYxMGY5OTc0MjQ3YzdmMmFmZDFmYzhiMDE5YzY6MQ==</t>
        </is>
      </c>
      <c r="AE340"/>
    </row>
    <row r="341" ht="25.5" customHeight="1">
      <c xml:space="preserve" r="A341" s="2" t="str">
        <f>=HYPERLINK("https://applink.feishu.cn/client/todo/detail?guid=945cb279-1edd-4e1a-aaf3-093ef3ff942e&amp;suite_entity_num=t100759", "✨新增：武器掉落功能，现在从武器打印机获取新武器时，被替换的武器会掉落在地上，便于玩家再次更换 ")</f>
        <v>✨新增：武器掉落功能，现在从武器打印机获取新武器时，被替换的武器会掉落在地上，便于玩家再次更换 </v>
      </c>
      <c r="B341"/>
      <c r="C341" t="inlineStr">
        <is>
          <t>默认分组</t>
        </is>
      </c>
      <c r="D341" t="inlineStr">
        <is>
          <t>1</t>
        </is>
      </c>
      <c r="E341" t="inlineStr">
        <is>
          <t>或签任务</t>
        </is>
      </c>
      <c r="F341"/>
      <c r="G341" t="inlineStr">
        <is>
          <t>0</t>
        </is>
      </c>
      <c r="H341"/>
      <c r="I341" t="inlineStr">
        <is>
          <t>Decay</t>
        </is>
      </c>
      <c r="J341" t="inlineStr">
        <is>
          <t>龚政涛,Decay</t>
        </is>
      </c>
      <c r="K341" t="inlineStr">
        <is>
          <t>龚政涛</t>
        </is>
      </c>
      <c r="L341" s="3">
        <v>45799.675</v>
      </c>
      <c r="M341" s="3"/>
      <c r="N341" s="3">
        <v>45799.67501157407</v>
      </c>
      <c r="O341" s="3"/>
      <c r="P341" s="3">
        <v>45866.67393518519</v>
      </c>
      <c r="Q341" s="2" t="str">
        <f>=HYPERLINK("https://applink.feishu.cn/client/todo/task_list?guid=4d92b9af-66d1-4cd7-95d1-4b753a64ca6b", "跃入迷城")</f>
        <v>跃入迷城</v>
      </c>
      <c r="R341" t="inlineStr">
        <is>
          <t>4d92b9af-66d1-4cd7-95d1-4b753a64ca6b</t>
        </is>
      </c>
      <c r="S341" t="inlineStr">
        <is>
          <t>945cb279-1edd-4e1a-aaf3-093ef3ff942e</t>
        </is>
      </c>
      <c r="T341">
        <v>0</v>
      </c>
      <c r="U341">
        <v>0</v>
      </c>
      <c r="V341" t="inlineStr">
        <is>
          <t>0.0.5</t>
        </is>
      </c>
      <c r="W341"/>
      <c r="X341"/>
      <c r="Y341"/>
      <c r="Z341"/>
      <c r="AA341"/>
      <c r="AB341"/>
      <c r="AC341"/>
      <c r="AD341" t="inlineStr">
        <is>
          <t>NzUzMjAzNDQ5ODk2NDY2ODQ0NDo5NDVjYjI3OS0xZWRkLTRlMWEtYWFmMy0wOTNlZjNmZjk0MmU6ZDJmODExYmQ4NDNlMzJmNGIyMTMyM2FlNmE0ZmZmNDY6MQ==</t>
        </is>
      </c>
      <c r="AE341"/>
    </row>
    <row r="342" ht="25.5" customHeight="1">
      <c r="A342" s="2" t="str">
        <f>=HYPERLINK("https://applink.feishu.cn/client/todo/detail?guid=d5833e1c-3aa9-48cd-95dc-6fde78e8b977&amp;suite_entity_num=t100954", "道具文本撰写")</f>
        <v>道具文本撰写</v>
      </c>
      <c r="B342"/>
      <c r="C342" t="inlineStr">
        <is>
          <t>默认分组</t>
        </is>
      </c>
      <c r="D342" t="inlineStr">
        <is>
          <t>0</t>
        </is>
      </c>
      <c r="E342" t="inlineStr">
        <is>
          <t>或签任务</t>
        </is>
      </c>
      <c r="F342"/>
      <c r="G342" t="inlineStr">
        <is>
          <t>0</t>
        </is>
      </c>
      <c r="H342"/>
      <c r="I342" t="inlineStr">
        <is>
          <t>肇国亨</t>
        </is>
      </c>
      <c r="J342" t="inlineStr">
        <is>
          <t>龚政涛,肇国亨</t>
        </is>
      </c>
      <c r="K342" t="inlineStr">
        <is>
          <t>龚政涛</t>
        </is>
      </c>
      <c r="L342" s="3">
        <v>45860.664375</v>
      </c>
      <c r="M342" s="3">
        <v>45881.333333333336</v>
      </c>
      <c r="N342" s="3"/>
      <c r="O342" s="3">
        <v>45919.333333333336</v>
      </c>
      <c r="P342" s="3">
        <v>45911.409791666665</v>
      </c>
      <c r="Q342" s="2" t="str">
        <f>=HYPERLINK("https://applink.feishu.cn/client/todo/task_list?guid=4d92b9af-66d1-4cd7-95d1-4b753a64ca6b", "跃入迷城")</f>
        <v>跃入迷城</v>
      </c>
      <c r="R342" t="inlineStr">
        <is>
          <t>4d92b9af-66d1-4cd7-95d1-4b753a64ca6b</t>
        </is>
      </c>
      <c r="S342" t="inlineStr">
        <is>
          <t>d5833e1c-3aa9-48cd-95dc-6fde78e8b977</t>
        </is>
      </c>
      <c r="T342">
        <v>0</v>
      </c>
      <c r="U342">
        <v>0</v>
      </c>
      <c r="V342" t="inlineStr">
        <is>
          <t>0.0.5</t>
        </is>
      </c>
      <c r="W342" t="inlineStr">
        <is>
          <t>已拆分</t>
        </is>
      </c>
      <c r="X342" t="inlineStr">
        <is>
          <t>✍️故事</t>
        </is>
      </c>
      <c r="Y342" t="inlineStr">
        <is>
          <t>说明文字</t>
        </is>
      </c>
      <c r="Z342" t="inlineStr">
        <is>
          <t>P1 - Bigger the Better</t>
        </is>
      </c>
      <c r="AA342" t="inlineStr">
        <is>
          <t>4e435839-4a90-4bcc-baff-f9e5e2de414a</t>
        </is>
      </c>
      <c r="AB342"/>
      <c r="AC342"/>
      <c r="AD342" t="inlineStr">
        <is>
          <t>NzUzMjAzNDQ5ODk2NDY2ODQ0NDpkNTgzM2UxYy0zYWE5LTQ4Y2QtOTVkYy02ZmRlNzhlOGI5Nzc6OWZkZTY2OTM1ZDg3YWEwYjcwNGVlODc5Y2EzODM1OTU6MQ==</t>
        </is>
      </c>
      <c r="AE342"/>
    </row>
    <row r="343" ht="25.5" customHeight="1">
      <c r="A343" s="2" t="str">
        <f>=HYPERLINK("https://applink.feishu.cn/client/todo/detail?guid=71dbb5bb-1bea-44d1-81dc-688cd9e5aa86&amp;suite_entity_num=t100958", "v0.0.5开始")</f>
        <v>v0.0.5开始</v>
      </c>
      <c r="B343"/>
      <c r="C343" t="inlineStr">
        <is>
          <t>默认分组</t>
        </is>
      </c>
      <c r="D343" t="inlineStr">
        <is>
          <t>1</t>
        </is>
      </c>
      <c r="E343" t="inlineStr">
        <is>
          <t>或签任务</t>
        </is>
      </c>
      <c r="F343"/>
      <c r="G343" t="inlineStr">
        <is>
          <t>1</t>
        </is>
      </c>
      <c r="H343"/>
      <c r="I343" t="inlineStr">
        <is>
          <t>龚政涛</t>
        </is>
      </c>
      <c r="J343" t="inlineStr">
        <is>
          <t>龚政涛</t>
        </is>
      </c>
      <c r="K343" t="inlineStr">
        <is>
          <t>龚政涛</t>
        </is>
      </c>
      <c r="L343" s="3">
        <v>45865.922314814816</v>
      </c>
      <c r="M343" s="3">
        <v>45733.333333333336</v>
      </c>
      <c r="N343" s="3">
        <v>45865.92320601852</v>
      </c>
      <c r="O343" s="3">
        <v>45733.333333333336</v>
      </c>
      <c r="P343" s="3">
        <v>45866.674108796295</v>
      </c>
      <c r="Q343" s="2" t="str">
        <f>=HYPERLINK("https://applink.feishu.cn/client/todo/task_list?guid=4d92b9af-66d1-4cd7-95d1-4b753a64ca6b", "跃入迷城")</f>
        <v>跃入迷城</v>
      </c>
      <c r="R343" t="inlineStr">
        <is>
          <t>4d92b9af-66d1-4cd7-95d1-4b753a64ca6b</t>
        </is>
      </c>
      <c r="S343" t="inlineStr">
        <is>
          <t>71dbb5bb-1bea-44d1-81dc-688cd9e5aa86</t>
        </is>
      </c>
      <c r="T343">
        <v>0</v>
      </c>
      <c r="U343">
        <v>0</v>
      </c>
      <c r="V343" t="inlineStr">
        <is>
          <t>0.0.5</t>
        </is>
      </c>
      <c r="W343"/>
      <c r="X343"/>
      <c r="Y343"/>
      <c r="Z343"/>
      <c r="AA343"/>
      <c r="AB343"/>
      <c r="AC343"/>
      <c r="AD343" t="inlineStr">
        <is>
          <t>NzUzMjAzNDQ5ODk2NDY2ODQ0NDo3MWRiYjViYi0xYmVhLTQ0ZDEtODFkYy02ODhjZDllNWFhODY6ODczYjY2MDMxOWEzZmFjNDEyMDIxOWNlZTI3YjdkOWQ6MQ==</t>
        </is>
      </c>
      <c r="AE343"/>
    </row>
    <row r="344" ht="25.5" customHeight="1">
      <c r="A344" s="2" t="str">
        <f>=HYPERLINK("https://applink.feishu.cn/client/todo/detail?guid=12e16be3-d406-45a9-92d4-447212e1b0fa&amp;suite_entity_num=t100952", "角色设定细化")</f>
        <v>角色设定细化</v>
      </c>
      <c r="B344"/>
      <c r="C344" t="inlineStr">
        <is>
          <t>默认分组</t>
        </is>
      </c>
      <c r="D344" t="inlineStr">
        <is>
          <t>0</t>
        </is>
      </c>
      <c r="E344" t="inlineStr">
        <is>
          <t>或签任务</t>
        </is>
      </c>
      <c r="F344"/>
      <c r="G344" t="inlineStr">
        <is>
          <t>0</t>
        </is>
      </c>
      <c r="H344"/>
      <c r="I344" t="inlineStr">
        <is>
          <t>肇国亨</t>
        </is>
      </c>
      <c r="J344" t="inlineStr">
        <is>
          <t>龚政涛,肇国亨</t>
        </is>
      </c>
      <c r="K344" t="inlineStr">
        <is>
          <t>龚政涛</t>
        </is>
      </c>
      <c r="L344" s="3">
        <v>45860.66417824074</v>
      </c>
      <c r="M344" s="3"/>
      <c r="N344" s="3"/>
      <c r="O344" s="3"/>
      <c r="P344" s="3">
        <v>45896.51337962963</v>
      </c>
      <c r="Q344" s="2" t="str">
        <f>=HYPERLINK("https://applink.feishu.cn/client/todo/task_list?guid=4d92b9af-66d1-4cd7-95d1-4b753a64ca6b", "跃入迷城")</f>
        <v>跃入迷城</v>
      </c>
      <c r="R344" t="inlineStr">
        <is>
          <t>4d92b9af-66d1-4cd7-95d1-4b753a64ca6b</t>
        </is>
      </c>
      <c r="S344" t="inlineStr">
        <is>
          <t>12e16be3-d406-45a9-92d4-447212e1b0fa</t>
        </is>
      </c>
      <c r="T344">
        <v>0</v>
      </c>
      <c r="U344">
        <v>0</v>
      </c>
      <c r="V344" t="inlineStr">
        <is>
          <t>0.0.5</t>
        </is>
      </c>
      <c r="W344" t="inlineStr">
        <is>
          <t>已拆分</t>
        </is>
      </c>
      <c r="X344" t="inlineStr">
        <is>
          <t>✍️故事</t>
        </is>
      </c>
      <c r="Y344" t="inlineStr">
        <is>
          <t>设定</t>
        </is>
      </c>
      <c r="Z344"/>
      <c r="AA344"/>
      <c r="AB344" t="inlineStr">
        <is>
          <t>4e435839-4a90-4bcc-baff-f9e5e2de414a</t>
        </is>
      </c>
      <c r="AC344"/>
      <c r="AD344" t="inlineStr">
        <is>
          <t>NzUzMjAzNDQ5ODk2NDY2ODQ0NDoxMmUxNmJlMy1kNDA2LTQ1YTktOTJkNC00NDcyMTJlMWIwZmE6YmRhYTBiNDc4OTk4NjE0NGVkNzk4OTgzZjdjYmFlODU6MQ==</t>
        </is>
      </c>
      <c r="AE344"/>
    </row>
    <row r="345" ht="25.5" customHeight="1">
      <c r="A345" s="2" t="str">
        <f>=HYPERLINK("https://applink.feishu.cn/client/todo/detail?guid=d4fe14e4-ffc8-4525-9146-aab0528eee0a&amp;suite_entity_num=t100962", "角色模型制作")</f>
        <v>角色模型制作</v>
      </c>
      <c r="B345"/>
      <c r="C345" t="inlineStr">
        <is>
          <t>默认分组</t>
        </is>
      </c>
      <c r="D345" t="inlineStr">
        <is>
          <t>0</t>
        </is>
      </c>
      <c r="E345" t="inlineStr">
        <is>
          <t>或签任务</t>
        </is>
      </c>
      <c r="F345"/>
      <c r="G345" t="inlineStr">
        <is>
          <t>0</t>
        </is>
      </c>
      <c r="H345">
        <v>0</v>
      </c>
      <c r="I345" t="inlineStr">
        <is>
          <t>陈吉瑞</t>
        </is>
      </c>
      <c r="J345" t="inlineStr">
        <is>
          <t>龚政涛,陈麒升,陈吉瑞</t>
        </is>
      </c>
      <c r="K345" t="inlineStr">
        <is>
          <t>龚政涛</t>
        </is>
      </c>
      <c r="L345" s="3">
        <v>45865.92465277778</v>
      </c>
      <c r="M345" s="3"/>
      <c r="N345" s="3"/>
      <c r="O345" s="3"/>
      <c r="P345" s="3">
        <v>45890.48212962963</v>
      </c>
      <c r="Q345" s="2" t="str">
        <f>=HYPERLINK("https://applink.feishu.cn/client/todo/task_list?guid=4d92b9af-66d1-4cd7-95d1-4b753a64ca6b", "跃入迷城")</f>
        <v>跃入迷城</v>
      </c>
      <c r="R345" t="inlineStr">
        <is>
          <t>4d92b9af-66d1-4cd7-95d1-4b753a64ca6b</t>
        </is>
      </c>
      <c r="S345" t="inlineStr">
        <is>
          <t>d4fe14e4-ffc8-4525-9146-aab0528eee0a</t>
        </is>
      </c>
      <c r="T345">
        <v>6</v>
      </c>
      <c r="U345">
        <v>0</v>
      </c>
      <c r="V345" t="inlineStr">
        <is>
          <t>0.0.5</t>
        </is>
      </c>
      <c r="W345" t="inlineStr">
        <is>
          <t>已拆分</t>
        </is>
      </c>
      <c r="X345" t="inlineStr">
        <is>
          <t>🎨艺术</t>
        </is>
      </c>
      <c r="Y345" t="inlineStr">
        <is>
          <t>模型</t>
        </is>
      </c>
      <c r="Z345" t="inlineStr">
        <is>
          <t>P0 - Must (not) Have</t>
        </is>
      </c>
      <c r="AA345"/>
      <c r="AB345"/>
      <c r="AC345"/>
      <c r="AD345" t="inlineStr">
        <is>
          <t>NzUzMjAzNDQ5ODk2NDY2ODQ0NDpkNGZlMTRlNC1mZmM4LTQ1MjUtOTE0Ni1hYWIwNTI4ZWVlMGE6MDVlZWI3OTY1YTJhMTQxNDhjOWJhNzNkMWMwZThlZGU6MQ==</t>
        </is>
      </c>
      <c r="AE345"/>
    </row>
    <row r="346" ht="25.5" customHeight="1">
      <c r="A346" s="2" t="str">
        <f>=HYPERLINK("https://applink.feishu.cn/client/todo/detail?guid=1ef4b309-db26-4a09-bba8-db9a6247069e&amp;suite_entity_num=t100955", "墙壁模型资产")</f>
        <v>墙壁模型资产</v>
      </c>
      <c r="B346"/>
      <c r="C346" t="inlineStr">
        <is>
          <t>默认分组</t>
        </is>
      </c>
      <c r="D346" t="inlineStr">
        <is>
          <t>1</t>
        </is>
      </c>
      <c r="E346" t="inlineStr">
        <is>
          <t>或签任务</t>
        </is>
      </c>
      <c r="F346"/>
      <c r="G346" t="inlineStr">
        <is>
          <t>0</t>
        </is>
      </c>
      <c r="H346"/>
      <c r="I346" t="inlineStr">
        <is>
          <t>陈麒升</t>
        </is>
      </c>
      <c r="J346" t="inlineStr">
        <is>
          <t>龚政涛,陈麒升</t>
        </is>
      </c>
      <c r="K346" t="inlineStr">
        <is>
          <t>龚政涛</t>
        </is>
      </c>
      <c r="L346" s="3">
        <v>45860.85355324074</v>
      </c>
      <c r="M346" s="3">
        <v>45857.333333333336</v>
      </c>
      <c r="N346" s="3">
        <v>45862.43193287037</v>
      </c>
      <c r="O346" s="3">
        <v>45860.333333333336</v>
      </c>
      <c r="P346" s="3">
        <v>45866.68651620371</v>
      </c>
      <c r="Q346" s="2" t="str">
        <f>=HYPERLINK("https://applink.feishu.cn/client/todo/task_list?guid=4d92b9af-66d1-4cd7-95d1-4b753a64ca6b", "跃入迷城")</f>
        <v>跃入迷城</v>
      </c>
      <c r="R346" t="inlineStr">
        <is>
          <t>4d92b9af-66d1-4cd7-95d1-4b753a64ca6b</t>
        </is>
      </c>
      <c r="S346" t="inlineStr">
        <is>
          <t>1ef4b309-db26-4a09-bba8-db9a6247069e</t>
        </is>
      </c>
      <c r="T346">
        <v>0</v>
      </c>
      <c r="U346">
        <v>0</v>
      </c>
      <c r="V346" t="inlineStr">
        <is>
          <t>0.0.5</t>
        </is>
      </c>
      <c r="W346"/>
      <c r="X346" t="inlineStr">
        <is>
          <t>🎨艺术</t>
        </is>
      </c>
      <c r="Y346" t="inlineStr">
        <is>
          <t>UIUX</t>
        </is>
      </c>
      <c r="Z346"/>
      <c r="AA346"/>
      <c r="AB346" t="inlineStr">
        <is>
          <t>72d47dc8-8f11-455f-a465-34ad5853d924</t>
        </is>
      </c>
      <c r="AC346"/>
      <c r="AD346" t="inlineStr">
        <is>
          <t>NzUzMjAzNDQ5ODk2NDY2ODQ0NDoxZWY0YjMwOS1kYjI2LTRhMDktYmJhOC1kYjlhNjI0NzA2OWU6ODA5Y2EzZDk3MGFjMmM1ODk5OGMwYzk5YWM2N2YyNTY6MQ==</t>
        </is>
      </c>
      <c r="AE346"/>
    </row>
    <row r="347" ht="25.5" customHeight="1">
      <c r="A347" s="2" t="str">
        <f>=HYPERLINK("https://applink.feishu.cn/client/todo/detail?guid=396d7ce8-9fcb-4458-82be-49c8ffd67feb&amp;suite_entity_num=t100959", "v0.0.5结束")</f>
        <v>v0.0.5结束</v>
      </c>
      <c r="B347"/>
      <c r="C347" t="inlineStr">
        <is>
          <t>默认分组</t>
        </is>
      </c>
      <c r="D347" t="inlineStr">
        <is>
          <t>0</t>
        </is>
      </c>
      <c r="E347" t="inlineStr">
        <is>
          <t>或签任务</t>
        </is>
      </c>
      <c r="F347"/>
      <c r="G347" t="inlineStr">
        <is>
          <t>1</t>
        </is>
      </c>
      <c r="H347"/>
      <c r="I347" t="inlineStr">
        <is>
          <t>龚政涛</t>
        </is>
      </c>
      <c r="J347" t="inlineStr">
        <is>
          <t>龚政涛</t>
        </is>
      </c>
      <c r="K347" t="inlineStr">
        <is>
          <t>龚政涛</t>
        </is>
      </c>
      <c r="L347" s="3">
        <v>45865.92236111111</v>
      </c>
      <c r="M347" s="3"/>
      <c r="N347" s="3"/>
      <c r="O347" s="3">
        <v>45918.333333333336</v>
      </c>
      <c r="P347" s="3">
        <v>45911.41202546296</v>
      </c>
      <c r="Q347" s="2" t="str">
        <f>=HYPERLINK("https://applink.feishu.cn/client/todo/task_list?guid=4d92b9af-66d1-4cd7-95d1-4b753a64ca6b", "跃入迷城")</f>
        <v>跃入迷城</v>
      </c>
      <c r="R347" t="inlineStr">
        <is>
          <t>4d92b9af-66d1-4cd7-95d1-4b753a64ca6b</t>
        </is>
      </c>
      <c r="S347" t="inlineStr">
        <is>
          <t>396d7ce8-9fcb-4458-82be-49c8ffd67feb</t>
        </is>
      </c>
      <c r="T347">
        <v>0</v>
      </c>
      <c r="U347">
        <v>0</v>
      </c>
      <c r="V347" t="inlineStr">
        <is>
          <t>0.0.5</t>
        </is>
      </c>
      <c r="W347"/>
      <c r="X347"/>
      <c r="Y347"/>
      <c r="Z347"/>
      <c r="AA347"/>
      <c r="AB347"/>
      <c r="AC347"/>
      <c r="AD347" t="inlineStr">
        <is>
          <t>NzUzMjAzNDQ5ODk2NDY2ODQ0NDozOTZkN2NlOC05ZmNiLTQ0NTgtODJiZS00OWM4ZmZkNjdmZWI6MTgxZWQwZDVhMmM4ZGEzYjNjZGY2NzM0MzE4YTNhZDU6MQ==</t>
        </is>
      </c>
      <c r="AE347"/>
    </row>
    <row r="348" ht="25.5" customHeight="1">
      <c r="A348" s="2" t="str">
        <f>=HYPERLINK("https://applink.feishu.cn/client/todo/detail?guid=133aa92b-94f2-4046-8fcc-a92b596d3695&amp;suite_entity_num=t100930", "GUI资产迁移")</f>
        <v>GUI资产迁移</v>
      </c>
      <c r="B348"/>
      <c r="C348" t="inlineStr">
        <is>
          <t>默认分组</t>
        </is>
      </c>
      <c r="D348" t="inlineStr">
        <is>
          <t>1</t>
        </is>
      </c>
      <c r="E348" t="inlineStr">
        <is>
          <t>或签任务</t>
        </is>
      </c>
      <c r="F348"/>
      <c r="G348" t="inlineStr">
        <is>
          <t>0</t>
        </is>
      </c>
      <c r="H348"/>
      <c r="I348" t="inlineStr">
        <is>
          <t>郭斯已</t>
        </is>
      </c>
      <c r="J348" t="inlineStr">
        <is>
          <t>龚政涛,郭斯已</t>
        </is>
      </c>
      <c r="K348" t="inlineStr">
        <is>
          <t>龚政涛</t>
        </is>
      </c>
      <c r="L348" s="3">
        <v>45859.46634259259</v>
      </c>
      <c r="M348" s="3">
        <v>45859.333333333336</v>
      </c>
      <c r="N348" s="3">
        <v>45862.431550925925</v>
      </c>
      <c r="O348" s="3">
        <v>45860.333333333336</v>
      </c>
      <c r="P348" s="3">
        <v>45866.68633101852</v>
      </c>
      <c r="Q348" s="2" t="str">
        <f>=HYPERLINK("https://applink.feishu.cn/client/todo/task_list?guid=4d92b9af-66d1-4cd7-95d1-4b753a64ca6b", "跃入迷城")</f>
        <v>跃入迷城</v>
      </c>
      <c r="R348" t="inlineStr">
        <is>
          <t>4d92b9af-66d1-4cd7-95d1-4b753a64ca6b</t>
        </is>
      </c>
      <c r="S348" t="inlineStr">
        <is>
          <t>133aa92b-94f2-4046-8fcc-a92b596d3695</t>
        </is>
      </c>
      <c r="T348">
        <v>0</v>
      </c>
      <c r="U348">
        <v>0</v>
      </c>
      <c r="V348" t="inlineStr">
        <is>
          <t>0.0.5</t>
        </is>
      </c>
      <c r="W348"/>
      <c r="X348" t="inlineStr">
        <is>
          <t>🎨艺术</t>
        </is>
      </c>
      <c r="Y348" t="inlineStr">
        <is>
          <t>UIUX</t>
        </is>
      </c>
      <c r="Z348"/>
      <c r="AA348"/>
      <c r="AB348" t="inlineStr">
        <is>
          <t>c08b809c-ce26-4c9f-a6a5-b500c4266b7e</t>
        </is>
      </c>
      <c r="AC348"/>
      <c r="AD348" t="inlineStr">
        <is>
          <t>NzUzMjAzNDQ5ODk2NDY2ODQ0NDoxMzNhYTkyYi05NGYyLTQwNDYtOGZjYy1hOTJiNTk2ZDM2OTU6NDZmNGRhMWU2ZmZmY2E4MWY0MGExYWQ3NTI4OTQ1MTI6MQ==</t>
        </is>
      </c>
      <c r="AE348"/>
    </row>
    <row r="349" ht="25.5" customHeight="1">
      <c r="A349" s="2" t="str">
        <f>=HYPERLINK("https://applink.feishu.cn/client/todo/detail?guid=cffa4f2c-fb50-49e2-aad9-4a85adbe2690&amp;suite_entity_num=t100961", "角色插图制作")</f>
        <v>角色插图制作</v>
      </c>
      <c r="B349"/>
      <c r="C349" t="inlineStr">
        <is>
          <t>默认分组</t>
        </is>
      </c>
      <c r="D349" t="inlineStr">
        <is>
          <t>0</t>
        </is>
      </c>
      <c r="E349" t="inlineStr">
        <is>
          <t>或签任务</t>
        </is>
      </c>
      <c r="F349"/>
      <c r="G349" t="inlineStr">
        <is>
          <t>0</t>
        </is>
      </c>
      <c r="H349">
        <v>0.32</v>
      </c>
      <c r="I349" t="inlineStr">
        <is>
          <t>Ke Huang</t>
        </is>
      </c>
      <c r="J349" t="inlineStr">
        <is>
          <t>Ke Huang,陈麒升,龚政涛</t>
        </is>
      </c>
      <c r="K349" t="inlineStr">
        <is>
          <t>龚政涛</t>
        </is>
      </c>
      <c r="L349" s="3">
        <v>45865.92458333333</v>
      </c>
      <c r="M349" s="3"/>
      <c r="N349" s="3"/>
      <c r="O349" s="3"/>
      <c r="P349" s="3">
        <v>45895.47990740741</v>
      </c>
      <c r="Q349" s="2" t="str">
        <f>=HYPERLINK("https://applink.feishu.cn/client/todo/task_list?guid=4d92b9af-66d1-4cd7-95d1-4b753a64ca6b", "跃入迷城")</f>
        <v>跃入迷城</v>
      </c>
      <c r="R349" t="inlineStr">
        <is>
          <t>4d92b9af-66d1-4cd7-95d1-4b753a64ca6b</t>
        </is>
      </c>
      <c r="S349" t="inlineStr">
        <is>
          <t>cffa4f2c-fb50-49e2-aad9-4a85adbe2690</t>
        </is>
      </c>
      <c r="T349">
        <v>19</v>
      </c>
      <c r="U349">
        <v>0</v>
      </c>
      <c r="V349" t="inlineStr">
        <is>
          <t>0.0.5</t>
        </is>
      </c>
      <c r="W349" t="inlineStr">
        <is>
          <t>已拆分</t>
        </is>
      </c>
      <c r="X349" t="inlineStr">
        <is>
          <t>🎨艺术</t>
        </is>
      </c>
      <c r="Y349" t="inlineStr">
        <is>
          <t>平面美术</t>
        </is>
      </c>
      <c r="Z349"/>
      <c r="AA349"/>
      <c r="AB349"/>
      <c r="AC349"/>
      <c r="AD349" t="inlineStr">
        <is>
          <t>NzUzMjAzNDQ5ODk2NDY2ODQ0NDpjZmZhNGYyYy1mYjUwLTQ5ZTItYWFkOS00YTg1YWRiZTI2OTA6YTE4ODczZGEyNWNjNzg5OGIxNjc3MzhkMjIzMGUwNGE6MQ==</t>
        </is>
      </c>
      <c r="AE349"/>
    </row>
    <row r="350" ht="25.5" customHeight="1">
      <c r="A350" s="2" t="str">
        <f>=HYPERLINK("https://applink.feishu.cn/client/todo/detail?guid=f2c4aa90-8040-4349-b5de-2834f95471ce&amp;suite_entity_num=t100957", "调整关卡地图")</f>
        <v>调整关卡地图</v>
      </c>
      <c r="B350"/>
      <c r="C350" t="inlineStr">
        <is>
          <t>默认分组</t>
        </is>
      </c>
      <c r="D350" t="inlineStr">
        <is>
          <t>1</t>
        </is>
      </c>
      <c r="E350" t="inlineStr">
        <is>
          <t>或签任务</t>
        </is>
      </c>
      <c r="F350"/>
      <c r="G350" t="inlineStr">
        <is>
          <t>0</t>
        </is>
      </c>
      <c r="H350"/>
      <c r="I350" t="inlineStr">
        <is>
          <t>rio</t>
        </is>
      </c>
      <c r="J350" t="inlineStr">
        <is>
          <t>龚政涛,rio</t>
        </is>
      </c>
      <c r="K350" t="inlineStr">
        <is>
          <t>龚政涛</t>
        </is>
      </c>
      <c r="L350" s="3">
        <v>45865.91894675926</v>
      </c>
      <c r="M350" s="3">
        <v>45866.333333333336</v>
      </c>
      <c r="N350" s="3">
        <v>45874.40292824074</v>
      </c>
      <c r="O350" s="3">
        <v>45866.333333333336</v>
      </c>
      <c r="P350" s="3">
        <v>45874.40292824074</v>
      </c>
      <c r="Q350" s="2" t="str">
        <f>=HYPERLINK("https://applink.feishu.cn/client/todo/task_list?guid=4d92b9af-66d1-4cd7-95d1-4b753a64ca6b", "跃入迷城")</f>
        <v>跃入迷城</v>
      </c>
      <c r="R350" t="inlineStr">
        <is>
          <t>4d92b9af-66d1-4cd7-95d1-4b753a64ca6b</t>
        </is>
      </c>
      <c r="S350" t="inlineStr">
        <is>
          <t>f2c4aa90-8040-4349-b5de-2834f95471ce</t>
        </is>
      </c>
      <c r="T350">
        <v>0</v>
      </c>
      <c r="U350">
        <v>0</v>
      </c>
      <c r="V350" t="inlineStr">
        <is>
          <t>0.0.5</t>
        </is>
      </c>
      <c r="W350"/>
      <c r="X350" t="inlineStr">
        <is>
          <t>🎮玩法</t>
        </is>
      </c>
      <c r="Y350" t="inlineStr">
        <is>
          <t>关卡</t>
        </is>
      </c>
      <c r="Z350"/>
      <c r="AA350"/>
      <c r="AB350"/>
      <c r="AC350"/>
      <c r="AD350" t="inlineStr">
        <is>
          <t>NzUzMjAzNDQ5ODk2NDY2ODQ0NDpmMmM0YWE5MC04MDQwLTQzNDktYjVkZS0yODM0Zjk1NDcxY2U6YjM5YTQ2ZjY5ZjIxMDA5NjAxNzc3MDg5OWM0ZmUzOTM6MQ==</t>
        </is>
      </c>
      <c r="AE350"/>
    </row>
    <row r="351" ht="25.5" customHeight="1">
      <c xml:space="preserve" r="A351" s="2" t="str">
        <f>=HYPERLINK("https://applink.feishu.cn/client/todo/detail?guid=6d4586f3-a33e-4867-a6df-3d8aada11257&amp;suite_entity_num=t100963", "✨新增：玩家现在在持有远程武器的情况下，可以按V键进行肘击；近战武器会直接触发普通攻击 ")</f>
        <v>✨新增：玩家现在在持有远程武器的情况下，可以按V键进行肘击；近战武器会直接触发普通攻击 </v>
      </c>
      <c r="B351"/>
      <c r="C351" t="inlineStr">
        <is>
          <t>默认分组</t>
        </is>
      </c>
      <c r="D351" t="inlineStr">
        <is>
          <t>1</t>
        </is>
      </c>
      <c r="E351" t="inlineStr">
        <is>
          <t>或签任务</t>
        </is>
      </c>
      <c r="F351"/>
      <c r="G351" t="inlineStr">
        <is>
          <t>0</t>
        </is>
      </c>
      <c r="H351"/>
      <c r="I351" t="inlineStr">
        <is>
          <t>Decay</t>
        </is>
      </c>
      <c r="J351" t="inlineStr">
        <is>
          <t>龚政涛,Decay</t>
        </is>
      </c>
      <c r="K351" t="inlineStr">
        <is>
          <t>龚政涛</t>
        </is>
      </c>
      <c r="L351" s="3">
        <v>45865.937523148146</v>
      </c>
      <c r="M351" s="3"/>
      <c r="N351" s="3">
        <v>45865.93751157408</v>
      </c>
      <c r="O351" s="3"/>
      <c r="P351" s="3">
        <v>45866.69211805556</v>
      </c>
      <c r="Q351" s="2" t="str">
        <f>=HYPERLINK("https://applink.feishu.cn/client/todo/task_list?guid=4d92b9af-66d1-4cd7-95d1-4b753a64ca6b", "跃入迷城")</f>
        <v>跃入迷城</v>
      </c>
      <c r="R351" t="inlineStr">
        <is>
          <t>4d92b9af-66d1-4cd7-95d1-4b753a64ca6b</t>
        </is>
      </c>
      <c r="S351" t="inlineStr">
        <is>
          <t>6d4586f3-a33e-4867-a6df-3d8aada11257</t>
        </is>
      </c>
      <c r="T351">
        <v>0</v>
      </c>
      <c r="U351">
        <v>0</v>
      </c>
      <c r="V351" t="inlineStr">
        <is>
          <t>0.0.5</t>
        </is>
      </c>
      <c r="W351"/>
      <c r="X351" t="inlineStr">
        <is>
          <t>🎮玩法</t>
        </is>
      </c>
      <c r="Y351" t="inlineStr">
        <is>
          <t>操作</t>
        </is>
      </c>
      <c r="Z351"/>
      <c r="AA351"/>
      <c r="AB351"/>
      <c r="AC351"/>
      <c r="AD351" t="inlineStr">
        <is>
          <t>NzUzMjAzNDQ5ODk2NDY2ODQ0NDo2ZDQ1ODZmMy1hMzNlLTQ4NjctYTZkZi0zZDhhYWRhMTEyNTc6MmJlMmU0ZjJlMzIwYTI4ODI1OGY3NzlkMzcxNTQ4Zjk6MQ==</t>
        </is>
      </c>
      <c r="AE351"/>
    </row>
    <row r="352" ht="25.5" customHeight="1">
      <c r="A352" s="2" t="str">
        <f>=HYPERLINK("https://applink.feishu.cn/client/todo/detail?guid=4e435839-4a90-4bcc-baff-f9e5e2de414a&amp;suite_entity_num=t100953", "角色对话文本撰写")</f>
        <v>角色对话文本撰写</v>
      </c>
      <c r="B352"/>
      <c r="C352" t="inlineStr">
        <is>
          <t>默认分组</t>
        </is>
      </c>
      <c r="D352" t="inlineStr">
        <is>
          <t>0</t>
        </is>
      </c>
      <c r="E352" t="inlineStr">
        <is>
          <t>或签任务</t>
        </is>
      </c>
      <c r="F352"/>
      <c r="G352" t="inlineStr">
        <is>
          <t>0</t>
        </is>
      </c>
      <c r="H352"/>
      <c r="I352" t="inlineStr">
        <is>
          <t>肇国亨</t>
        </is>
      </c>
      <c r="J352" t="inlineStr">
        <is>
          <t>龚政涛,肇国亨</t>
        </is>
      </c>
      <c r="K352" t="inlineStr">
        <is>
          <t>龚政涛</t>
        </is>
      </c>
      <c r="L352" s="3">
        <v>45860.6643287037</v>
      </c>
      <c r="M352" s="3"/>
      <c r="N352" s="3"/>
      <c r="O352" s="3"/>
      <c r="P352" s="3">
        <v>45896.51351851852</v>
      </c>
      <c r="Q352" s="2" t="str">
        <f>=HYPERLINK("https://applink.feishu.cn/client/todo/task_list?guid=4d92b9af-66d1-4cd7-95d1-4b753a64ca6b", "跃入迷城")</f>
        <v>跃入迷城</v>
      </c>
      <c r="R352" t="inlineStr">
        <is>
          <t>4d92b9af-66d1-4cd7-95d1-4b753a64ca6b</t>
        </is>
      </c>
      <c r="S352" t="inlineStr">
        <is>
          <t>4e435839-4a90-4bcc-baff-f9e5e2de414a</t>
        </is>
      </c>
      <c r="T352">
        <v>0</v>
      </c>
      <c r="U352">
        <v>0</v>
      </c>
      <c r="V352" t="inlineStr">
        <is>
          <t>0.0.5</t>
        </is>
      </c>
      <c r="W352" t="inlineStr">
        <is>
          <t>已拆分</t>
        </is>
      </c>
      <c r="X352" t="inlineStr">
        <is>
          <t>✍️故事</t>
        </is>
      </c>
      <c r="Y352" t="inlineStr">
        <is>
          <t>台词</t>
        </is>
      </c>
      <c r="Z352"/>
      <c r="AA352" t="inlineStr">
        <is>
          <t>12e16be3-d406-45a9-92d4-447212e1b0fa</t>
        </is>
      </c>
      <c r="AB352" t="inlineStr">
        <is>
          <t>d5833e1c-3aa9-48cd-95dc-6fde78e8b977</t>
        </is>
      </c>
      <c r="AC352"/>
      <c r="AD352" t="inlineStr">
        <is>
          <t>NzUzMjAzNDQ5ODk2NDY2ODQ0NDo0ZTQzNTgzOS00YTkwLTRiY2MtYmFmZi1mOWU1ZTJkZTQxNGE6MzkxOWEwOTQ2Y2MxMWM4OGE4OTE0MGMxYWJmZTM0MGQ6MQ==</t>
        </is>
      </c>
      <c r="AE352"/>
    </row>
    <row r="353" ht="25.5" customHeight="1">
      <c r="A353" s="2" t="str">
        <f>=HYPERLINK("https://applink.feishu.cn/client/todo/detail?guid=f356c602-6674-45f1-9900-0a242a2920dd&amp;suite_entity_num=t100932", "UI界面参考整理")</f>
        <v>UI界面参考整理</v>
      </c>
      <c r="B353" t="inlineStr">
        <is>
          <t>任务关闭，逐步完成</t>
        </is>
      </c>
      <c r="C353" t="inlineStr">
        <is>
          <t>默认分组</t>
        </is>
      </c>
      <c r="D353" t="inlineStr">
        <is>
          <t>1</t>
        </is>
      </c>
      <c r="E353" t="inlineStr">
        <is>
          <t>或签任务</t>
        </is>
      </c>
      <c r="F353"/>
      <c r="G353" t="inlineStr">
        <is>
          <t>0</t>
        </is>
      </c>
      <c r="H353"/>
      <c r="I353" t="inlineStr">
        <is>
          <t>龚政涛</t>
        </is>
      </c>
      <c r="J353" t="inlineStr">
        <is>
          <t>郭斯已,龚政涛</t>
        </is>
      </c>
      <c r="K353" t="inlineStr">
        <is>
          <t>龚政涛</t>
        </is>
      </c>
      <c r="L353" s="3">
        <v>45859.466412037036</v>
      </c>
      <c r="M353" s="3">
        <v>45867.333333333336</v>
      </c>
      <c r="N353" s="3">
        <v>45870.48008101852</v>
      </c>
      <c r="O353" s="3">
        <v>45869.333333333336</v>
      </c>
      <c r="P353" s="3">
        <v>45870.480092592596</v>
      </c>
      <c r="Q353" s="2" t="str">
        <f>=HYPERLINK("https://applink.feishu.cn/client/todo/task_list?guid=4d92b9af-66d1-4cd7-95d1-4b753a64ca6b", "跃入迷城")</f>
        <v>跃入迷城</v>
      </c>
      <c r="R353" t="inlineStr">
        <is>
          <t>4d92b9af-66d1-4cd7-95d1-4b753a64ca6b</t>
        </is>
      </c>
      <c r="S353" t="inlineStr">
        <is>
          <t>f356c602-6674-45f1-9900-0a242a2920dd</t>
        </is>
      </c>
      <c r="T353">
        <v>0</v>
      </c>
      <c r="U353">
        <v>0</v>
      </c>
      <c r="V353" t="inlineStr">
        <is>
          <t>0.0.5</t>
        </is>
      </c>
      <c r="W353"/>
      <c r="X353" t="inlineStr">
        <is>
          <t>🎨艺术</t>
        </is>
      </c>
      <c r="Y353" t="inlineStr">
        <is>
          <t>UIUX</t>
        </is>
      </c>
      <c r="Z353"/>
      <c r="AA353" t="inlineStr">
        <is>
          <t>02d674fa-120d-4427-bc7f-95ce553e5b4f</t>
        </is>
      </c>
      <c r="AB353"/>
      <c r="AC353"/>
      <c r="AD353" t="inlineStr">
        <is>
          <t>NzUzMjAzNDQ5ODk2NDY2ODQ0NDpmMzU2YzYwMi02Njc0LTQ1ZjEtOTkwMC0wYTI0MmEyOTIwZGQ6MzM3NzcyZGQ4ZThlNmMzN2Y2YjJjMzEyM2JlMWMyZGE6MQ==</t>
        </is>
      </c>
      <c r="AE353"/>
    </row>
    <row r="354" ht="25.5" customHeight="1">
      <c r="A354" s="2" t="str">
        <f>=HYPERLINK("https://applink.feishu.cn/client/todo/detail?guid=c08b809c-ce26-4c9f-a6a5-b500c4266b7e&amp;suite_entity_num=t100931", "主题配色选择")</f>
        <v>主题配色选择</v>
      </c>
      <c r="B354"/>
      <c r="C354" t="inlineStr">
        <is>
          <t>默认分组</t>
        </is>
      </c>
      <c r="D354" t="inlineStr">
        <is>
          <t>1</t>
        </is>
      </c>
      <c r="E354" t="inlineStr">
        <is>
          <t>或签任务</t>
        </is>
      </c>
      <c r="F354"/>
      <c r="G354" t="inlineStr">
        <is>
          <t>0</t>
        </is>
      </c>
      <c r="H354"/>
      <c r="I354" t="inlineStr">
        <is>
          <t>郭斯已</t>
        </is>
      </c>
      <c r="J354" t="inlineStr">
        <is>
          <t>龚政涛,郭斯已</t>
        </is>
      </c>
      <c r="K354" t="inlineStr">
        <is>
          <t>龚政涛</t>
        </is>
      </c>
      <c r="L354" s="3">
        <v>45859.46637731481</v>
      </c>
      <c r="M354" s="3">
        <v>45861.333333333336</v>
      </c>
      <c r="N354" s="3">
        <v>45866.68612268518</v>
      </c>
      <c r="O354" s="3">
        <v>45862.333333333336</v>
      </c>
      <c r="P354" s="3">
        <v>45866.69511574074</v>
      </c>
      <c r="Q354" s="2" t="str">
        <f>=HYPERLINK("https://applink.feishu.cn/client/todo/task_list?guid=4d92b9af-66d1-4cd7-95d1-4b753a64ca6b", "跃入迷城")</f>
        <v>跃入迷城</v>
      </c>
      <c r="R354" t="inlineStr">
        <is>
          <t>4d92b9af-66d1-4cd7-95d1-4b753a64ca6b</t>
        </is>
      </c>
      <c r="S354" t="inlineStr">
        <is>
          <t>c08b809c-ce26-4c9f-a6a5-b500c4266b7e</t>
        </is>
      </c>
      <c r="T354">
        <v>0</v>
      </c>
      <c r="U354">
        <v>0</v>
      </c>
      <c r="V354" t="inlineStr">
        <is>
          <t>0.0.5</t>
        </is>
      </c>
      <c r="W354"/>
      <c r="X354" t="inlineStr">
        <is>
          <t>🎨艺术</t>
        </is>
      </c>
      <c r="Y354" t="inlineStr">
        <is>
          <t>UIUX</t>
        </is>
      </c>
      <c r="Z354"/>
      <c r="AA354" t="inlineStr">
        <is>
          <t>133aa92b-94f2-4046-8fcc-a92b596d3695</t>
        </is>
      </c>
      <c r="AB354" t="inlineStr">
        <is>
          <t>02d674fa-120d-4427-bc7f-95ce553e5b4f, e428c9b6-4d7e-4e2e-bfcb-67ac4a95389f</t>
        </is>
      </c>
      <c r="AC354"/>
      <c r="AD354" t="inlineStr">
        <is>
          <t>NzUzMjAzNDQ5ODk2NDY2ODQ0NDpjMDhiODA5Yy1jZTI2LTRjOWYtYTZhNS1iNTAwYzQyNjZiN2U6ZTEwMjc0Yzk2NWI2M2NjNGY1NGY0MjA1ZWQzNzQzMjk6MQ==</t>
        </is>
      </c>
      <c r="AE354"/>
    </row>
    <row r="355" ht="25.5" customHeight="1">
      <c r="A355" s="2" t="str">
        <f>=HYPERLINK("https://applink.feishu.cn/client/todo/detail?guid=6e834da5-40bf-49c7-bc8b-f57b1d2544eb&amp;suite_entity_num=t100933", "修复关卡流转功能")</f>
        <v>修复关卡流转功能</v>
      </c>
      <c r="B355"/>
      <c r="C355" t="inlineStr">
        <is>
          <t>默认分组</t>
        </is>
      </c>
      <c r="D355" t="inlineStr">
        <is>
          <t>1</t>
        </is>
      </c>
      <c r="E355" t="inlineStr">
        <is>
          <t>或签任务</t>
        </is>
      </c>
      <c r="F355"/>
      <c r="G355" t="inlineStr">
        <is>
          <t>0</t>
        </is>
      </c>
      <c r="H355"/>
      <c r="I355" t="inlineStr">
        <is>
          <t>Decay</t>
        </is>
      </c>
      <c r="J355" t="inlineStr">
        <is>
          <t>Decay,龚政涛</t>
        </is>
      </c>
      <c r="K355" t="inlineStr">
        <is>
          <t>龚政涛</t>
        </is>
      </c>
      <c r="L355" s="3">
        <v>45859.670590277776</v>
      </c>
      <c r="M355" s="3">
        <v>45859.333333333336</v>
      </c>
      <c r="N355" s="3">
        <v>45862.432071759256</v>
      </c>
      <c r="O355" s="3">
        <v>45861.333333333336</v>
      </c>
      <c r="P355" s="3">
        <v>45866.674375</v>
      </c>
      <c r="Q355" s="2" t="str">
        <f>=HYPERLINK("https://applink.feishu.cn/client/todo/task_list?guid=4d92b9af-66d1-4cd7-95d1-4b753a64ca6b", "跃入迷城")</f>
        <v>跃入迷城</v>
      </c>
      <c r="R355" t="inlineStr">
        <is>
          <t>4d92b9af-66d1-4cd7-95d1-4b753a64ca6b</t>
        </is>
      </c>
      <c r="S355" t="inlineStr">
        <is>
          <t>6e834da5-40bf-49c7-bc8b-f57b1d2544eb</t>
        </is>
      </c>
      <c r="T355">
        <v>0</v>
      </c>
      <c r="U355">
        <v>0</v>
      </c>
      <c r="V355" t="inlineStr">
        <is>
          <t>0.0.5</t>
        </is>
      </c>
      <c r="W355"/>
      <c r="X355" t="inlineStr">
        <is>
          <t>🛠️技术</t>
        </is>
      </c>
      <c r="Y355" t="inlineStr">
        <is>
          <t>关卡</t>
        </is>
      </c>
      <c r="Z355"/>
      <c r="AA355"/>
      <c r="AB355"/>
      <c r="AC355"/>
      <c r="AD355" t="inlineStr">
        <is>
          <t>NzUzMjAzNDQ5ODk2NDY2ODQ0NDo2ZTgzNGRhNS00MGJmLTQ5YzctYmM4Yi1mNTdiMWQyNTQ0ZWI6MmEyMTYyNmZhZGZlNGQ1YThmZGZkMzY1ZTQyYWRlNGY6MQ==</t>
        </is>
      </c>
      <c r="AE355"/>
    </row>
    <row r="356" ht="25.5" customHeight="1">
      <c xml:space="preserve" r="A356" s="2" t="str">
        <f>=HYPERLINK("https://applink.feishu.cn/client/todo/detail?guid=7c2d9a6b-da4d-4416-b4d4-233c95c31c32&amp;suite_entity_num=t100672", "视觉感知更新回调移入AIController,移除Touch感知，现在的感知更新更稳定，基本不会莫名丢视野 &lt; 🪡修改：现在AI有更好的寻路逻辑，在进入战斗后，不再会尝试移动到无法攻击玩家的空间，也更少会在门口处被堵住 ")</f>
        <v>视觉感知更新回调移入AIController,移除Touch感知，现在的感知更新更稳定，基本不会莫名丢视野 &lt; 🪡修改：现在AI有更好的寻路逻辑，在进入战斗后，不再会尝试移动到无法攻击玩家的空间，也更少会在门口处被堵住 </v>
      </c>
      <c r="B356"/>
      <c r="C356"/>
      <c r="D356" t="inlineStr">
        <is>
          <t>1</t>
        </is>
      </c>
      <c r="E356" t="inlineStr">
        <is>
          <t>或签任务</t>
        </is>
      </c>
      <c r="F356"/>
      <c r="G356" t="inlineStr">
        <is>
          <t>0</t>
        </is>
      </c>
      <c r="H356"/>
      <c r="I356"/>
      <c r="J356" t="inlineStr">
        <is>
          <t>兔只几何</t>
        </is>
      </c>
      <c r="K356" t="inlineStr">
        <is>
          <t>兔只几何</t>
        </is>
      </c>
      <c r="L356" s="3">
        <v>45767.57121527778</v>
      </c>
      <c r="M356" s="3"/>
      <c r="N356" s="3">
        <v>45776.320185185185</v>
      </c>
      <c r="O356" s="3"/>
      <c r="P356" s="3">
        <v>45877.61802083333</v>
      </c>
      <c r="Q356" s="2" t="str">
        <f>=HYPERLINK("https://applink.feishu.cn/client/todo/task_list?guid=4d92b9af-66d1-4cd7-95d1-4b753a64ca6b", "跃入迷城")</f>
        <v>跃入迷城</v>
      </c>
      <c r="R356" t="inlineStr">
        <is>
          <t>4d92b9af-66d1-4cd7-95d1-4b753a64ca6b</t>
        </is>
      </c>
      <c r="S356" t="inlineStr">
        <is>
          <t>7c2d9a6b-da4d-4416-b4d4-233c95c31c32</t>
        </is>
      </c>
      <c r="T356">
        <v>0</v>
      </c>
      <c r="U356">
        <v>0</v>
      </c>
      <c r="V356"/>
      <c r="W356"/>
      <c r="X356" t="inlineStr">
        <is>
          <t>🛠️技术</t>
        </is>
      </c>
      <c r="Y356"/>
      <c r="Z356"/>
      <c r="AA356"/>
      <c r="AB356"/>
      <c r="AC356" t="inlineStr">
        <is>
          <t>f07e046f-c261-44c9-b10e-81f0ed63ea49</t>
        </is>
      </c>
      <c r="AD356" t="inlineStr">
        <is>
          <t>NzUzMjAzNDQ5ODk2NDY2ODQ0NDo3YzJkOWE2Yi1kYTRkLTQ0MTYtYjRkNC0yMzNjOTVjMzFjMzI6ZDE0OTBmMjhiOGU1MWQ3MmRkOTdkNTVjYmYxNzhlZDg6MQ==</t>
        </is>
      </c>
      <c r="AE356"/>
    </row>
    <row r="357" ht="25.5" customHeight="1">
      <c xml:space="preserve" r="A357" s="2" t="str">
        <f>=HYPERLINK("https://applink.feishu.cn/client/todo/detail?guid=1431c7c8-2035-40ee-9aba-918d4a9b91d2&amp;suite_entity_num=t100671", "群体避让，侧向避让 &lt; 🪡修改：现在AI有更好的寻路逻辑，在进入战斗后，不再会尝试移动到无法攻击玩家的空间，也更少会在门口处被堵住 ")</f>
        <v>群体避让，侧向避让 &lt; 🪡修改：现在AI有更好的寻路逻辑，在进入战斗后，不再会尝试移动到无法攻击玩家的空间，也更少会在门口处被堵住 </v>
      </c>
      <c r="B357"/>
      <c r="C357"/>
      <c r="D357" t="inlineStr">
        <is>
          <t>1</t>
        </is>
      </c>
      <c r="E357" t="inlineStr">
        <is>
          <t>或签任务</t>
        </is>
      </c>
      <c r="F357"/>
      <c r="G357" t="inlineStr">
        <is>
          <t>0</t>
        </is>
      </c>
      <c r="H357"/>
      <c r="I357"/>
      <c r="J357" t="inlineStr">
        <is>
          <t>兔只几何</t>
        </is>
      </c>
      <c r="K357" t="inlineStr">
        <is>
          <t>兔只几何</t>
        </is>
      </c>
      <c r="L357" s="3">
        <v>45767.57103009259</v>
      </c>
      <c r="M357" s="3"/>
      <c r="N357" s="3">
        <v>45767.571122685185</v>
      </c>
      <c r="O357" s="3"/>
      <c r="P357" s="3">
        <v>45877.6180787037</v>
      </c>
      <c r="Q357" s="2" t="str">
        <f>=HYPERLINK("https://applink.feishu.cn/client/todo/task_list?guid=4d92b9af-66d1-4cd7-95d1-4b753a64ca6b", "跃入迷城")</f>
        <v>跃入迷城</v>
      </c>
      <c r="R357" t="inlineStr">
        <is>
          <t>4d92b9af-66d1-4cd7-95d1-4b753a64ca6b</t>
        </is>
      </c>
      <c r="S357" t="inlineStr">
        <is>
          <t>1431c7c8-2035-40ee-9aba-918d4a9b91d2</t>
        </is>
      </c>
      <c r="T357">
        <v>0</v>
      </c>
      <c r="U357">
        <v>0</v>
      </c>
      <c r="V357"/>
      <c r="W357"/>
      <c r="X357" t="inlineStr">
        <is>
          <t>🛠️技术</t>
        </is>
      </c>
      <c r="Y357"/>
      <c r="Z357"/>
      <c r="AA357"/>
      <c r="AB357"/>
      <c r="AC357" t="inlineStr">
        <is>
          <t>f07e046f-c261-44c9-b10e-81f0ed63ea49</t>
        </is>
      </c>
      <c r="AD357" t="inlineStr">
        <is>
          <t>NzUzMjAzNDQ5ODk2NDY2ODQ0NDoxNDMxYzdjOC0yMDM1LTQwZWUtOWFiYS05MThkNGE5YjkxZDI6YjlhOGM4ZDViNWQ0NzIyNDM2MzU5MjkyZWNiNmIwNzA6MQ==</t>
        </is>
      </c>
      <c r="AE357"/>
    </row>
    <row r="358" ht="25.5" customHeight="1">
      <c xml:space="preserve" r="A358" s="2" t="str">
        <f>=HYPERLINK("https://applink.feishu.cn/client/todo/detail?guid=553a39a0-446c-45aa-af14-8ebcfbfe83ae&amp;suite_entity_num=t100673", "占位权重寻路(EQS) &lt; 🪡修改：现在AI有更好的寻路逻辑，在进入战斗后，不再会尝试移动到无法攻击玩家的空间，也更少会在门口处被堵住 ")</f>
        <v>占位权重寻路(EQS) &lt; 🪡修改：现在AI有更好的寻路逻辑，在进入战斗后，不再会尝试移动到无法攻击玩家的空间，也更少会在门口处被堵住 </v>
      </c>
      <c r="B358"/>
      <c r="C358"/>
      <c r="D358" t="inlineStr">
        <is>
          <t>1</t>
        </is>
      </c>
      <c r="E358" t="inlineStr">
        <is>
          <t>或签任务</t>
        </is>
      </c>
      <c r="F358"/>
      <c r="G358" t="inlineStr">
        <is>
          <t>0</t>
        </is>
      </c>
      <c r="H358"/>
      <c r="I358"/>
      <c r="J358" t="inlineStr">
        <is>
          <t>兔只几何</t>
        </is>
      </c>
      <c r="K358" t="inlineStr">
        <is>
          <t>兔只几何</t>
        </is>
      </c>
      <c r="L358" s="3">
        <v>45767.571608796294</v>
      </c>
      <c r="M358" s="3"/>
      <c r="N358" s="3">
        <v>45767.57164351852</v>
      </c>
      <c r="O358" s="3"/>
      <c r="P358" s="3">
        <v>45877.618125</v>
      </c>
      <c r="Q358" s="2" t="str">
        <f>=HYPERLINK("https://applink.feishu.cn/client/todo/task_list?guid=4d92b9af-66d1-4cd7-95d1-4b753a64ca6b", "跃入迷城")</f>
        <v>跃入迷城</v>
      </c>
      <c r="R358" t="inlineStr">
        <is>
          <t>4d92b9af-66d1-4cd7-95d1-4b753a64ca6b</t>
        </is>
      </c>
      <c r="S358" t="inlineStr">
        <is>
          <t>553a39a0-446c-45aa-af14-8ebcfbfe83ae</t>
        </is>
      </c>
      <c r="T358">
        <v>0</v>
      </c>
      <c r="U358">
        <v>0</v>
      </c>
      <c r="V358"/>
      <c r="W358"/>
      <c r="X358" t="inlineStr">
        <is>
          <t>🛠️技术</t>
        </is>
      </c>
      <c r="Y358"/>
      <c r="Z358"/>
      <c r="AA358"/>
      <c r="AB358"/>
      <c r="AC358" t="inlineStr">
        <is>
          <t>f07e046f-c261-44c9-b10e-81f0ed63ea49</t>
        </is>
      </c>
      <c r="AD358" t="inlineStr">
        <is>
          <t>NzUzMjAzNDQ5ODk2NDY2ODQ0NDo1NTNhMzlhMC00NDZjLTQ1YWEtYWYxNC04ZWJjZmJmZTgzYWU6MmFmNmJlMWYwYzc5MDMwMTI0ZGNjZWYzYWZjOTA1ZWY6MQ==</t>
        </is>
      </c>
      <c r="AE358"/>
    </row>
    <row r="359" ht="25.5" customHeight="1">
      <c xml:space="preserve" r="A359" s="2" t="str">
        <f>=HYPERLINK("https://applink.feishu.cn/client/todo/detail?guid=e938cd43-c1ea-407e-bb22-0259e4903008&amp;suite_entity_num=t100677", "为特别的非ASC类添加GameplayTagInterface组件 &lt; 🪡修改：现在AI有更好的寻路逻辑，在进入战斗后，不再会尝试移动到无法攻击玩家的空间，也更少会在门口处被堵住 ")</f>
        <v>为特别的非ASC类添加GameplayTagInterface组件 &lt; 🪡修改：现在AI有更好的寻路逻辑，在进入战斗后，不再会尝试移动到无法攻击玩家的空间，也更少会在门口处被堵住 </v>
      </c>
      <c r="B359"/>
      <c r="C359"/>
      <c r="D359" t="inlineStr">
        <is>
          <t>1</t>
        </is>
      </c>
      <c r="E359" t="inlineStr">
        <is>
          <t>或签任务</t>
        </is>
      </c>
      <c r="F359"/>
      <c r="G359" t="inlineStr">
        <is>
          <t>0</t>
        </is>
      </c>
      <c r="H359"/>
      <c r="I359"/>
      <c r="J359" t="inlineStr">
        <is>
          <t>兔只几何</t>
        </is>
      </c>
      <c r="K359" t="inlineStr">
        <is>
          <t>兔只几何</t>
        </is>
      </c>
      <c r="L359" s="3">
        <v>45769.52332175926</v>
      </c>
      <c r="M359" s="3"/>
      <c r="N359" s="3">
        <v>45771.655706018515</v>
      </c>
      <c r="O359" s="3"/>
      <c r="P359" s="3">
        <v>45877.61817129629</v>
      </c>
      <c r="Q359" s="2" t="str">
        <f>=HYPERLINK("https://applink.feishu.cn/client/todo/task_list?guid=4d92b9af-66d1-4cd7-95d1-4b753a64ca6b", "跃入迷城")</f>
        <v>跃入迷城</v>
      </c>
      <c r="R359" t="inlineStr">
        <is>
          <t>4d92b9af-66d1-4cd7-95d1-4b753a64ca6b</t>
        </is>
      </c>
      <c r="S359" t="inlineStr">
        <is>
          <t>e938cd43-c1ea-407e-bb22-0259e4903008</t>
        </is>
      </c>
      <c r="T359">
        <v>0</v>
      </c>
      <c r="U359">
        <v>0</v>
      </c>
      <c r="V359"/>
      <c r="W359"/>
      <c r="X359" t="inlineStr">
        <is>
          <t>🛠️技术</t>
        </is>
      </c>
      <c r="Y359"/>
      <c r="Z359"/>
      <c r="AA359"/>
      <c r="AB359"/>
      <c r="AC359" t="inlineStr">
        <is>
          <t>f07e046f-c261-44c9-b10e-81f0ed63ea49</t>
        </is>
      </c>
      <c r="AD359" t="inlineStr">
        <is>
          <t>NzUzMjAzNDQ5ODk2NDY2ODQ0NDplOTM4Y2Q0My1jMWVhLTQwN2UtYmIyMi0wMjU5ZTQ5MDMwMDg6NjMyNjBlY2E3NmYyN2ZjNmRjNTZlMWY3NmUwNmFjNWI6MQ==</t>
        </is>
      </c>
      <c r="AE359"/>
    </row>
    <row r="360" ht="25.5" customHeight="1">
      <c xml:space="preserve" r="A360" s="2" t="str">
        <f>=HYPERLINK("https://applink.feishu.cn/client/todo/detail?guid=f3977358-102d-4ea0-b352-31756f007f48&amp;suite_entity_num=t100676", "将EQS从Class解耦转换成通过Tag查询，通过subsystem或者别的单例形式缓存Gameplay相关的Env，如果后期需要敌人在巡逻时到吸烟点抽烟等，关门等，简化逻辑可以使用smartobject，有更优化的空间查询和subsystem。已经实现了gameplaytag接口和相关查询方法，等待版本关卡streaming稳定后再尝试优化，一切以Unreal insights为准优化。 &lt; 🪡修改：现在AI有更好的寻路逻辑，在进入战斗后，不再会尝试移动到无法攻击玩家的空间，也更少会在门口处被堵住 ")</f>
        <v>将EQS从Class解耦转换成通过Tag查询，通过subsystem或者别的单例形式缓存Gameplay相关的Env，如果后期需要敌人在巡逻时到吸烟点抽烟等，关门等，简化逻辑可以使用smartobject，有更优化的空间查询和subsystem。已经实现了gameplaytag接口和相关查询方法，等待版本关卡streaming稳定后再尝试优化，一切以Unreal insights为准优化。 &lt; 🪡修改：现在AI有更好的寻路逻辑，在进入战斗后，不再会尝试移动到无法攻击玩家的空间，也更少会在门口处被堵住 </v>
      </c>
      <c r="B360"/>
      <c r="C360"/>
      <c r="D360" t="inlineStr">
        <is>
          <t>1</t>
        </is>
      </c>
      <c r="E360" t="inlineStr">
        <is>
          <t>或签任务</t>
        </is>
      </c>
      <c r="F360"/>
      <c r="G360" t="inlineStr">
        <is>
          <t>0</t>
        </is>
      </c>
      <c r="H360"/>
      <c r="I360"/>
      <c r="J360" t="inlineStr">
        <is>
          <t>兔只几何</t>
        </is>
      </c>
      <c r="K360" t="inlineStr">
        <is>
          <t>兔只几何</t>
        </is>
      </c>
      <c r="L360" s="3">
        <v>45769.522731481484</v>
      </c>
      <c r="M360" s="3"/>
      <c r="N360" s="3">
        <v>45776.32302083333</v>
      </c>
      <c r="O360" s="3"/>
      <c r="P360" s="3">
        <v>45877.61829861111</v>
      </c>
      <c r="Q360" s="2" t="str">
        <f>=HYPERLINK("https://applink.feishu.cn/client/todo/task_list?guid=4d92b9af-66d1-4cd7-95d1-4b753a64ca6b", "跃入迷城")</f>
        <v>跃入迷城</v>
      </c>
      <c r="R360" t="inlineStr">
        <is>
          <t>4d92b9af-66d1-4cd7-95d1-4b753a64ca6b</t>
        </is>
      </c>
      <c r="S360" t="inlineStr">
        <is>
          <t>f3977358-102d-4ea0-b352-31756f007f48</t>
        </is>
      </c>
      <c r="T360">
        <v>0</v>
      </c>
      <c r="U360">
        <v>0</v>
      </c>
      <c r="V360"/>
      <c r="W360"/>
      <c r="X360" t="inlineStr">
        <is>
          <t>🛠️技术</t>
        </is>
      </c>
      <c r="Y360"/>
      <c r="Z360"/>
      <c r="AA360"/>
      <c r="AB360"/>
      <c r="AC360" t="inlineStr">
        <is>
          <t>f07e046f-c261-44c9-b10e-81f0ed63ea49</t>
        </is>
      </c>
      <c r="AD360" t="inlineStr">
        <is>
          <t>NzUzMjAzNDQ5ODk2NDY2ODQ0NDpmMzk3NzM1OC0xMDJkLTRlYTAtYjM1Mi0zMTc1NmYwMDdmNDg6ZjE0MWFkM2UxM2FhZDI1ODAzYTFiYzNmNDMzNDlmYWQ6MQ==</t>
        </is>
      </c>
      <c r="AE360"/>
    </row>
    <row r="361" ht="25.5" customHeight="1">
      <c xml:space="preserve" r="A361" s="2" t="str">
        <f>=HYPERLINK("https://applink.feishu.cn/client/todo/detail?guid=94798d8b-8580-417b-a9d4-e6d348c6cae6&amp;suite_entity_num=t100680", "玩家和怪物同时在门口时怪物会尝试攻击，否则移除区域 &lt; 🪡修改：现在AI有更好的寻路逻辑，在进入战斗后，不再会尝试移动到无法攻击玩家的空间，也更少会在门口处被堵住 ")</f>
        <v>玩家和怪物同时在门口时怪物会尝试攻击，否则移除区域 &lt; 🪡修改：现在AI有更好的寻路逻辑，在进入战斗后，不再会尝试移动到无法攻击玩家的空间，也更少会在门口处被堵住 </v>
      </c>
      <c r="B361"/>
      <c r="C361"/>
      <c r="D361" t="inlineStr">
        <is>
          <t>1</t>
        </is>
      </c>
      <c r="E361" t="inlineStr">
        <is>
          <t>或签任务</t>
        </is>
      </c>
      <c r="F361"/>
      <c r="G361" t="inlineStr">
        <is>
          <t>0</t>
        </is>
      </c>
      <c r="H361"/>
      <c r="I361"/>
      <c r="J361" t="inlineStr">
        <is>
          <t>兔只几何</t>
        </is>
      </c>
      <c r="K361" t="inlineStr">
        <is>
          <t>兔只几何</t>
        </is>
      </c>
      <c r="L361" s="3">
        <v>45776.32356481482</v>
      </c>
      <c r="M361" s="3"/>
      <c r="N361" s="3">
        <v>45776.32400462963</v>
      </c>
      <c r="O361" s="3"/>
      <c r="P361" s="3">
        <v>45877.61834490741</v>
      </c>
      <c r="Q361" s="2" t="str">
        <f>=HYPERLINK("https://applink.feishu.cn/client/todo/task_list?guid=4d92b9af-66d1-4cd7-95d1-4b753a64ca6b", "跃入迷城")</f>
        <v>跃入迷城</v>
      </c>
      <c r="R361" t="inlineStr">
        <is>
          <t>4d92b9af-66d1-4cd7-95d1-4b753a64ca6b</t>
        </is>
      </c>
      <c r="S361" t="inlineStr">
        <is>
          <t>94798d8b-8580-417b-a9d4-e6d348c6cae6</t>
        </is>
      </c>
      <c r="T361">
        <v>0</v>
      </c>
      <c r="U361">
        <v>0</v>
      </c>
      <c r="V361"/>
      <c r="W361"/>
      <c r="X361" t="inlineStr">
        <is>
          <t>🛠️技术</t>
        </is>
      </c>
      <c r="Y361"/>
      <c r="Z361"/>
      <c r="AA361"/>
      <c r="AB361"/>
      <c r="AC361" t="inlineStr">
        <is>
          <t>f07e046f-c261-44c9-b10e-81f0ed63ea49</t>
        </is>
      </c>
      <c r="AD361" t="inlineStr">
        <is>
          <t>NzUzMjAzNDQ5ODk2NDY2ODQ0NDo5NDc5OGQ4Yi04NTgwLTQxN2ItYTlkNC1lNmQzNDhjNmNhZTY6MjZlOTA3OThkMWJiYjg2ZmFhODVlY2FhNjVmOGU0N2Y6MQ==</t>
        </is>
      </c>
      <c r="AE361"/>
    </row>
    <row r="362" ht="25.5" customHeight="1">
      <c xml:space="preserve" r="A362" s="2" t="str">
        <f>=HYPERLINK("https://applink.feishu.cn/client/todo/detail?guid=5e9e7351-66dd-49b9-8541-38c8f9cff307&amp;suite_entity_num=t100681", "怪物远离门的同时远离墙体，玩家少有机会被怪堵墙 &lt; 🪡修改：现在AI有更好的寻路逻辑，在进入战斗后，不再会尝试移动到无法攻击玩家的空间，也更少会在门口处被堵住 ")</f>
        <v>怪物远离门的同时远离墙体，玩家少有机会被怪堵墙 &lt; 🪡修改：现在AI有更好的寻路逻辑，在进入战斗后，不再会尝试移动到无法攻击玩家的空间，也更少会在门口处被堵住 </v>
      </c>
      <c r="B362"/>
      <c r="C362"/>
      <c r="D362" t="inlineStr">
        <is>
          <t>1</t>
        </is>
      </c>
      <c r="E362" t="inlineStr">
        <is>
          <t>或签任务</t>
        </is>
      </c>
      <c r="F362"/>
      <c r="G362" t="inlineStr">
        <is>
          <t>0</t>
        </is>
      </c>
      <c r="H362"/>
      <c r="I362"/>
      <c r="J362" t="inlineStr">
        <is>
          <t>兔只几何</t>
        </is>
      </c>
      <c r="K362" t="inlineStr">
        <is>
          <t>兔只几何</t>
        </is>
      </c>
      <c r="L362" s="3">
        <v>45776.32399305556</v>
      </c>
      <c r="M362" s="3"/>
      <c r="N362" s="3">
        <v>45776.324016203704</v>
      </c>
      <c r="O362" s="3"/>
      <c r="P362" s="3">
        <v>45877.6183912037</v>
      </c>
      <c r="Q362" s="2" t="str">
        <f>=HYPERLINK("https://applink.feishu.cn/client/todo/task_list?guid=4d92b9af-66d1-4cd7-95d1-4b753a64ca6b", "跃入迷城")</f>
        <v>跃入迷城</v>
      </c>
      <c r="R362" t="inlineStr">
        <is>
          <t>4d92b9af-66d1-4cd7-95d1-4b753a64ca6b</t>
        </is>
      </c>
      <c r="S362" t="inlineStr">
        <is>
          <t>5e9e7351-66dd-49b9-8541-38c8f9cff307</t>
        </is>
      </c>
      <c r="T362">
        <v>0</v>
      </c>
      <c r="U362">
        <v>0</v>
      </c>
      <c r="V362"/>
      <c r="W362"/>
      <c r="X362" t="inlineStr">
        <is>
          <t>🛠️技术</t>
        </is>
      </c>
      <c r="Y362"/>
      <c r="Z362"/>
      <c r="AA362"/>
      <c r="AB362"/>
      <c r="AC362" t="inlineStr">
        <is>
          <t>f07e046f-c261-44c9-b10e-81f0ed63ea49</t>
        </is>
      </c>
      <c r="AD362" t="inlineStr">
        <is>
          <t>NzUzMjAzNDQ5ODk2NDY2ODQ0NDo1ZTllNzM1MS02NmRkLTQ5YjktODU0MS0zOGM4ZjljZmYzMDc6NzFhMmYxYjgxMThhMzMyODZiNThjMDIzZDU1MTg3Nzc6MQ==</t>
        </is>
      </c>
      <c r="AE362"/>
    </row>
    <row r="363" ht="25.5" customHeight="1">
      <c xml:space="preserve" r="A363" s="2" t="str">
        <f>=HYPERLINK("https://applink.feishu.cn/client/todo/detail?guid=8fd88b09-3adb-44f9-b2af-1ef0ec52fe30&amp;suite_entity_num=t100683", "更新了EditoryUtility，现在可以直接将TagVolume生成在关卡中所有的门上 &lt; 🪡修改：现在AI有更好的寻路逻辑，在进入战斗后，不再会尝试移动到无法攻击玩家的空间，也更少会在门口处被堵住 ")</f>
        <v>更新了EditoryUtility，现在可以直接将TagVolume生成在关卡中所有的门上 &lt; 🪡修改：现在AI有更好的寻路逻辑，在进入战斗后，不再会尝试移动到无法攻击玩家的空间，也更少会在门口处被堵住 </v>
      </c>
      <c r="B363"/>
      <c r="C363"/>
      <c r="D363" t="inlineStr">
        <is>
          <t>1</t>
        </is>
      </c>
      <c r="E363" t="inlineStr">
        <is>
          <t>或签任务</t>
        </is>
      </c>
      <c r="F363"/>
      <c r="G363" t="inlineStr">
        <is>
          <t>0</t>
        </is>
      </c>
      <c r="H363"/>
      <c r="I363"/>
      <c r="J363" t="inlineStr">
        <is>
          <t>兔只几何</t>
        </is>
      </c>
      <c r="K363" t="inlineStr">
        <is>
          <t>兔只几何</t>
        </is>
      </c>
      <c r="L363" s="3">
        <v>45776.32848379629</v>
      </c>
      <c r="M363" s="3"/>
      <c r="N363" s="3">
        <v>45776.32858796296</v>
      </c>
      <c r="O363" s="3"/>
      <c r="P363" s="3">
        <v>45877.6184375</v>
      </c>
      <c r="Q363" s="2" t="str">
        <f>=HYPERLINK("https://applink.feishu.cn/client/todo/task_list?guid=4d92b9af-66d1-4cd7-95d1-4b753a64ca6b", "跃入迷城")</f>
        <v>跃入迷城</v>
      </c>
      <c r="R363" t="inlineStr">
        <is>
          <t>4d92b9af-66d1-4cd7-95d1-4b753a64ca6b</t>
        </is>
      </c>
      <c r="S363" t="inlineStr">
        <is>
          <t>8fd88b09-3adb-44f9-b2af-1ef0ec52fe30</t>
        </is>
      </c>
      <c r="T363">
        <v>0</v>
      </c>
      <c r="U363">
        <v>0</v>
      </c>
      <c r="V363"/>
      <c r="W363"/>
      <c r="X363" t="inlineStr">
        <is>
          <t>🛠️技术</t>
        </is>
      </c>
      <c r="Y363"/>
      <c r="Z363"/>
      <c r="AA363"/>
      <c r="AB363"/>
      <c r="AC363" t="inlineStr">
        <is>
          <t>f07e046f-c261-44c9-b10e-81f0ed63ea49</t>
        </is>
      </c>
      <c r="AD363" t="inlineStr">
        <is>
          <t>NzUzMjAzNDQ5ODk2NDY2ODQ0NDo4ZmQ4OGIwOS0zYWRiLTQ0ZjktYjJhZi0xZWYwZWM1MmZlMzA6MjA4OGFiYjNiNTM0Y2MwZjUzYzIwZmFjYmMwZDViN2Y6MQ==</t>
        </is>
      </c>
      <c r="AE363"/>
    </row>
    <row r="364" ht="25.5" customHeight="1">
      <c xml:space="preserve" r="A364" s="2" t="str">
        <f>=HYPERLINK("https://applink.feishu.cn/client/todo/detail?guid=47cd0e08-b1e0-4cf0-8fc1-5cf180a65615&amp;suite_entity_num=t100682", "等待验证后将感知部分以组件形式并入正在使用AIController，CommonEnemy的树直接替换掉，不影响现在的其他敌人 &lt; 🪡修改：现在AI有更好的寻路逻辑，在进入战斗后，不再会尝试移动到无法攻击玩家的空间，也更少会在门口处被堵住 ")</f>
        <v>等待验证后将感知部分以组件形式并入正在使用AIController，CommonEnemy的树直接替换掉，不影响现在的其他敌人 &lt; 🪡修改：现在AI有更好的寻路逻辑，在进入战斗后，不再会尝试移动到无法攻击玩家的空间，也更少会在门口处被堵住 </v>
      </c>
      <c r="B364"/>
      <c r="C364"/>
      <c r="D364" t="inlineStr">
        <is>
          <t>1</t>
        </is>
      </c>
      <c r="E364" t="inlineStr">
        <is>
          <t>或签任务</t>
        </is>
      </c>
      <c r="F364"/>
      <c r="G364" t="inlineStr">
        <is>
          <t>0</t>
        </is>
      </c>
      <c r="H364"/>
      <c r="I364" t="inlineStr">
        <is>
          <t>龚政涛</t>
        </is>
      </c>
      <c r="J364" t="inlineStr">
        <is>
          <t>兔只几何,龚政涛</t>
        </is>
      </c>
      <c r="K364" t="inlineStr">
        <is>
          <t>兔只几何</t>
        </is>
      </c>
      <c r="L364" s="3">
        <v>45776.324155092596</v>
      </c>
      <c r="M364" s="3">
        <v>45901.333333333336</v>
      </c>
      <c r="N364" s="3">
        <v>45904.90775462963</v>
      </c>
      <c r="O364" s="3">
        <v>45901.333333333336</v>
      </c>
      <c r="P364" s="3">
        <v>45904.90775462963</v>
      </c>
      <c r="Q364" s="2" t="str">
        <f>=HYPERLINK("https://applink.feishu.cn/client/todo/task_list?guid=4d92b9af-66d1-4cd7-95d1-4b753a64ca6b", "跃入迷城")</f>
        <v>跃入迷城</v>
      </c>
      <c r="R364" t="inlineStr">
        <is>
          <t>4d92b9af-66d1-4cd7-95d1-4b753a64ca6b</t>
        </is>
      </c>
      <c r="S364" t="inlineStr">
        <is>
          <t>47cd0e08-b1e0-4cf0-8fc1-5cf180a65615</t>
        </is>
      </c>
      <c r="T364">
        <v>0</v>
      </c>
      <c r="U364">
        <v>0</v>
      </c>
      <c r="V364"/>
      <c r="W364"/>
      <c r="X364" t="inlineStr">
        <is>
          <t>🛠️技术</t>
        </is>
      </c>
      <c r="Y364"/>
      <c r="Z364"/>
      <c r="AA364"/>
      <c r="AB364" t="inlineStr">
        <is>
          <t>d19fae62-229c-4772-a74e-b9485a121c7c</t>
        </is>
      </c>
      <c r="AC364" t="inlineStr">
        <is>
          <t>f07e046f-c261-44c9-b10e-81f0ed63ea49</t>
        </is>
      </c>
      <c r="AD364" t="inlineStr">
        <is>
          <t>NzUzMjAzNDQ5ODk2NDY2ODQ0NDo0N2NkMGUwOC1iMWUwLTRjZjAtOGZjMS01Y2YxODBhNjU2MTU6NTZmYTMxZjE2NTE5MTBkYjQ4ODY4ZjdmZGNlMTgwM2E6MQ==</t>
        </is>
      </c>
      <c r="AE364"/>
    </row>
    <row r="365" ht="25.5" customHeight="1">
      <c xml:space="preserve" r="A365" s="2" t="str">
        <f>=HYPERLINK("https://applink.feishu.cn/client/todo/detail?guid=622c26f9-dc24-43a2-bb75-b7b0a5059401&amp;suite_entity_num=t100684", "ai在几次巡逻或搜索目标后的一段时间会返回出生点 &lt; 🪡修改：现在AI有更好的寻路逻辑，在进入战斗后，不再会尝试移动到无法攻击玩家的空间，也更少会在门口处被堵住 ")</f>
        <v>ai在几次巡逻或搜索目标后的一段时间会返回出生点 &lt; 🪡修改：现在AI有更好的寻路逻辑，在进入战斗后，不再会尝试移动到无法攻击玩家的空间，也更少会在门口处被堵住 </v>
      </c>
      <c r="B365"/>
      <c r="C365"/>
      <c r="D365" t="inlineStr">
        <is>
          <t>1</t>
        </is>
      </c>
      <c r="E365" t="inlineStr">
        <is>
          <t>或签任务</t>
        </is>
      </c>
      <c r="F365"/>
      <c r="G365" t="inlineStr">
        <is>
          <t>0</t>
        </is>
      </c>
      <c r="H365"/>
      <c r="I365"/>
      <c r="J365" t="inlineStr">
        <is>
          <t>兔只几何</t>
        </is>
      </c>
      <c r="K365" t="inlineStr">
        <is>
          <t>兔只几何</t>
        </is>
      </c>
      <c r="L365" s="3">
        <v>45776.341412037036</v>
      </c>
      <c r="M365" s="3"/>
      <c r="N365" s="3">
        <v>45776.34142361111</v>
      </c>
      <c r="O365" s="3"/>
      <c r="P365" s="3">
        <v>45877.61853009259</v>
      </c>
      <c r="Q365" s="2" t="str">
        <f>=HYPERLINK("https://applink.feishu.cn/client/todo/task_list?guid=4d92b9af-66d1-4cd7-95d1-4b753a64ca6b", "跃入迷城")</f>
        <v>跃入迷城</v>
      </c>
      <c r="R365" t="inlineStr">
        <is>
          <t>4d92b9af-66d1-4cd7-95d1-4b753a64ca6b</t>
        </is>
      </c>
      <c r="S365" t="inlineStr">
        <is>
          <t>622c26f9-dc24-43a2-bb75-b7b0a5059401</t>
        </is>
      </c>
      <c r="T365">
        <v>0</v>
      </c>
      <c r="U365">
        <v>0</v>
      </c>
      <c r="V365"/>
      <c r="W365"/>
      <c r="X365" t="inlineStr">
        <is>
          <t>🛠️技术</t>
        </is>
      </c>
      <c r="Y365"/>
      <c r="Z365"/>
      <c r="AA365"/>
      <c r="AB365"/>
      <c r="AC365" t="inlineStr">
        <is>
          <t>f07e046f-c261-44c9-b10e-81f0ed63ea49</t>
        </is>
      </c>
      <c r="AD365" t="inlineStr">
        <is>
          <t>NzUzMjAzNDQ5ODk2NDY2ODQ0NDo2MjJjMjZmOS1kYzI0LTQzYTItYmI3NS1iN2IwYTUwNTk0MDE6NDA3MTI2ZGZiMmFjMWQ0NTc2YmJmODQ3OGVjZGYzMGY6MQ==</t>
        </is>
      </c>
      <c r="AE365"/>
    </row>
    <row r="366" ht="25.5" customHeight="1">
      <c xml:space="preserve" r="A366" s="2" t="str">
        <f>=HYPERLINK("https://applink.feishu.cn/client/todo/detail?guid=aeb84947-9467-4a2a-a77c-ada3de4050cd&amp;suite_entity_num=t100811", "增加线稿VFX效果 &lt; 🪡修改：更新了战争迷雾区域的视觉效果，现在战争迷雾会正确遮挡未经过的房间内的对象 ")</f>
        <v>增加线稿VFX效果 &lt; 🪡修改：更新了战争迷雾区域的视觉效果，现在战争迷雾会正确遮挡未经过的房间内的对象 </v>
      </c>
      <c r="B366"/>
      <c r="C366"/>
      <c r="D366" t="inlineStr">
        <is>
          <t>1</t>
        </is>
      </c>
      <c r="E366" t="inlineStr">
        <is>
          <t>或签任务</t>
        </is>
      </c>
      <c r="F366"/>
      <c r="G366" t="inlineStr">
        <is>
          <t>0</t>
        </is>
      </c>
      <c r="H366"/>
      <c r="I366"/>
      <c r="J366" t="inlineStr">
        <is>
          <t>龚政涛</t>
        </is>
      </c>
      <c r="K366" t="inlineStr">
        <is>
          <t>龚政涛</t>
        </is>
      </c>
      <c r="L366" s="3">
        <v>45812.45103009259</v>
      </c>
      <c r="M366" s="3"/>
      <c r="N366" s="3">
        <v>45812.45128472222</v>
      </c>
      <c r="O366" s="3"/>
      <c r="P366" s="3">
        <v>45866.66321759259</v>
      </c>
      <c r="Q366" s="2" t="str">
        <f>=HYPERLINK("https://applink.feishu.cn/client/todo/task_list?guid=4d92b9af-66d1-4cd7-95d1-4b753a64ca6b", "跃入迷城")</f>
        <v>跃入迷城</v>
      </c>
      <c r="R366" t="inlineStr">
        <is>
          <t>4d92b9af-66d1-4cd7-95d1-4b753a64ca6b</t>
        </is>
      </c>
      <c r="S366" t="inlineStr">
        <is>
          <t>aeb84947-9467-4a2a-a77c-ada3de4050cd</t>
        </is>
      </c>
      <c r="T366">
        <v>0</v>
      </c>
      <c r="U366">
        <v>0</v>
      </c>
      <c r="V366" t="inlineStr">
        <is>
          <t>0.0.5</t>
        </is>
      </c>
      <c r="W366"/>
      <c r="X366" t="inlineStr">
        <is>
          <t>🎨艺术</t>
        </is>
      </c>
      <c r="Y366" t="inlineStr">
        <is>
          <t>镜头</t>
        </is>
      </c>
      <c r="Z366"/>
      <c r="AA366"/>
      <c r="AB366"/>
      <c r="AC366" t="inlineStr">
        <is>
          <t>33acb82f-b9b1-4ebe-aa2f-a587ffd97005</t>
        </is>
      </c>
      <c r="AD366" t="inlineStr">
        <is>
          <t>NzUzMjAzNDQ5ODk2NDY2ODQ0NDphZWI4NDk0Ny05NDY3LTRhMmEtYTc3Yy1hZGEzZGU0MDUwY2Q6Y2JjZjcxYTcyNmU4NTA4NmE3OWViMzE5ZTMxZGY3ODE6MQ==</t>
        </is>
      </c>
      <c r="AE366"/>
    </row>
    <row r="367" ht="25.5" customHeight="1">
      <c xml:space="preserve" r="A367" s="2" t="str">
        <f>=HYPERLINK("https://applink.feishu.cn/client/todo/detail?guid=dbe56b84-8058-4ba6-9bdf-9d62eb09ff39&amp;suite_entity_num=t100812", "增加双层战争迷雾：非墙壁的内容（家具）在黑色层不显示 &lt; 🪡修改：更新了战争迷雾区域的视觉效果，现在战争迷雾会正确遮挡未经过的房间内的对象 ")</f>
        <v>增加双层战争迷雾：非墙壁的内容（家具）在黑色层不显示 &lt; 🪡修改：更新了战争迷雾区域的视觉效果，现在战争迷雾会正确遮挡未经过的房间内的对象 </v>
      </c>
      <c r="B367"/>
      <c r="C367"/>
      <c r="D367" t="inlineStr">
        <is>
          <t>0</t>
        </is>
      </c>
      <c r="E367" t="inlineStr">
        <is>
          <t>或签任务</t>
        </is>
      </c>
      <c r="F367"/>
      <c r="G367" t="inlineStr">
        <is>
          <t>0</t>
        </is>
      </c>
      <c r="H367"/>
      <c r="I367" t="inlineStr">
        <is>
          <t>Decay</t>
        </is>
      </c>
      <c r="J367" t="inlineStr">
        <is>
          <t>龚政涛,Decay</t>
        </is>
      </c>
      <c r="K367" t="inlineStr">
        <is>
          <t>龚政涛</t>
        </is>
      </c>
      <c r="L367" s="3">
        <v>45812.4512962963</v>
      </c>
      <c r="M367" s="3">
        <v>45882.333333333336</v>
      </c>
      <c r="N367" s="3"/>
      <c r="O367" s="3">
        <v>45882.333333333336</v>
      </c>
      <c r="P367" s="3">
        <v>45880.606087962966</v>
      </c>
      <c r="Q367" s="2" t="str">
        <f>=HYPERLINK("https://applink.feishu.cn/client/todo/task_list?guid=4d92b9af-66d1-4cd7-95d1-4b753a64ca6b", "跃入迷城")</f>
        <v>跃入迷城</v>
      </c>
      <c r="R367" t="inlineStr">
        <is>
          <t>4d92b9af-66d1-4cd7-95d1-4b753a64ca6b</t>
        </is>
      </c>
      <c r="S367" t="inlineStr">
        <is>
          <t>dbe56b84-8058-4ba6-9bdf-9d62eb09ff39</t>
        </is>
      </c>
      <c r="T367">
        <v>0</v>
      </c>
      <c r="U367">
        <v>0</v>
      </c>
      <c r="V367" t="inlineStr">
        <is>
          <t>0.0.5</t>
        </is>
      </c>
      <c r="W367"/>
      <c r="X367" t="inlineStr">
        <is>
          <t>🎨艺术</t>
        </is>
      </c>
      <c r="Y367" t="inlineStr">
        <is>
          <t>镜头</t>
        </is>
      </c>
      <c r="Z367"/>
      <c r="AA367" t="inlineStr">
        <is>
          <t>93209a2b-1743-4f02-9826-009abf85f2fc</t>
        </is>
      </c>
      <c r="AB367" t="inlineStr">
        <is>
          <t>37c599c7-c292-46b5-b71a-6ec18322a928</t>
        </is>
      </c>
      <c r="AC367" t="inlineStr">
        <is>
          <t>33acb82f-b9b1-4ebe-aa2f-a587ffd97005</t>
        </is>
      </c>
      <c r="AD367" t="inlineStr">
        <is>
          <t>NzUzMjAzNDQ5ODk2NDY2ODQ0NDpkYmU1NmI4NC04MDU4LTRiYTYtOWJkZi05ZDYyZWIwOWZmMzk6ZDI3NjQ1ZjhjZTIyM2I3MDNlNWE2NzBhMDQwNmZjZGU6MQ==</t>
        </is>
      </c>
      <c r="AE367"/>
    </row>
    <row r="368" ht="25.5" customHeight="1">
      <c xml:space="preserve" r="A368" s="2" t="str">
        <f>=HYPERLINK("https://applink.feishu.cn/client/todo/detail?guid=37c599c7-c292-46b5-b71a-6ec18322a928&amp;suite_entity_num=t100766", "🪡修改：现在敌人从角色视野中离开后会逐渐消失，而非直接消失 ")</f>
        <v>🪡修改：现在敌人从角色视野中离开后会逐渐消失，而非直接消失 </v>
      </c>
      <c r="B368"/>
      <c r="C368" t="inlineStr">
        <is>
          <t>默认分组</t>
        </is>
      </c>
      <c r="D368" t="inlineStr">
        <is>
          <t>0</t>
        </is>
      </c>
      <c r="E368" t="inlineStr">
        <is>
          <t>或签任务</t>
        </is>
      </c>
      <c r="F368"/>
      <c r="G368" t="inlineStr">
        <is>
          <t>0</t>
        </is>
      </c>
      <c r="H368"/>
      <c r="I368" t="inlineStr">
        <is>
          <t>Decay</t>
        </is>
      </c>
      <c r="J368" t="inlineStr">
        <is>
          <t>龚政涛,Decay</t>
        </is>
      </c>
      <c r="K368" t="inlineStr">
        <is>
          <t>龚政涛</t>
        </is>
      </c>
      <c r="L368" s="3">
        <v>45799.675787037035</v>
      </c>
      <c r="M368" s="3">
        <v>45901.333333333336</v>
      </c>
      <c r="N368" s="3"/>
      <c r="O368" s="3"/>
      <c r="P368" s="3">
        <v>45891.41107638889</v>
      </c>
      <c r="Q368" s="2" t="str">
        <f>=HYPERLINK("https://applink.feishu.cn/client/todo/task_list?guid=4d92b9af-66d1-4cd7-95d1-4b753a64ca6b", "跃入迷城")</f>
        <v>跃入迷城</v>
      </c>
      <c r="R368" t="inlineStr">
        <is>
          <t>4d92b9af-66d1-4cd7-95d1-4b753a64ca6b</t>
        </is>
      </c>
      <c r="S368" t="inlineStr">
        <is>
          <t>37c599c7-c292-46b5-b71a-6ec18322a928</t>
        </is>
      </c>
      <c r="T368">
        <v>0</v>
      </c>
      <c r="U368">
        <v>0</v>
      </c>
      <c r="V368" t="inlineStr">
        <is>
          <t>0.0.5</t>
        </is>
      </c>
      <c r="W368"/>
      <c r="X368" t="inlineStr">
        <is>
          <t>🛠️技术</t>
        </is>
      </c>
      <c r="Y368" t="inlineStr">
        <is>
          <t>镜头</t>
        </is>
      </c>
      <c r="Z368" t="inlineStr">
        <is>
          <t>P1 - Bigger the Better</t>
        </is>
      </c>
      <c r="AA368" t="inlineStr">
        <is>
          <t>dbe56b84-8058-4ba6-9bdf-9d62eb09ff39</t>
        </is>
      </c>
      <c r="AB368"/>
      <c r="AC368"/>
      <c r="AD368" t="inlineStr">
        <is>
          <t>NzUzMjAzNDQ5ODk2NDY2ODQ0NDozN2M1OTljNy1jMjkyLTQ2YjUtYjcxYS02ZWMxODMyMmE5Mjg6MGI2NjI4Mjg0ZjNkZWI0Y2JlNDY3OTgzNWY5MmU4YTQ6MQ==</t>
        </is>
      </c>
      <c r="AE368"/>
    </row>
    <row r="369" ht="25.5" customHeight="1">
      <c r="A369" s="2" t="str">
        <f>=HYPERLINK("https://applink.feishu.cn/client/todo/detail?guid=9386e3ad-53de-4fe7-8cb0-ffcf0d51c147&amp;suite_entity_num=t100800", "增加GROUP功能 &lt; ✨新增：玩家被墙壁遮挡时，会隐藏半墙优化视野")</f>
        <v>增加GROUP功能 &lt; ✨新增：玩家被墙壁遮挡时，会隐藏半墙优化视野</v>
      </c>
      <c r="B369"/>
      <c r="C369"/>
      <c r="D369" t="inlineStr">
        <is>
          <t>0</t>
        </is>
      </c>
      <c r="E369" t="inlineStr">
        <is>
          <t>或签任务</t>
        </is>
      </c>
      <c r="F369"/>
      <c r="G369" t="inlineStr">
        <is>
          <t>0</t>
        </is>
      </c>
      <c r="H369"/>
      <c r="I369" t="inlineStr">
        <is>
          <t>Decay</t>
        </is>
      </c>
      <c r="J369" t="inlineStr">
        <is>
          <t>龚政涛,Decay</t>
        </is>
      </c>
      <c r="K369" t="inlineStr">
        <is>
          <t>龚政涛</t>
        </is>
      </c>
      <c r="L369" s="3">
        <v>45807.87644675926</v>
      </c>
      <c r="M369" s="3">
        <v>45902.333333333336</v>
      </c>
      <c r="N369" s="3"/>
      <c r="O369" s="3">
        <v>45902.333333333336</v>
      </c>
      <c r="P369" s="3">
        <v>45882.651296296295</v>
      </c>
      <c r="Q369" s="2" t="str">
        <f>=HYPERLINK("https://applink.feishu.cn/client/todo/task_list?guid=4d92b9af-66d1-4cd7-95d1-4b753a64ca6b", "跃入迷城")</f>
        <v>跃入迷城</v>
      </c>
      <c r="R369" t="inlineStr">
        <is>
          <t>4d92b9af-66d1-4cd7-95d1-4b753a64ca6b</t>
        </is>
      </c>
      <c r="S369" t="inlineStr">
        <is>
          <t>9386e3ad-53de-4fe7-8cb0-ffcf0d51c147</t>
        </is>
      </c>
      <c r="T369">
        <v>0</v>
      </c>
      <c r="U369">
        <v>0</v>
      </c>
      <c r="V369"/>
      <c r="W369"/>
      <c r="X369" t="inlineStr">
        <is>
          <t>🛠️技术</t>
        </is>
      </c>
      <c r="Y369" t="inlineStr">
        <is>
          <t>关卡</t>
        </is>
      </c>
      <c r="Z369"/>
      <c r="AA369" t="inlineStr">
        <is>
          <t>b731e7fc-2a22-4bbb-a4ef-e1c345f9c36b</t>
        </is>
      </c>
      <c r="AB369" t="inlineStr">
        <is>
          <t>b650bd95-e549-4492-b94b-123812f246e3</t>
        </is>
      </c>
      <c r="AC369" t="inlineStr">
        <is>
          <t>eb3864cf-41d8-4dc6-9bc3-911c11d8ba85</t>
        </is>
      </c>
      <c r="AD369" t="inlineStr">
        <is>
          <t>NzUzMjAzNDQ5ODk2NDY2ODQ0NDo5Mzg2ZTNhZC01M2RlLTRmZTctOGNiMC1mZmNmMGQ1MWMxNDc6Y2JlNzgwODk4NDE2MzU4NjI2ZDU1ODFlNDRjMjAyOWE6MQ==</t>
        </is>
      </c>
      <c r="AE369"/>
    </row>
    <row r="370" ht="25.5" customHeight="1">
      <c r="A370" s="2" t="str">
        <f>=HYPERLINK("https://applink.feishu.cn/client/todo/detail?guid=b650bd95-e549-4492-b94b-123812f246e3&amp;suite_entity_num=t100801", "增加切割高度调整的方法 &lt; ✨新增：玩家被墙壁遮挡时，会隐藏半墙优化视野")</f>
        <v>增加切割高度调整的方法 &lt; ✨新增：玩家被墙壁遮挡时，会隐藏半墙优化视野</v>
      </c>
      <c r="B370"/>
      <c r="C370"/>
      <c r="D370" t="inlineStr">
        <is>
          <t>1</t>
        </is>
      </c>
      <c r="E370" t="inlineStr">
        <is>
          <t>或签任务</t>
        </is>
      </c>
      <c r="F370"/>
      <c r="G370" t="inlineStr">
        <is>
          <t>0</t>
        </is>
      </c>
      <c r="H370"/>
      <c r="I370" t="inlineStr">
        <is>
          <t>Decay</t>
        </is>
      </c>
      <c r="J370" t="inlineStr">
        <is>
          <t>Decay,龚政涛</t>
        </is>
      </c>
      <c r="K370" t="inlineStr">
        <is>
          <t>龚政涛</t>
        </is>
      </c>
      <c r="L370" s="3">
        <v>45807.8765162037</v>
      </c>
      <c r="M370" s="3">
        <v>45903.333333333336</v>
      </c>
      <c r="N370" s="3">
        <v>45880.603171296294</v>
      </c>
      <c r="O370" s="3">
        <v>45903.333333333336</v>
      </c>
      <c r="P370" s="3">
        <v>45882.65130787037</v>
      </c>
      <c r="Q370" s="2" t="str">
        <f>=HYPERLINK("https://applink.feishu.cn/client/todo/task_list?guid=4d92b9af-66d1-4cd7-95d1-4b753a64ca6b", "跃入迷城")</f>
        <v>跃入迷城</v>
      </c>
      <c r="R370" t="inlineStr">
        <is>
          <t>4d92b9af-66d1-4cd7-95d1-4b753a64ca6b</t>
        </is>
      </c>
      <c r="S370" t="inlineStr">
        <is>
          <t>b650bd95-e549-4492-b94b-123812f246e3</t>
        </is>
      </c>
      <c r="T370">
        <v>0</v>
      </c>
      <c r="U370">
        <v>0</v>
      </c>
      <c r="V370"/>
      <c r="W370"/>
      <c r="X370" t="inlineStr">
        <is>
          <t>🛠️技术</t>
        </is>
      </c>
      <c r="Y370" t="inlineStr">
        <is>
          <t>关卡</t>
        </is>
      </c>
      <c r="Z370"/>
      <c r="AA370" t="inlineStr">
        <is>
          <t>9386e3ad-53de-4fe7-8cb0-ffcf0d51c147</t>
        </is>
      </c>
      <c r="AB370" t="inlineStr">
        <is>
          <t>d62d48b9-05dd-4704-9b73-ccc312ad4e03</t>
        </is>
      </c>
      <c r="AC370" t="inlineStr">
        <is>
          <t>eb3864cf-41d8-4dc6-9bc3-911c11d8ba85</t>
        </is>
      </c>
      <c r="AD370" t="inlineStr">
        <is>
          <t>NzUzMjAzNDQ5ODk2NDY2ODQ0NDpiNjUwYmQ5NS1lNTQ5LTQ0OTItYjk0Yi0xMjM4MTJmMjQ2ZTM6Zjg5MGExZTRmODBmYzRjNTRkYzNmZmQ2NDUxNjRmYzk6MQ==</t>
        </is>
      </c>
      <c r="AE370"/>
    </row>
    <row r="371" ht="25.5" customHeight="1">
      <c r="A371" s="2" t="str">
        <f>=HYPERLINK("https://applink.feishu.cn/client/todo/detail?guid=d62d48b9-05dd-4704-9b73-ccc312ad4e03&amp;suite_entity_num=t100802", "将内部色彩调整为黑色 &lt; ✨新增：玩家被墙壁遮挡时，会隐藏半墙优化视野")</f>
        <v>将内部色彩调整为黑色 &lt; ✨新增：玩家被墙壁遮挡时，会隐藏半墙优化视野</v>
      </c>
      <c r="B371"/>
      <c r="C371"/>
      <c r="D371" t="inlineStr">
        <is>
          <t>0</t>
        </is>
      </c>
      <c r="E371" t="inlineStr">
        <is>
          <t>或签任务</t>
        </is>
      </c>
      <c r="F371"/>
      <c r="G371" t="inlineStr">
        <is>
          <t>0</t>
        </is>
      </c>
      <c r="H371"/>
      <c r="I371" t="inlineStr">
        <is>
          <t>Decay</t>
        </is>
      </c>
      <c r="J371" t="inlineStr">
        <is>
          <t>龚政涛,Decay</t>
        </is>
      </c>
      <c r="K371" t="inlineStr">
        <is>
          <t>龚政涛</t>
        </is>
      </c>
      <c r="L371" s="3">
        <v>45807.8765625</v>
      </c>
      <c r="M371" s="3">
        <v>45904.333333333336</v>
      </c>
      <c r="N371" s="3"/>
      <c r="O371" s="3">
        <v>45904.333333333336</v>
      </c>
      <c r="P371" s="3">
        <v>45882.651296296295</v>
      </c>
      <c r="Q371" s="2" t="str">
        <f>=HYPERLINK("https://applink.feishu.cn/client/todo/task_list?guid=4d92b9af-66d1-4cd7-95d1-4b753a64ca6b", "跃入迷城")</f>
        <v>跃入迷城</v>
      </c>
      <c r="R371" t="inlineStr">
        <is>
          <t>4d92b9af-66d1-4cd7-95d1-4b753a64ca6b</t>
        </is>
      </c>
      <c r="S371" t="inlineStr">
        <is>
          <t>d62d48b9-05dd-4704-9b73-ccc312ad4e03</t>
        </is>
      </c>
      <c r="T371">
        <v>0</v>
      </c>
      <c r="U371">
        <v>0</v>
      </c>
      <c r="V371"/>
      <c r="W371"/>
      <c r="X371" t="inlineStr">
        <is>
          <t>🛠️技术</t>
        </is>
      </c>
      <c r="Y371" t="inlineStr">
        <is>
          <t>关卡</t>
        </is>
      </c>
      <c r="Z371"/>
      <c r="AA371" t="inlineStr">
        <is>
          <t>b650bd95-e549-4492-b94b-123812f246e3</t>
        </is>
      </c>
      <c r="AB371" t="inlineStr">
        <is>
          <t>6cade2f9-3a48-4f7b-9594-95685a4f7300</t>
        </is>
      </c>
      <c r="AC371" t="inlineStr">
        <is>
          <t>eb3864cf-41d8-4dc6-9bc3-911c11d8ba85</t>
        </is>
      </c>
      <c r="AD371" t="inlineStr">
        <is>
          <t>NzUzMjAzNDQ5ODk2NDY2ODQ0NDpkNjJkNDhiOS0wNWRkLTQ3MDQtOWI3My1jY2MzMTJhZDRlMDM6YTY5YjAyZTFjZDkzYTFmMmM5OTBiZTY0M2E4ZmQ2MmI6MQ==</t>
        </is>
      </c>
      <c r="AE371"/>
    </row>
    <row r="372" ht="25.5" customHeight="1">
      <c r="A372" s="2" t="str">
        <f>=HYPERLINK("https://applink.feishu.cn/client/todo/detail?guid=6cade2f9-3a48-4f7b-9594-95685a4f7300&amp;suite_entity_num=t100803", "增加FADEIN/OUT效果 &lt; ✨新增：玩家被墙壁遮挡时，会隐藏半墙优化视野")</f>
        <v>增加FADEIN/OUT效果 &lt; ✨新增：玩家被墙壁遮挡时，会隐藏半墙优化视野</v>
      </c>
      <c r="B372"/>
      <c r="C372"/>
      <c r="D372" t="inlineStr">
        <is>
          <t>0</t>
        </is>
      </c>
      <c r="E372" t="inlineStr">
        <is>
          <t>或签任务</t>
        </is>
      </c>
      <c r="F372"/>
      <c r="G372" t="inlineStr">
        <is>
          <t>0</t>
        </is>
      </c>
      <c r="H372"/>
      <c r="I372" t="inlineStr">
        <is>
          <t>Decay</t>
        </is>
      </c>
      <c r="J372" t="inlineStr">
        <is>
          <t>龚政涛,Decay</t>
        </is>
      </c>
      <c r="K372" t="inlineStr">
        <is>
          <t>龚政涛</t>
        </is>
      </c>
      <c r="L372" s="3">
        <v>45807.876608796294</v>
      </c>
      <c r="M372" s="3">
        <v>45905.333333333336</v>
      </c>
      <c r="N372" s="3"/>
      <c r="O372" s="3">
        <v>45905.333333333336</v>
      </c>
      <c r="P372" s="3">
        <v>45882.651296296295</v>
      </c>
      <c r="Q372" s="2" t="str">
        <f>=HYPERLINK("https://applink.feishu.cn/client/todo/task_list?guid=4d92b9af-66d1-4cd7-95d1-4b753a64ca6b", "跃入迷城")</f>
        <v>跃入迷城</v>
      </c>
      <c r="R372" t="inlineStr">
        <is>
          <t>4d92b9af-66d1-4cd7-95d1-4b753a64ca6b</t>
        </is>
      </c>
      <c r="S372" t="inlineStr">
        <is>
          <t>6cade2f9-3a48-4f7b-9594-95685a4f7300</t>
        </is>
      </c>
      <c r="T372">
        <v>0</v>
      </c>
      <c r="U372">
        <v>0</v>
      </c>
      <c r="V372"/>
      <c r="W372"/>
      <c r="X372" t="inlineStr">
        <is>
          <t>🛠️技术</t>
        </is>
      </c>
      <c r="Y372"/>
      <c r="Z372"/>
      <c r="AA372" t="inlineStr">
        <is>
          <t>d62d48b9-05dd-4704-9b73-ccc312ad4e03</t>
        </is>
      </c>
      <c r="AB372" t="inlineStr">
        <is>
          <t>681934ea-1d5f-48c6-9c23-85a668e7cadd</t>
        </is>
      </c>
      <c r="AC372" t="inlineStr">
        <is>
          <t>eb3864cf-41d8-4dc6-9bc3-911c11d8ba85</t>
        </is>
      </c>
      <c r="AD372" t="inlineStr">
        <is>
          <t>NzUzMjAzNDQ5ODk2NDY2ODQ0NDo2Y2FkZTJmOS0zYTQ4LTRmN2ItOTU5NC05NTY4NWE0ZjczMDA6ZWY4MTMwNGE5Mjc0YWNkY2E4MWRjMzdhMmNiNzU3NDA6MQ==</t>
        </is>
      </c>
      <c r="AE372"/>
    </row>
    <row r="373" ht="25.5" customHeight="1">
      <c r="A373" s="2" t="str">
        <f>=HYPERLINK("https://applink.feishu.cn/client/todo/detail?guid=681934ea-1d5f-48c6-9c23-85a668e7cadd&amp;suite_entity_num=t100804", "修复阴影BUG -&gt; 暂时复现不了 &lt; ✨新增：玩家被墙壁遮挡时，会隐藏半墙优化视野")</f>
        <v>修复阴影BUG -&gt; 暂时复现不了 &lt; ✨新增：玩家被墙壁遮挡时，会隐藏半墙优化视野</v>
      </c>
      <c r="B373"/>
      <c r="C373"/>
      <c r="D373" t="inlineStr">
        <is>
          <t>0</t>
        </is>
      </c>
      <c r="E373" t="inlineStr">
        <is>
          <t>或签任务</t>
        </is>
      </c>
      <c r="F373"/>
      <c r="G373" t="inlineStr">
        <is>
          <t>0</t>
        </is>
      </c>
      <c r="H373"/>
      <c r="I373" t="inlineStr">
        <is>
          <t>Decay</t>
        </is>
      </c>
      <c r="J373" t="inlineStr">
        <is>
          <t>龚政涛,Decay</t>
        </is>
      </c>
      <c r="K373" t="inlineStr">
        <is>
          <t>龚政涛</t>
        </is>
      </c>
      <c r="L373" s="3">
        <v>45807.87663194445</v>
      </c>
      <c r="M373" s="3">
        <v>45906.333333333336</v>
      </c>
      <c r="N373" s="3"/>
      <c r="O373" s="3">
        <v>45906.333333333336</v>
      </c>
      <c r="P373" s="3">
        <v>45918.58090277778</v>
      </c>
      <c r="Q373" s="2" t="str">
        <f>=HYPERLINK("https://applink.feishu.cn/client/todo/task_list?guid=4d92b9af-66d1-4cd7-95d1-4b753a64ca6b", "跃入迷城")</f>
        <v>跃入迷城</v>
      </c>
      <c r="R373" t="inlineStr">
        <is>
          <t>4d92b9af-66d1-4cd7-95d1-4b753a64ca6b</t>
        </is>
      </c>
      <c r="S373" t="inlineStr">
        <is>
          <t>681934ea-1d5f-48c6-9c23-85a668e7cadd</t>
        </is>
      </c>
      <c r="T373">
        <v>0</v>
      </c>
      <c r="U373">
        <v>0</v>
      </c>
      <c r="V373"/>
      <c r="W373"/>
      <c r="X373" t="inlineStr">
        <is>
          <t>🛠️技术</t>
        </is>
      </c>
      <c r="Y373"/>
      <c r="Z373"/>
      <c r="AA373" t="inlineStr">
        <is>
          <t>6cade2f9-3a48-4f7b-9594-95685a4f7300</t>
        </is>
      </c>
      <c r="AB373"/>
      <c r="AC373" t="inlineStr">
        <is>
          <t>eb3864cf-41d8-4dc6-9bc3-911c11d8ba85</t>
        </is>
      </c>
      <c r="AD373" t="inlineStr">
        <is>
          <t>NzUzMjAzNDQ5ODk2NDY2ODQ0NDo2ODE5MzRlYS0xZDVmLTQ4YzYtOWMyMy04NWE2NjhlN2NhZGQ6MDlhYTdkNDkzMGU0NzljMDUxMmM1ZTE4MGJkYmMyY2Y6MQ==</t>
        </is>
      </c>
      <c r="AE373"/>
    </row>
    <row r="374" ht="25.5" customHeight="1">
      <c r="A374" s="2" t="str">
        <f>=HYPERLINK("https://applink.feishu.cn/client/todo/detail?guid=0098bdeb-e18b-48f3-9f16-1a1226bf2c3b&amp;suite_entity_num=t100641", "冲刺增加推动/冲击效果来避免玩家被围死的情况 &lt; 🪡修改：翻滚现在会小幅度推开途径的敌人，以确保玩家不会被多个敌人围困")</f>
        <v>冲刺增加推动/冲击效果来避免玩家被围死的情况 &lt; 🪡修改：翻滚现在会小幅度推开途径的敌人，以确保玩家不会被多个敌人围困</v>
      </c>
      <c r="B374"/>
      <c r="C374"/>
      <c r="D374" t="inlineStr">
        <is>
          <t>1</t>
        </is>
      </c>
      <c r="E374" t="inlineStr">
        <is>
          <t>或签任务</t>
        </is>
      </c>
      <c r="F374"/>
      <c r="G374" t="inlineStr">
        <is>
          <t>0</t>
        </is>
      </c>
      <c r="H374"/>
      <c r="I374" t="inlineStr">
        <is>
          <t>Decay</t>
        </is>
      </c>
      <c r="J374" t="inlineStr">
        <is>
          <t>龚政涛,Decay</t>
        </is>
      </c>
      <c r="K374" t="inlineStr">
        <is>
          <t>龚政涛</t>
        </is>
      </c>
      <c r="L374" s="3">
        <v>45740.77782407407</v>
      </c>
      <c r="M374" s="3"/>
      <c r="N374" s="3">
        <v>45812.475127314814</v>
      </c>
      <c r="O374" s="3"/>
      <c r="P374" s="3">
        <v>45868.0375</v>
      </c>
      <c r="Q374" s="2" t="str">
        <f>=HYPERLINK("https://applink.feishu.cn/client/todo/task_list?guid=4d92b9af-66d1-4cd7-95d1-4b753a64ca6b", "跃入迷城")</f>
        <v>跃入迷城</v>
      </c>
      <c r="R374" t="inlineStr">
        <is>
          <t>4d92b9af-66d1-4cd7-95d1-4b753a64ca6b</t>
        </is>
      </c>
      <c r="S374" t="inlineStr">
        <is>
          <t>0098bdeb-e18b-48f3-9f16-1a1226bf2c3b</t>
        </is>
      </c>
      <c r="T374">
        <v>0</v>
      </c>
      <c r="U374">
        <v>1</v>
      </c>
      <c r="V374" t="inlineStr">
        <is>
          <t>0.0.5</t>
        </is>
      </c>
      <c r="W374" t="inlineStr">
        <is>
          <t>已完成</t>
        </is>
      </c>
      <c r="X374" t="inlineStr">
        <is>
          <t>🎮玩法</t>
        </is>
      </c>
      <c r="Y374" t="inlineStr">
        <is>
          <t>操作</t>
        </is>
      </c>
      <c r="Z374" t="inlineStr">
        <is>
          <t>P2 - Nice to Have</t>
        </is>
      </c>
      <c r="AA374"/>
      <c r="AB374"/>
      <c r="AC374" t="inlineStr">
        <is>
          <t>3f5923cc-e7eb-404f-9195-cbad5aac3171</t>
        </is>
      </c>
      <c r="AD374" t="inlineStr">
        <is>
          <t>NzUzMjAzNDQ5ODk2NDY2ODQ0NDowMDk4YmRlYi1lMThiLTQ4ZjMtOWYxNi0xYTEyMjZiZjJjM2I6ODU1MGQ3Nzc3NWNhZGRkNjI2MzI3ZmFmODlhOTcyODk6MQ==</t>
        </is>
      </c>
      <c r="AE374"/>
    </row>
    <row r="375" ht="25.5" customHeight="1">
      <c r="A375" s="2" t="str">
        <f>=HYPERLINK("https://applink.feishu.cn/client/todo/detail?guid=6bb10c0b-4de8-4de5-83ab-825de5f1724f&amp;suite_entity_num=t100678", "翻滚回归 / 翻滚推开敌人 &lt; 🪡修改：翻滚现在会小幅度推开途径的敌人，以确保玩家不会被多个敌人围困")</f>
        <v>翻滚回归 / 翻滚推开敌人 &lt; 🪡修改：翻滚现在会小幅度推开途径的敌人，以确保玩家不会被多个敌人围困</v>
      </c>
      <c r="B375"/>
      <c r="C375"/>
      <c r="D375" t="inlineStr">
        <is>
          <t>1</t>
        </is>
      </c>
      <c r="E375" t="inlineStr">
        <is>
          <t>或签任务</t>
        </is>
      </c>
      <c r="F375"/>
      <c r="G375" t="inlineStr">
        <is>
          <t>0</t>
        </is>
      </c>
      <c r="H375"/>
      <c r="I375" t="inlineStr">
        <is>
          <t>Decay</t>
        </is>
      </c>
      <c r="J375" t="inlineStr">
        <is>
          <t>Decay,龚政涛</t>
        </is>
      </c>
      <c r="K375" t="inlineStr">
        <is>
          <t>Decay</t>
        </is>
      </c>
      <c r="L375" s="3">
        <v>45772.854837962965</v>
      </c>
      <c r="M375" s="3"/>
      <c r="N375" s="3">
        <v>45812.47666666667</v>
      </c>
      <c r="O375" s="3"/>
      <c r="P375" s="3">
        <v>45868.03747685185</v>
      </c>
      <c r="Q375" s="2" t="str">
        <f>=HYPERLINK("https://applink.feishu.cn/client/todo/task_list?guid=4d92b9af-66d1-4cd7-95d1-4b753a64ca6b", "跃入迷城")</f>
        <v>跃入迷城</v>
      </c>
      <c r="R375" t="inlineStr">
        <is>
          <t>4d92b9af-66d1-4cd7-95d1-4b753a64ca6b</t>
        </is>
      </c>
      <c r="S375" t="inlineStr">
        <is>
          <t>6bb10c0b-4de8-4de5-83ab-825de5f1724f</t>
        </is>
      </c>
      <c r="T375">
        <v>0</v>
      </c>
      <c r="U375">
        <v>11</v>
      </c>
      <c r="V375" t="inlineStr">
        <is>
          <t>0.0.5</t>
        </is>
      </c>
      <c r="W375" t="inlineStr">
        <is>
          <t>已完成</t>
        </is>
      </c>
      <c r="X375" t="inlineStr">
        <is>
          <t>🎮玩法</t>
        </is>
      </c>
      <c r="Y375" t="inlineStr">
        <is>
          <t>操作</t>
        </is>
      </c>
      <c r="Z375" t="inlineStr">
        <is>
          <t>P2 - Nice to Have</t>
        </is>
      </c>
      <c r="AA375"/>
      <c r="AB375"/>
      <c r="AC375" t="inlineStr">
        <is>
          <t>3f5923cc-e7eb-404f-9195-cbad5aac3171</t>
        </is>
      </c>
      <c r="AD375" t="inlineStr">
        <is>
          <t>NzUzMjAzNDQ5ODk2NDY2ODQ0NDo2YmIxMGMwYi00ZGU4LTRkZTUtODNhYi04MjVkZTVmMTcyNGY6ODdhMzlhODY3M2YyZDNjMDhkMmY1ZmQzNTE3N2ZkZTA6MQ==</t>
        </is>
      </c>
      <c r="AE375"/>
    </row>
    <row r="376" ht="25.5" customHeight="1">
      <c r="A376" s="2" t="str">
        <f>=HYPERLINK("https://applink.feishu.cn/client/todo/detail?guid=13662a7e-555d-4e77-9ce5-eeae2548b133&amp;suite_entity_num=t100947", "夏洛特角色模型 &lt; 角色模型制作")</f>
        <v>夏洛特角色模型 &lt; 角色模型制作</v>
      </c>
      <c r="B376"/>
      <c r="C376"/>
      <c r="D376" t="inlineStr">
        <is>
          <t>0</t>
        </is>
      </c>
      <c r="E376" t="inlineStr">
        <is>
          <t>或签任务</t>
        </is>
      </c>
      <c r="F376"/>
      <c r="G376" t="inlineStr">
        <is>
          <t>0</t>
        </is>
      </c>
      <c r="H376"/>
      <c r="I376" t="inlineStr">
        <is>
          <t>陈吉瑞</t>
        </is>
      </c>
      <c r="J376" t="inlineStr">
        <is>
          <t>龚政涛,陈麒升,陈吉瑞</t>
        </is>
      </c>
      <c r="K376" t="inlineStr">
        <is>
          <t>龚政涛</t>
        </is>
      </c>
      <c r="L376" s="3">
        <v>45860.42134259259</v>
      </c>
      <c r="M376" s="3">
        <v>45896.333333333336</v>
      </c>
      <c r="N376" s="3"/>
      <c r="O376" s="3">
        <v>45898.333333333336</v>
      </c>
      <c r="P376" s="3">
        <v>45895.482395833336</v>
      </c>
      <c r="Q376" s="2" t="str">
        <f>=HYPERLINK("https://applink.feishu.cn/client/todo/task_list?guid=4d92b9af-66d1-4cd7-95d1-4b753a64ca6b", "跃入迷城")</f>
        <v>跃入迷城</v>
      </c>
      <c r="R376" t="inlineStr">
        <is>
          <t>4d92b9af-66d1-4cd7-95d1-4b753a64ca6b</t>
        </is>
      </c>
      <c r="S376" t="inlineStr">
        <is>
          <t>13662a7e-555d-4e77-9ce5-eeae2548b133</t>
        </is>
      </c>
      <c r="T376">
        <v>0</v>
      </c>
      <c r="U376">
        <v>0</v>
      </c>
      <c r="V376"/>
      <c r="W376"/>
      <c r="X376" t="inlineStr">
        <is>
          <t>🎨艺术</t>
        </is>
      </c>
      <c r="Y376"/>
      <c r="Z376"/>
      <c r="AA376"/>
      <c r="AB376"/>
      <c r="AC376" t="inlineStr">
        <is>
          <t>d4fe14e4-ffc8-4525-9146-aab0528eee0a</t>
        </is>
      </c>
      <c r="AD376" t="inlineStr">
        <is>
          <t>NzUzMjAzNDQ5ODk2NDY2ODQ0NDoxMzY2MmE3ZS01NTVkLTRlNzctOWNlNS1lZWFlMjU0OGIxMzM6NzAxZTYzNjVhNjJlYmIyOTc0NDEyNTJhMzg3YzdkODA6MQ==</t>
        </is>
      </c>
      <c r="AE376"/>
    </row>
    <row r="377" ht="25.5" customHeight="1">
      <c r="A377" s="2" t="str">
        <f>=HYPERLINK("https://applink.feishu.cn/client/todo/detail?guid=18a34941-c8c9-4960-acee-cee063b5c389&amp;suite_entity_num=t100948", "瑞文角色模型 &lt; 角色模型制作")</f>
        <v>瑞文角色模型 &lt; 角色模型制作</v>
      </c>
      <c r="B377"/>
      <c r="C377" t="inlineStr">
        <is>
          <t>默认分组</t>
        </is>
      </c>
      <c r="D377" t="inlineStr">
        <is>
          <t>0</t>
        </is>
      </c>
      <c r="E377" t="inlineStr">
        <is>
          <t>或签任务</t>
        </is>
      </c>
      <c r="F377"/>
      <c r="G377" t="inlineStr">
        <is>
          <t>0</t>
        </is>
      </c>
      <c r="H377">
        <v>1</v>
      </c>
      <c r="I377" t="inlineStr">
        <is>
          <t>陈吉瑞</t>
        </is>
      </c>
      <c r="J377" t="inlineStr">
        <is>
          <t>陈麒升,龚政涛,陈吉瑞</t>
        </is>
      </c>
      <c r="K377" t="inlineStr">
        <is>
          <t>龚政涛</t>
        </is>
      </c>
      <c r="L377" s="3">
        <v>45860.42152777778</v>
      </c>
      <c r="M377" s="3"/>
      <c r="N377" s="3"/>
      <c r="O377" s="3"/>
      <c r="P377" s="3">
        <v>45896.513715277775</v>
      </c>
      <c r="Q377" s="2" t="str">
        <f>=HYPERLINK("https://applink.feishu.cn/client/todo/task_list?guid=4d92b9af-66d1-4cd7-95d1-4b753a64ca6b", "跃入迷城")</f>
        <v>跃入迷城</v>
      </c>
      <c r="R377" t="inlineStr">
        <is>
          <t>4d92b9af-66d1-4cd7-95d1-4b753a64ca6b</t>
        </is>
      </c>
      <c r="S377" t="inlineStr">
        <is>
          <t>18a34941-c8c9-4960-acee-cee063b5c389</t>
        </is>
      </c>
      <c r="T377">
        <v>1</v>
      </c>
      <c r="U377">
        <v>0</v>
      </c>
      <c r="V377" t="inlineStr">
        <is>
          <t>0.0.5</t>
        </is>
      </c>
      <c r="W377" t="inlineStr">
        <is>
          <t>已拆分</t>
        </is>
      </c>
      <c r="X377" t="inlineStr">
        <is>
          <t>🎨艺术</t>
        </is>
      </c>
      <c r="Y377" t="inlineStr">
        <is>
          <t>模型</t>
        </is>
      </c>
      <c r="Z377"/>
      <c r="AA377"/>
      <c r="AB377"/>
      <c r="AC377" t="inlineStr">
        <is>
          <t>d4fe14e4-ffc8-4525-9146-aab0528eee0a</t>
        </is>
      </c>
      <c r="AD377" t="inlineStr">
        <is>
          <t>NzUzMjAzNDQ5ODk2NDY2ODQ0NDoxOGEzNDk0MS1jOGM5LTQ5NjAtYWNlZS1jZWUwNjNiNWMzODk6NWZhYTc3ZTAxMGFkM2ZjOTlmMTViYjMxN2E5OTYyNDA6MQ==</t>
        </is>
      </c>
      <c r="AE377"/>
    </row>
    <row r="378" ht="25.5" customHeight="1">
      <c r="A378" s="2" t="str">
        <f>=HYPERLINK("https://applink.feishu.cn/client/todo/detail?guid=f6a9584e-ce84-4c24-a568-b1cea730723d&amp;suite_entity_num=t100949", "冈特角色模型 &lt; 角色模型制作")</f>
        <v>冈特角色模型 &lt; 角色模型制作</v>
      </c>
      <c r="B378"/>
      <c r="C378"/>
      <c r="D378" t="inlineStr">
        <is>
          <t>0</t>
        </is>
      </c>
      <c r="E378" t="inlineStr">
        <is>
          <t>或签任务</t>
        </is>
      </c>
      <c r="F378"/>
      <c r="G378" t="inlineStr">
        <is>
          <t>0</t>
        </is>
      </c>
      <c r="H378"/>
      <c r="I378" t="inlineStr">
        <is>
          <t>陈吉瑞</t>
        </is>
      </c>
      <c r="J378" t="inlineStr">
        <is>
          <t>龚政涛,陈麒升,陈吉瑞</t>
        </is>
      </c>
      <c r="K378" t="inlineStr">
        <is>
          <t>龚政涛</t>
        </is>
      </c>
      <c r="L378" s="3">
        <v>45860.422685185185</v>
      </c>
      <c r="M378" s="3">
        <v>45899.333333333336</v>
      </c>
      <c r="N378" s="3"/>
      <c r="O378" s="3">
        <v>45905.333333333336</v>
      </c>
      <c r="P378" s="3">
        <v>45882.49621527778</v>
      </c>
      <c r="Q378" s="2" t="str">
        <f>=HYPERLINK("https://applink.feishu.cn/client/todo/task_list?guid=4d92b9af-66d1-4cd7-95d1-4b753a64ca6b", "跃入迷城")</f>
        <v>跃入迷城</v>
      </c>
      <c r="R378" t="inlineStr">
        <is>
          <t>4d92b9af-66d1-4cd7-95d1-4b753a64ca6b</t>
        </is>
      </c>
      <c r="S378" t="inlineStr">
        <is>
          <t>f6a9584e-ce84-4c24-a568-b1cea730723d</t>
        </is>
      </c>
      <c r="T378">
        <v>0</v>
      </c>
      <c r="U378">
        <v>0</v>
      </c>
      <c r="V378"/>
      <c r="W378"/>
      <c r="X378" t="inlineStr">
        <is>
          <t>🎨艺术</t>
        </is>
      </c>
      <c r="Y378"/>
      <c r="Z378"/>
      <c r="AA378"/>
      <c r="AB378" t="inlineStr">
        <is>
          <t>13c24a56-ebc7-4034-bac1-0cea1738f217</t>
        </is>
      </c>
      <c r="AC378" t="inlineStr">
        <is>
          <t>d4fe14e4-ffc8-4525-9146-aab0528eee0a</t>
        </is>
      </c>
      <c r="AD378" t="inlineStr">
        <is>
          <t>NzUzMjAzNDQ5ODk2NDY2ODQ0NDpmNmE5NTg0ZS1jZTg0LTRjMjQtYTU2OC1iMWNlYTczMDcyM2Q6NzM5N2JjMzU0MzlhYWNjMGEyMzNiNjdkMDRhY2FlODM6MQ==</t>
        </is>
      </c>
      <c r="AE378"/>
    </row>
    <row r="379" ht="25.5" customHeight="1">
      <c r="A379" s="2" t="str">
        <f>=HYPERLINK("https://applink.feishu.cn/client/todo/detail?guid=13c24a56-ebc7-4034-bac1-0cea1738f217&amp;suite_entity_num=t100950", "莫里角色模型 &lt; 角色模型制作")</f>
        <v>莫里角色模型 &lt; 角色模型制作</v>
      </c>
      <c r="B379"/>
      <c r="C379"/>
      <c r="D379" t="inlineStr">
        <is>
          <t>0</t>
        </is>
      </c>
      <c r="E379" t="inlineStr">
        <is>
          <t>或签任务</t>
        </is>
      </c>
      <c r="F379"/>
      <c r="G379" t="inlineStr">
        <is>
          <t>0</t>
        </is>
      </c>
      <c r="H379"/>
      <c r="I379" t="inlineStr">
        <is>
          <t>陈吉瑞</t>
        </is>
      </c>
      <c r="J379" t="inlineStr">
        <is>
          <t>陈麒升,龚政涛,陈吉瑞</t>
        </is>
      </c>
      <c r="K379" t="inlineStr">
        <is>
          <t>龚政涛</t>
        </is>
      </c>
      <c r="L379" s="3">
        <v>45860.42318287037</v>
      </c>
      <c r="M379" s="3">
        <v>45906.333333333336</v>
      </c>
      <c r="N379" s="3"/>
      <c r="O379" s="3">
        <v>45912.333333333336</v>
      </c>
      <c r="P379" s="3">
        <v>45890.48278935185</v>
      </c>
      <c r="Q379" s="2" t="str">
        <f>=HYPERLINK("https://applink.feishu.cn/client/todo/task_list?guid=4d92b9af-66d1-4cd7-95d1-4b753a64ca6b", "跃入迷城")</f>
        <v>跃入迷城</v>
      </c>
      <c r="R379" t="inlineStr">
        <is>
          <t>4d92b9af-66d1-4cd7-95d1-4b753a64ca6b</t>
        </is>
      </c>
      <c r="S379" t="inlineStr">
        <is>
          <t>13c24a56-ebc7-4034-bac1-0cea1738f217</t>
        </is>
      </c>
      <c r="T379">
        <v>0</v>
      </c>
      <c r="U379">
        <v>0</v>
      </c>
      <c r="V379"/>
      <c r="W379"/>
      <c r="X379" t="inlineStr">
        <is>
          <t>🎨艺术</t>
        </is>
      </c>
      <c r="Y379"/>
      <c r="Z379"/>
      <c r="AA379" t="inlineStr">
        <is>
          <t>f6a9584e-ce84-4c24-a568-b1cea730723d</t>
        </is>
      </c>
      <c r="AB379"/>
      <c r="AC379" t="inlineStr">
        <is>
          <t>d4fe14e4-ffc8-4525-9146-aab0528eee0a</t>
        </is>
      </c>
      <c r="AD379" t="inlineStr">
        <is>
          <t>NzUzMjAzNDQ5ODk2NDY2ODQ0NDoxM2MyNGE1Ni1lYmM3LTQwMzQtYmFjMS0wY2VhMTczOGYyMTc6YWExNzQwZDAzZmFkY2EzYjg2ZTJhZWIwODcyNDZjMWI6MQ==</t>
        </is>
      </c>
      <c r="AE379"/>
    </row>
    <row r="380" ht="25.5" customHeight="1">
      <c r="A380" s="2" t="str">
        <f>=HYPERLINK("https://applink.feishu.cn/client/todo/detail?guid=b95ed6b3-b4ac-4c3e-9e75-a94ee2d2ab42&amp;suite_entity_num=t100951", "艾莉娅角色模型 &lt; 角色模型制作")</f>
        <v>艾莉娅角色模型 &lt; 角色模型制作</v>
      </c>
      <c r="B380"/>
      <c r="C380" t="inlineStr">
        <is>
          <t>默认分组</t>
        </is>
      </c>
      <c r="D380" t="inlineStr">
        <is>
          <t>0</t>
        </is>
      </c>
      <c r="E380" t="inlineStr">
        <is>
          <t>或签任务</t>
        </is>
      </c>
      <c r="F380"/>
      <c r="G380" t="inlineStr">
        <is>
          <t>0</t>
        </is>
      </c>
      <c r="H380">
        <v>1</v>
      </c>
      <c r="I380" t="inlineStr">
        <is>
          <t>陈吉瑞</t>
        </is>
      </c>
      <c r="J380" t="inlineStr">
        <is>
          <t>龚政涛,陈麒升,陈吉瑞</t>
        </is>
      </c>
      <c r="K380" t="inlineStr">
        <is>
          <t>龚政涛</t>
        </is>
      </c>
      <c r="L380" s="3">
        <v>45860.42427083333</v>
      </c>
      <c r="M380" s="3"/>
      <c r="N380" s="3"/>
      <c r="O380" s="3"/>
      <c r="P380" s="3">
        <v>45896.51383101852</v>
      </c>
      <c r="Q380" s="2" t="str">
        <f>=HYPERLINK("https://applink.feishu.cn/client/todo/task_list?guid=4d92b9af-66d1-4cd7-95d1-4b753a64ca6b", "跃入迷城")</f>
        <v>跃入迷城</v>
      </c>
      <c r="R380" t="inlineStr">
        <is>
          <t>4d92b9af-66d1-4cd7-95d1-4b753a64ca6b</t>
        </is>
      </c>
      <c r="S380" t="inlineStr">
        <is>
          <t>b95ed6b3-b4ac-4c3e-9e75-a94ee2d2ab42</t>
        </is>
      </c>
      <c r="T380">
        <v>2</v>
      </c>
      <c r="U380">
        <v>0</v>
      </c>
      <c r="V380" t="inlineStr">
        <is>
          <t>0.0.5</t>
        </is>
      </c>
      <c r="W380" t="inlineStr">
        <is>
          <t>已拆分</t>
        </is>
      </c>
      <c r="X380" t="inlineStr">
        <is>
          <t>🎨艺术</t>
        </is>
      </c>
      <c r="Y380" t="inlineStr">
        <is>
          <t>模型</t>
        </is>
      </c>
      <c r="Z380"/>
      <c r="AA380"/>
      <c r="AB380"/>
      <c r="AC380" t="inlineStr">
        <is>
          <t>d4fe14e4-ffc8-4525-9146-aab0528eee0a</t>
        </is>
      </c>
      <c r="AD380" t="inlineStr">
        <is>
          <t>NzUzMjAzNDQ5ODk2NDY2ODQ0NDpiOTVlZDZiMy1iNGFjLTRjM2UtOWU3NS1hOTRlZTJkMmFiNDI6YmJkODU4Yzc1MTg5MjMxMTY2YTAzNzY1ODJhYTI1ZjU6MQ==</t>
        </is>
      </c>
      <c r="AE380"/>
    </row>
    <row r="381" ht="25.5" customHeight="1">
      <c r="A381" s="2" t="str">
        <f>=HYPERLINK("https://applink.feishu.cn/client/todo/detail?guid=967c2b80-3d05-4fc5-97b8-7344279c1ad2&amp;suite_entity_num=t100936", "伽拉提角色模型 &lt; 角色模型制作")</f>
        <v>伽拉提角色模型 &lt; 角色模型制作</v>
      </c>
      <c r="B381"/>
      <c r="C381"/>
      <c r="D381" t="inlineStr">
        <is>
          <t>0</t>
        </is>
      </c>
      <c r="E381" t="inlineStr">
        <is>
          <t>或签任务</t>
        </is>
      </c>
      <c r="F381"/>
      <c r="G381" t="inlineStr">
        <is>
          <t>0</t>
        </is>
      </c>
      <c r="H381"/>
      <c r="I381" t="inlineStr">
        <is>
          <t>陈吉瑞</t>
        </is>
      </c>
      <c r="J381" t="inlineStr">
        <is>
          <t>龚政涛,陈麒升,陈吉瑞</t>
        </is>
      </c>
      <c r="K381" t="inlineStr">
        <is>
          <t>龚政涛</t>
        </is>
      </c>
      <c r="L381" s="3">
        <v>45859.671481481484</v>
      </c>
      <c r="M381" s="3">
        <v>45896.333333333336</v>
      </c>
      <c r="N381" s="3"/>
      <c r="O381" s="3">
        <v>45900.333333333336</v>
      </c>
      <c r="P381" s="3">
        <v>45895.482407407406</v>
      </c>
      <c r="Q381" s="2" t="str">
        <f>=HYPERLINK("https://applink.feishu.cn/client/todo/task_list?guid=4d92b9af-66d1-4cd7-95d1-4b753a64ca6b", "跃入迷城")</f>
        <v>跃入迷城</v>
      </c>
      <c r="R381" t="inlineStr">
        <is>
          <t>4d92b9af-66d1-4cd7-95d1-4b753a64ca6b</t>
        </is>
      </c>
      <c r="S381" t="inlineStr">
        <is>
          <t>967c2b80-3d05-4fc5-97b8-7344279c1ad2</t>
        </is>
      </c>
      <c r="T381">
        <v>0</v>
      </c>
      <c r="U381">
        <v>0</v>
      </c>
      <c r="V381"/>
      <c r="W381"/>
      <c r="X381" t="inlineStr">
        <is>
          <t>🎨艺术</t>
        </is>
      </c>
      <c r="Y381"/>
      <c r="Z381"/>
      <c r="AA381"/>
      <c r="AB381"/>
      <c r="AC381" t="inlineStr">
        <is>
          <t>d4fe14e4-ffc8-4525-9146-aab0528eee0a</t>
        </is>
      </c>
      <c r="AD381" t="inlineStr">
        <is>
          <t>NzUzMjAzNDQ5ODk2NDY2ODQ0NDo5NjdjMmI4MC0zZDA1LTRmYzUtOTdiOC03MzQ0Mjc5YzFhZDI6ODZjZWZmMTQ4NDY1MmZiODNmNDBlMWNiMzMwMTY4NTY6MQ==</t>
        </is>
      </c>
      <c r="AE381"/>
    </row>
    <row r="382" ht="25.5" customHeight="1">
      <c r="A382" s="2" t="str">
        <f>=HYPERLINK("https://applink.feishu.cn/client/todo/detail?guid=8f62c940-7ec8-4bbf-8173-e9153b8d2d70&amp;suite_entity_num=t100946", "https://dikpa4hrtn9.feishu.cn/wiki/ChLCwnfsYieSXRkAfaUcZp0Fn0b插图 &lt; 角色插图制作")</f>
        <v>https://dikpa4hrtn9.feishu.cn/wiki/ChLCwnfsYieSXRkAfaUcZp0Fn0b插图 &lt; 角色插图制作</v>
      </c>
      <c r="B382"/>
      <c r="C382"/>
      <c r="D382" t="inlineStr">
        <is>
          <t>0</t>
        </is>
      </c>
      <c r="E382" t="inlineStr">
        <is>
          <t>或签任务</t>
        </is>
      </c>
      <c r="F382"/>
      <c r="G382" t="inlineStr">
        <is>
          <t>0</t>
        </is>
      </c>
      <c r="H382"/>
      <c r="I382" t="inlineStr">
        <is>
          <t>Ke Huang</t>
        </is>
      </c>
      <c r="J382" t="inlineStr">
        <is>
          <t>龚政涛,Ke Huang</t>
        </is>
      </c>
      <c r="K382" t="inlineStr">
        <is>
          <t>龚政涛</t>
        </is>
      </c>
      <c r="L382" s="3">
        <v>45860.417395833334</v>
      </c>
      <c r="M382" s="3">
        <v>45910.333333333336</v>
      </c>
      <c r="N382" s="3"/>
      <c r="O382" s="3">
        <v>45916.333333333336</v>
      </c>
      <c r="P382" s="3">
        <v>45895.479537037034</v>
      </c>
      <c r="Q382" s="2" t="str">
        <f>=HYPERLINK("https://applink.feishu.cn/client/todo/task_list?guid=4d92b9af-66d1-4cd7-95d1-4b753a64ca6b", "跃入迷城")</f>
        <v>跃入迷城</v>
      </c>
      <c r="R382" t="inlineStr">
        <is>
          <t>4d92b9af-66d1-4cd7-95d1-4b753a64ca6b</t>
        </is>
      </c>
      <c r="S382" t="inlineStr">
        <is>
          <t>8f62c940-7ec8-4bbf-8173-e9153b8d2d70</t>
        </is>
      </c>
      <c r="T382">
        <v>0</v>
      </c>
      <c r="U382">
        <v>0</v>
      </c>
      <c r="V382"/>
      <c r="W382"/>
      <c r="X382" t="inlineStr">
        <is>
          <t>🎨艺术</t>
        </is>
      </c>
      <c r="Y382" t="inlineStr">
        <is>
          <t>平面美术</t>
        </is>
      </c>
      <c r="Z382"/>
      <c r="AA382" t="inlineStr">
        <is>
          <t>6f2e3ce3-c31d-4567-b18e-1f4628e5fbd8</t>
        </is>
      </c>
      <c r="AB382"/>
      <c r="AC382" t="inlineStr">
        <is>
          <t>cffa4f2c-fb50-49e2-aad9-4a85adbe2690</t>
        </is>
      </c>
      <c r="AD382" t="inlineStr">
        <is>
          <t>NzUzMjAzNDQ5ODk2NDY2ODQ0NDo4ZjYyYzk0MC03ZWM4LTRiYmYtODE3My1lOTE1M2I4ZDJkNzA6ZWFmN2MzMTkyMmQxOTNlYWRiOTA4ZjU1NWRhY2U4Y2M6MQ==</t>
        </is>
      </c>
      <c r="AE382"/>
    </row>
    <row r="383" ht="25.5" customHeight="1">
      <c r="A383" s="2" t="str">
        <f>=HYPERLINK("https://applink.feishu.cn/client/todo/detail?guid=6f2e3ce3-c31d-4567-b18e-1f4628e5fbd8&amp;suite_entity_num=t100945", "https://dikpa4hrtn9.feishu.cn/wiki/Ms3rwFkjAigkOZkKZO3cxaYinRe插图 &lt; 角色插图制作")</f>
        <v>https://dikpa4hrtn9.feishu.cn/wiki/Ms3rwFkjAigkOZkKZO3cxaYinRe插图 &lt; 角色插图制作</v>
      </c>
      <c r="B383"/>
      <c r="C383"/>
      <c r="D383" t="inlineStr">
        <is>
          <t>0</t>
        </is>
      </c>
      <c r="E383" t="inlineStr">
        <is>
          <t>或签任务</t>
        </is>
      </c>
      <c r="F383"/>
      <c r="G383" t="inlineStr">
        <is>
          <t>0</t>
        </is>
      </c>
      <c r="H383"/>
      <c r="I383" t="inlineStr">
        <is>
          <t>Ke Huang</t>
        </is>
      </c>
      <c r="J383" t="inlineStr">
        <is>
          <t>龚政涛,Ke Huang</t>
        </is>
      </c>
      <c r="K383" t="inlineStr">
        <is>
          <t>龚政涛</t>
        </is>
      </c>
      <c r="L383" s="3">
        <v>45860.41730324074</v>
      </c>
      <c r="M383" s="3">
        <v>45903.333333333336</v>
      </c>
      <c r="N383" s="3"/>
      <c r="O383" s="3">
        <v>45909.333333333336</v>
      </c>
      <c r="P383" s="3">
        <v>45895.479525462964</v>
      </c>
      <c r="Q383" s="2" t="str">
        <f>=HYPERLINK("https://applink.feishu.cn/client/todo/task_list?guid=4d92b9af-66d1-4cd7-95d1-4b753a64ca6b", "跃入迷城")</f>
        <v>跃入迷城</v>
      </c>
      <c r="R383" t="inlineStr">
        <is>
          <t>4d92b9af-66d1-4cd7-95d1-4b753a64ca6b</t>
        </is>
      </c>
      <c r="S383" t="inlineStr">
        <is>
          <t>6f2e3ce3-c31d-4567-b18e-1f4628e5fbd8</t>
        </is>
      </c>
      <c r="T383">
        <v>0</v>
      </c>
      <c r="U383">
        <v>0</v>
      </c>
      <c r="V383"/>
      <c r="W383"/>
      <c r="X383" t="inlineStr">
        <is>
          <t>🎨艺术</t>
        </is>
      </c>
      <c r="Y383" t="inlineStr">
        <is>
          <t>平面美术</t>
        </is>
      </c>
      <c r="Z383"/>
      <c r="AA383" t="inlineStr">
        <is>
          <t>899e6520-95b5-4b8e-b76c-c1d50449e651</t>
        </is>
      </c>
      <c r="AB383" t="inlineStr">
        <is>
          <t>8f62c940-7ec8-4bbf-8173-e9153b8d2d70</t>
        </is>
      </c>
      <c r="AC383" t="inlineStr">
        <is>
          <t>cffa4f2c-fb50-49e2-aad9-4a85adbe2690</t>
        </is>
      </c>
      <c r="AD383" t="inlineStr">
        <is>
          <t>NzUzMjAzNDQ5ODk2NDY2ODQ0NDo2ZjJlM2NlMy1jMzFkLTQ1NjctYjE4ZS0xZjQ2MjhlNWZiZDg6ZTUxYjVlOTI2NDIyMWNlYTA1Yzc2MTQ2Mzk3NWI4ODA6MQ==</t>
        </is>
      </c>
      <c r="AE383"/>
    </row>
    <row r="384" ht="25.5" customHeight="1">
      <c r="A384" s="2" t="str">
        <f>=HYPERLINK("https://applink.feishu.cn/client/todo/detail?guid=e3d69f11-f540-4c21-b086-7537e7292dc4&amp;suite_entity_num=t100944", "https://dikpa4hrtn9.feishu.cn/wiki/HqAOwpqMEiXjYjkdDjic89CZnmb插图 &lt; 角色插图制作")</f>
        <v>https://dikpa4hrtn9.feishu.cn/wiki/HqAOwpqMEiXjYjkdDjic89CZnmb插图 &lt; 角色插图制作</v>
      </c>
      <c r="B384"/>
      <c r="C384" t="inlineStr">
        <is>
          <t>默认分组</t>
        </is>
      </c>
      <c r="D384" t="inlineStr">
        <is>
          <t>0</t>
        </is>
      </c>
      <c r="E384" t="inlineStr">
        <is>
          <t>或签任务</t>
        </is>
      </c>
      <c r="F384"/>
      <c r="G384" t="inlineStr">
        <is>
          <t>0</t>
        </is>
      </c>
      <c r="H384">
        <v>1</v>
      </c>
      <c r="I384" t="inlineStr">
        <is>
          <t>李贺</t>
        </is>
      </c>
      <c r="J384" t="inlineStr">
        <is>
          <t>Ke Huang,唐践扬,瞿敬雄,龚政涛,李贺</t>
        </is>
      </c>
      <c r="K384" t="inlineStr">
        <is>
          <t>龚政涛</t>
        </is>
      </c>
      <c r="L384" s="3">
        <v>45860.41719907407</v>
      </c>
      <c r="M384" s="3"/>
      <c r="N384" s="3"/>
      <c r="O384" s="3"/>
      <c r="P384" s="3">
        <v>45950.4074537037</v>
      </c>
      <c r="Q384" s="2" t="str">
        <f>=HYPERLINK("https://applink.feishu.cn/client/todo/task_list?guid=4d92b9af-66d1-4cd7-95d1-4b753a64ca6b", "跃入迷城")</f>
        <v>跃入迷城</v>
      </c>
      <c r="R384" t="inlineStr">
        <is>
          <t>4d92b9af-66d1-4cd7-95d1-4b753a64ca6b</t>
        </is>
      </c>
      <c r="S384" t="inlineStr">
        <is>
          <t>e3d69f11-f540-4c21-b086-7537e7292dc4</t>
        </is>
      </c>
      <c r="T384">
        <v>4</v>
      </c>
      <c r="U384">
        <v>0</v>
      </c>
      <c r="V384" t="inlineStr">
        <is>
          <t>0.0.5</t>
        </is>
      </c>
      <c r="W384" t="inlineStr">
        <is>
          <t>已拆分</t>
        </is>
      </c>
      <c r="X384" t="inlineStr">
        <is>
          <t>🎨艺术</t>
        </is>
      </c>
      <c r="Y384" t="inlineStr">
        <is>
          <t>平面美术</t>
        </is>
      </c>
      <c r="Z384"/>
      <c r="AA384"/>
      <c r="AB384"/>
      <c r="AC384" t="inlineStr">
        <is>
          <t>cffa4f2c-fb50-49e2-aad9-4a85adbe2690</t>
        </is>
      </c>
      <c r="AD384" t="inlineStr">
        <is>
          <t>NzUzMjAzNDQ5ODk2NDY2ODQ0NDplM2Q2OWYxMS1mNTQwLTRjMjEtYjA4Ni03NTM3ZTcyOTJkYzQ6NDk3ZmY0ZWRlOGM3MWExZWY2M2QyOTZmNzYxOTUyNzA6MQ==</t>
        </is>
      </c>
      <c r="AE384"/>
    </row>
    <row r="385" ht="25.5" customHeight="1">
      <c r="A385" s="2" t="str">
        <f>=HYPERLINK("https://applink.feishu.cn/client/todo/detail?guid=d8d9617f-8f05-4bf2-a459-10bfebb633ab&amp;suite_entity_num=t100943", "https://dikpa4hrtn9.feishu.cn/wiki/DGufwiLuui7bBhkA3KDc0ZM4nB1插图 &lt; 角色插图制作")</f>
        <v>https://dikpa4hrtn9.feishu.cn/wiki/DGufwiLuui7bBhkA3KDc0ZM4nB1插图 &lt; 角色插图制作</v>
      </c>
      <c r="B385"/>
      <c r="C385"/>
      <c r="D385" t="inlineStr">
        <is>
          <t>0</t>
        </is>
      </c>
      <c r="E385" t="inlineStr">
        <is>
          <t>或签任务</t>
        </is>
      </c>
      <c r="F385"/>
      <c r="G385" t="inlineStr">
        <is>
          <t>0</t>
        </is>
      </c>
      <c r="H385"/>
      <c r="I385" t="inlineStr">
        <is>
          <t>Ke Huang</t>
        </is>
      </c>
      <c r="J385" t="inlineStr">
        <is>
          <t>龚政涛,Ke Huang</t>
        </is>
      </c>
      <c r="K385" t="inlineStr">
        <is>
          <t>龚政涛</t>
        </is>
      </c>
      <c r="L385" s="3">
        <v>45860.41400462963</v>
      </c>
      <c r="M385" s="3">
        <v>45899.333333333336</v>
      </c>
      <c r="N385" s="3"/>
      <c r="O385" s="3">
        <v>45901.333333333336</v>
      </c>
      <c r="P385" s="3">
        <v>45895.479583333334</v>
      </c>
      <c r="Q385" s="2" t="str">
        <f>=HYPERLINK("https://applink.feishu.cn/client/todo/task_list?guid=4d92b9af-66d1-4cd7-95d1-4b753a64ca6b", "跃入迷城")</f>
        <v>跃入迷城</v>
      </c>
      <c r="R385" t="inlineStr">
        <is>
          <t>4d92b9af-66d1-4cd7-95d1-4b753a64ca6b</t>
        </is>
      </c>
      <c r="S385" t="inlineStr">
        <is>
          <t>d8d9617f-8f05-4bf2-a459-10bfebb633ab</t>
        </is>
      </c>
      <c r="T385">
        <v>0</v>
      </c>
      <c r="U385">
        <v>0</v>
      </c>
      <c r="V385"/>
      <c r="W385"/>
      <c r="X385" t="inlineStr">
        <is>
          <t>🎨艺术</t>
        </is>
      </c>
      <c r="Y385" t="inlineStr">
        <is>
          <t>平面美术</t>
        </is>
      </c>
      <c r="Z385"/>
      <c r="AA385" t="inlineStr">
        <is>
          <t>019d9428-76c2-43cc-b768-c8fc9972673d</t>
        </is>
      </c>
      <c r="AB385"/>
      <c r="AC385" t="inlineStr">
        <is>
          <t>cffa4f2c-fb50-49e2-aad9-4a85adbe2690</t>
        </is>
      </c>
      <c r="AD385" t="inlineStr">
        <is>
          <t>NzUzMjAzNDQ5ODk2NDY2ODQ0NDpkOGQ5NjE3Zi04ZjA1LTRiZjItYTQ1OS0xMGJmZWJiNjMzYWI6ZjUzYzY4ZmYzMGNjNmI5Yjg5YzkwZTJlM2FkOWFiODA6MQ==</t>
        </is>
      </c>
      <c r="AE385"/>
    </row>
    <row r="386" ht="25.5" customHeight="1">
      <c r="A386" s="2" t="str">
        <f>=HYPERLINK("https://applink.feishu.cn/client/todo/detail?guid=019d9428-76c2-43cc-b768-c8fc9972673d&amp;suite_entity_num=t100942", "https://dikpa4hrtn9.feishu.cn/wiki/DmPwwEekIipiShkLPAGcwxKKnSc插图 &lt; 角色插图制作")</f>
        <v>https://dikpa4hrtn9.feishu.cn/wiki/DmPwwEekIipiShkLPAGcwxKKnSc插图 &lt; 角色插图制作</v>
      </c>
      <c r="B386"/>
      <c r="C386"/>
      <c r="D386" t="inlineStr">
        <is>
          <t>0</t>
        </is>
      </c>
      <c r="E386" t="inlineStr">
        <is>
          <t>或签任务</t>
        </is>
      </c>
      <c r="F386"/>
      <c r="G386" t="inlineStr">
        <is>
          <t>0</t>
        </is>
      </c>
      <c r="H386"/>
      <c r="I386" t="inlineStr">
        <is>
          <t>Ke Huang</t>
        </is>
      </c>
      <c r="J386" t="inlineStr">
        <is>
          <t>龚政涛,Ke Huang</t>
        </is>
      </c>
      <c r="K386" t="inlineStr">
        <is>
          <t>龚政涛</t>
        </is>
      </c>
      <c r="L386" s="3">
        <v>45860.413935185185</v>
      </c>
      <c r="M386" s="3">
        <v>45896.333333333336</v>
      </c>
      <c r="N386" s="3"/>
      <c r="O386" s="3">
        <v>45898.333333333336</v>
      </c>
      <c r="P386" s="3">
        <v>45895.479421296295</v>
      </c>
      <c r="Q386" s="2" t="str">
        <f>=HYPERLINK("https://applink.feishu.cn/client/todo/task_list?guid=4d92b9af-66d1-4cd7-95d1-4b753a64ca6b", "跃入迷城")</f>
        <v>跃入迷城</v>
      </c>
      <c r="R386" t="inlineStr">
        <is>
          <t>4d92b9af-66d1-4cd7-95d1-4b753a64ca6b</t>
        </is>
      </c>
      <c r="S386" t="inlineStr">
        <is>
          <t>019d9428-76c2-43cc-b768-c8fc9972673d</t>
        </is>
      </c>
      <c r="T386">
        <v>0</v>
      </c>
      <c r="U386">
        <v>0</v>
      </c>
      <c r="V386"/>
      <c r="W386"/>
      <c r="X386" t="inlineStr">
        <is>
          <t>🎨艺术</t>
        </is>
      </c>
      <c r="Y386" t="inlineStr">
        <is>
          <t>平面美术</t>
        </is>
      </c>
      <c r="Z386"/>
      <c r="AA386"/>
      <c r="AB386" t="inlineStr">
        <is>
          <t>d8d9617f-8f05-4bf2-a459-10bfebb633ab</t>
        </is>
      </c>
      <c r="AC386" t="inlineStr">
        <is>
          <t>cffa4f2c-fb50-49e2-aad9-4a85adbe2690</t>
        </is>
      </c>
      <c r="AD386" t="inlineStr">
        <is>
          <t>NzUzMjAzNDQ5ODk2NDY2ODQ0NDowMTlkOTQyOC03NmMyLTQzY2MtYjc2OC1jOGZjOTk3MjY3M2Q6OGMzNjljOTY2OTUyY2JkNDZlNjU3NjYyYmIwMTgwMWY6MQ==</t>
        </is>
      </c>
      <c r="AE386"/>
    </row>
    <row r="387" ht="25.5" customHeight="1">
      <c r="A387" s="2" t="str">
        <f>=HYPERLINK("https://applink.feishu.cn/client/todo/detail?guid=edfd2864-50b6-40fb-96ff-5c51c3ca1b09&amp;suite_entity_num=t100941", "https://dikpa4hrtn9.feishu.cn/wiki/Xy5Fw6WuNie7nmk6zM8cLsMZntc插图 &lt; 角色插图制作")</f>
        <v>https://dikpa4hrtn9.feishu.cn/wiki/Xy5Fw6WuNie7nmk6zM8cLsMZntc插图 &lt; 角色插图制作</v>
      </c>
      <c r="B387"/>
      <c r="C387" t="inlineStr">
        <is>
          <t>默认分组</t>
        </is>
      </c>
      <c r="D387" t="inlineStr">
        <is>
          <t>1</t>
        </is>
      </c>
      <c r="E387" t="inlineStr">
        <is>
          <t>或签任务</t>
        </is>
      </c>
      <c r="F387"/>
      <c r="G387" t="inlineStr">
        <is>
          <t>0</t>
        </is>
      </c>
      <c r="H387">
        <v>1</v>
      </c>
      <c r="I387" t="inlineStr">
        <is>
          <t>瞿敬雄</t>
        </is>
      </c>
      <c r="J387" t="inlineStr">
        <is>
          <t>Ke Huang,龚政涛</t>
        </is>
      </c>
      <c r="K387" t="inlineStr">
        <is>
          <t>龚政涛</t>
        </is>
      </c>
      <c r="L387" s="3">
        <v>45860.41384259259</v>
      </c>
      <c r="M387" s="3">
        <v>45884.333333333336</v>
      </c>
      <c r="N387" s="3">
        <v>45894.88104166667</v>
      </c>
      <c r="O387" s="3">
        <v>45891.333333333336</v>
      </c>
      <c r="P387" s="3">
        <v>45894.88101851852</v>
      </c>
      <c r="Q387" s="2" t="str">
        <f>=HYPERLINK("https://applink.feishu.cn/client/todo/task_list?guid=4d92b9af-66d1-4cd7-95d1-4b753a64ca6b", "跃入迷城")</f>
        <v>跃入迷城</v>
      </c>
      <c r="R387" t="inlineStr">
        <is>
          <t>4d92b9af-66d1-4cd7-95d1-4b753a64ca6b</t>
        </is>
      </c>
      <c r="S387" t="inlineStr">
        <is>
          <t>edfd2864-50b6-40fb-96ff-5c51c3ca1b09</t>
        </is>
      </c>
      <c r="T387">
        <v>1</v>
      </c>
      <c r="U387">
        <v>0</v>
      </c>
      <c r="V387" t="inlineStr">
        <is>
          <t>0.0.5</t>
        </is>
      </c>
      <c r="W387" t="inlineStr">
        <is>
          <t>已拆分</t>
        </is>
      </c>
      <c r="X387" t="inlineStr">
        <is>
          <t>🎨艺术</t>
        </is>
      </c>
      <c r="Y387" t="inlineStr">
        <is>
          <t>平面美术</t>
        </is>
      </c>
      <c r="Z387" t="inlineStr">
        <is>
          <t>P0 - Must (not) Have</t>
        </is>
      </c>
      <c r="AA387"/>
      <c r="AB387"/>
      <c r="AC387" t="inlineStr">
        <is>
          <t>cffa4f2c-fb50-49e2-aad9-4a85adbe2690</t>
        </is>
      </c>
      <c r="AD387" t="inlineStr">
        <is>
          <t>NzUzMjAzNDQ5ODk2NDY2ODQ0NDplZGZkMjg2NC01MGI2LTQwZmItOTZmZi01YzUxYzNjYTFiMDk6YThjOTNjZjc0OGEwYTBjYWViZGEyNzU2ZTZiZjkyZmM6MQ==</t>
        </is>
      </c>
      <c r="AE387"/>
    </row>
    <row r="388" ht="25.5" customHeight="1">
      <c r="A388" s="2" t="str">
        <f>=HYPERLINK("https://applink.feishu.cn/client/todo/detail?guid=899e6520-95b5-4b8e-b76c-c1d50449e651&amp;suite_entity_num=t100940", "https://dikpa4hrtn9.feishu.cn/wiki/Veudw8xhuiRbpKkQBPQcPJjunlh插图 &lt; 角色插图制作")</f>
        <v>https://dikpa4hrtn9.feishu.cn/wiki/Veudw8xhuiRbpKkQBPQcPJjunlh插图 &lt; 角色插图制作</v>
      </c>
      <c r="B388"/>
      <c r="C388"/>
      <c r="D388" t="inlineStr">
        <is>
          <t>0</t>
        </is>
      </c>
      <c r="E388" t="inlineStr">
        <is>
          <t>或签任务</t>
        </is>
      </c>
      <c r="F388"/>
      <c r="G388" t="inlineStr">
        <is>
          <t>0</t>
        </is>
      </c>
      <c r="H388"/>
      <c r="I388" t="inlineStr">
        <is>
          <t>Ke Huang</t>
        </is>
      </c>
      <c r="J388" t="inlineStr">
        <is>
          <t>龚政涛,Ke Huang</t>
        </is>
      </c>
      <c r="K388" t="inlineStr">
        <is>
          <t>龚政涛</t>
        </is>
      </c>
      <c r="L388" s="3">
        <v>45860.413668981484</v>
      </c>
      <c r="M388" s="3">
        <v>45896.333333333336</v>
      </c>
      <c r="N388" s="3"/>
      <c r="O388" s="3">
        <v>45902.333333333336</v>
      </c>
      <c r="P388" s="3">
        <v>45895.47944444444</v>
      </c>
      <c r="Q388" s="2" t="str">
        <f>=HYPERLINK("https://applink.feishu.cn/client/todo/task_list?guid=4d92b9af-66d1-4cd7-95d1-4b753a64ca6b", "跃入迷城")</f>
        <v>跃入迷城</v>
      </c>
      <c r="R388" t="inlineStr">
        <is>
          <t>4d92b9af-66d1-4cd7-95d1-4b753a64ca6b</t>
        </is>
      </c>
      <c r="S388" t="inlineStr">
        <is>
          <t>899e6520-95b5-4b8e-b76c-c1d50449e651</t>
        </is>
      </c>
      <c r="T388">
        <v>0</v>
      </c>
      <c r="U388">
        <v>0</v>
      </c>
      <c r="V388"/>
      <c r="W388"/>
      <c r="X388" t="inlineStr">
        <is>
          <t>🎨艺术</t>
        </is>
      </c>
      <c r="Y388" t="inlineStr">
        <is>
          <t>平面美术</t>
        </is>
      </c>
      <c r="Z388"/>
      <c r="AA388"/>
      <c r="AB388" t="inlineStr">
        <is>
          <t>6f2e3ce3-c31d-4567-b18e-1f4628e5fbd8</t>
        </is>
      </c>
      <c r="AC388" t="inlineStr">
        <is>
          <t>cffa4f2c-fb50-49e2-aad9-4a85adbe2690</t>
        </is>
      </c>
      <c r="AD388" t="inlineStr">
        <is>
          <t>NzUzMjAzNDQ5ODk2NDY2ODQ0NDo4OTllNjUyMC05NWI1LTRiOGUtYjc2Yy1jMWQ1MDQ0OWU2NTE6YmU5YWU4ZjNjMzg3YzkyZmVjMWI1ZmE0NWM3NGNiNWE6MQ==</t>
        </is>
      </c>
      <c r="AE388"/>
    </row>
    <row r="389" ht="25.5" customHeight="1">
      <c r="A389" s="2" t="str">
        <f>=HYPERLINK("https://applink.feishu.cn/client/todo/detail?guid=0da76285-081a-4027-baa9-e56a3aee2209&amp;suite_entity_num=t100939", "https://dikpa4hrtn9.feishu.cn/wiki/JWmRwmFnmi7iRpkz4Auc4eb4nNT插图 &lt; 角色插图制作")</f>
        <v>https://dikpa4hrtn9.feishu.cn/wiki/JWmRwmFnmi7iRpkz4Auc4eb4nNT插图 &lt; 角色插图制作</v>
      </c>
      <c r="B389"/>
      <c r="C389"/>
      <c r="D389" t="inlineStr">
        <is>
          <t>1</t>
        </is>
      </c>
      <c r="E389" t="inlineStr">
        <is>
          <t>或签任务</t>
        </is>
      </c>
      <c r="F389"/>
      <c r="G389" t="inlineStr">
        <is>
          <t>0</t>
        </is>
      </c>
      <c r="H389"/>
      <c r="I389" t="inlineStr">
        <is>
          <t>Ke Huang</t>
        </is>
      </c>
      <c r="J389" t="inlineStr">
        <is>
          <t>龚政涛,Ke Huang</t>
        </is>
      </c>
      <c r="K389" t="inlineStr">
        <is>
          <t>龚政涛</t>
        </is>
      </c>
      <c r="L389" s="3">
        <v>45860.41358796296</v>
      </c>
      <c r="M389" s="3">
        <v>45869.333333333336</v>
      </c>
      <c r="N389" s="3">
        <v>45880.59943287037</v>
      </c>
      <c r="O389" s="3">
        <v>45874.333333333336</v>
      </c>
      <c r="P389" s="3">
        <v>45890.47231481481</v>
      </c>
      <c r="Q389" s="2" t="str">
        <f>=HYPERLINK("https://applink.feishu.cn/client/todo/task_list?guid=4d92b9af-66d1-4cd7-95d1-4b753a64ca6b", "跃入迷城")</f>
        <v>跃入迷城</v>
      </c>
      <c r="R389" t="inlineStr">
        <is>
          <t>4d92b9af-66d1-4cd7-95d1-4b753a64ca6b</t>
        </is>
      </c>
      <c r="S389" t="inlineStr">
        <is>
          <t>0da76285-081a-4027-baa9-e56a3aee2209</t>
        </is>
      </c>
      <c r="T389">
        <v>0</v>
      </c>
      <c r="U389">
        <v>0</v>
      </c>
      <c r="V389"/>
      <c r="W389"/>
      <c r="X389" t="inlineStr">
        <is>
          <t>🎨艺术</t>
        </is>
      </c>
      <c r="Y389" t="inlineStr">
        <is>
          <t>平面美术</t>
        </is>
      </c>
      <c r="Z389"/>
      <c r="AA389" t="inlineStr">
        <is>
          <t>a16811cb-4964-46ee-a5ab-8ce1c8057879</t>
        </is>
      </c>
      <c r="AB389"/>
      <c r="AC389" t="inlineStr">
        <is>
          <t>cffa4f2c-fb50-49e2-aad9-4a85adbe2690</t>
        </is>
      </c>
      <c r="AD389" t="inlineStr">
        <is>
          <t>NzUzMjAzNDQ5ODk2NDY2ODQ0NDowZGE3NjI4NS0wODFhLTQwMjctYmFhOS1lNTZhM2FlZTIyMDk6Yzc3YjZjYzI3MDkyMmE1ZjY1NDVjM2M3MTRmZGRmNjk6MQ==</t>
        </is>
      </c>
      <c r="AE389"/>
    </row>
    <row r="390" ht="25.5" customHeight="1">
      <c r="A390" s="2" t="str">
        <f>=HYPERLINK("https://applink.feishu.cn/client/todo/detail?guid=a16811cb-4964-46ee-a5ab-8ce1c8057879&amp;suite_entity_num=t100938", "https://dikpa4hrtn9.feishu.cn/wiki/BcEYwkho9i74h0kJ8D2ccSKVnW8插图 &lt; 角色插图制作")</f>
        <v>https://dikpa4hrtn9.feishu.cn/wiki/BcEYwkho9i74h0kJ8D2ccSKVnW8插图 &lt; 角色插图制作</v>
      </c>
      <c r="B390"/>
      <c r="C390"/>
      <c r="D390" t="inlineStr">
        <is>
          <t>1</t>
        </is>
      </c>
      <c r="E390" t="inlineStr">
        <is>
          <t>或签任务</t>
        </is>
      </c>
      <c r="F390"/>
      <c r="G390" t="inlineStr">
        <is>
          <t>0</t>
        </is>
      </c>
      <c r="H390"/>
      <c r="I390" t="inlineStr">
        <is>
          <t>Ke Huang</t>
        </is>
      </c>
      <c r="J390" t="inlineStr">
        <is>
          <t>龚政涛,Ke Huang</t>
        </is>
      </c>
      <c r="K390" t="inlineStr">
        <is>
          <t>龚政涛</t>
        </is>
      </c>
      <c r="L390" s="3">
        <v>45860.413506944446</v>
      </c>
      <c r="M390" s="3">
        <v>45859.333333333336</v>
      </c>
      <c r="N390" s="3">
        <v>45877.6306712963</v>
      </c>
      <c r="O390" s="3">
        <v>45868.333333333336</v>
      </c>
      <c r="P390" s="3">
        <v>45882.49334490741</v>
      </c>
      <c r="Q390" s="2" t="str">
        <f>=HYPERLINK("https://applink.feishu.cn/client/todo/task_list?guid=4d92b9af-66d1-4cd7-95d1-4b753a64ca6b", "跃入迷城")</f>
        <v>跃入迷城</v>
      </c>
      <c r="R390" t="inlineStr">
        <is>
          <t>4d92b9af-66d1-4cd7-95d1-4b753a64ca6b</t>
        </is>
      </c>
      <c r="S390" t="inlineStr">
        <is>
          <t>a16811cb-4964-46ee-a5ab-8ce1c8057879</t>
        </is>
      </c>
      <c r="T390">
        <v>0</v>
      </c>
      <c r="U390">
        <v>0</v>
      </c>
      <c r="V390"/>
      <c r="W390"/>
      <c r="X390" t="inlineStr">
        <is>
          <t>🎨艺术</t>
        </is>
      </c>
      <c r="Y390" t="inlineStr">
        <is>
          <t>平面美术</t>
        </is>
      </c>
      <c r="Z390"/>
      <c r="AA390" t="inlineStr">
        <is>
          <t>0b0d38ba-f9c7-48e4-b18e-93cf27c2417e</t>
        </is>
      </c>
      <c r="AB390" t="inlineStr">
        <is>
          <t>0da76285-081a-4027-baa9-e56a3aee2209</t>
        </is>
      </c>
      <c r="AC390" t="inlineStr">
        <is>
          <t>cffa4f2c-fb50-49e2-aad9-4a85adbe2690</t>
        </is>
      </c>
      <c r="AD390" t="inlineStr">
        <is>
          <t>NzUzMjAzNDQ5ODk2NDY2ODQ0NDphMTY4MTFjYi00OTY0LTQ2ZWUtYTVhYi04Y2UxYzgwNTc4Nzk6YTMxYmJjM2Y5ZTU0NjhlMTEwMzZlZDllMjZlNDI4MmI6MQ==</t>
        </is>
      </c>
      <c r="AE390"/>
    </row>
    <row r="391" ht="25.5" customHeight="1">
      <c r="A391" s="2" t="str">
        <f>=HYPERLINK("https://applink.feishu.cn/client/todo/detail?guid=0b0d38ba-f9c7-48e4-b18e-93cf27c2417e&amp;suite_entity_num=t100937", "https://dikpa4hrtn9.feishu.cn/wiki/BRHnw0C9oiOPrFkrzNkcD9s0nsc插图 &lt; 角色插图制作")</f>
        <v>https://dikpa4hrtn9.feishu.cn/wiki/BRHnw0C9oiOPrFkrzNkcD9s0nsc插图 &lt; 角色插图制作</v>
      </c>
      <c r="B391"/>
      <c r="C391"/>
      <c r="D391" t="inlineStr">
        <is>
          <t>1</t>
        </is>
      </c>
      <c r="E391" t="inlineStr">
        <is>
          <t>或签任务</t>
        </is>
      </c>
      <c r="F391"/>
      <c r="G391" t="inlineStr">
        <is>
          <t>0</t>
        </is>
      </c>
      <c r="H391"/>
      <c r="I391" t="inlineStr">
        <is>
          <t>Ke Huang</t>
        </is>
      </c>
      <c r="J391" t="inlineStr">
        <is>
          <t>龚政涛,Ke Huang</t>
        </is>
      </c>
      <c r="K391" t="inlineStr">
        <is>
          <t>龚政涛</t>
        </is>
      </c>
      <c r="L391" s="3">
        <v>45860.4071412037</v>
      </c>
      <c r="M391" s="3">
        <v>45852.333333333336</v>
      </c>
      <c r="N391" s="3">
        <v>45860.419537037036</v>
      </c>
      <c r="O391" s="3">
        <v>45858.333333333336</v>
      </c>
      <c r="P391" s="3">
        <v>45882.493842592594</v>
      </c>
      <c r="Q391" s="2" t="str">
        <f>=HYPERLINK("https://applink.feishu.cn/client/todo/task_list?guid=4d92b9af-66d1-4cd7-95d1-4b753a64ca6b", "跃入迷城")</f>
        <v>跃入迷城</v>
      </c>
      <c r="R391" t="inlineStr">
        <is>
          <t>4d92b9af-66d1-4cd7-95d1-4b753a64ca6b</t>
        </is>
      </c>
      <c r="S391" t="inlineStr">
        <is>
          <t>0b0d38ba-f9c7-48e4-b18e-93cf27c2417e</t>
        </is>
      </c>
      <c r="T391">
        <v>0</v>
      </c>
      <c r="U391">
        <v>0</v>
      </c>
      <c r="V391"/>
      <c r="W391"/>
      <c r="X391" t="inlineStr">
        <is>
          <t>🎨艺术</t>
        </is>
      </c>
      <c r="Y391" t="inlineStr">
        <is>
          <t>平面美术</t>
        </is>
      </c>
      <c r="Z391"/>
      <c r="AA391"/>
      <c r="AB391" t="inlineStr">
        <is>
          <t>a16811cb-4964-46ee-a5ab-8ce1c8057879</t>
        </is>
      </c>
      <c r="AC391" t="inlineStr">
        <is>
          <t>cffa4f2c-fb50-49e2-aad9-4a85adbe2690</t>
        </is>
      </c>
      <c r="AD391" t="inlineStr">
        <is>
          <t>NzUzMjAzNDQ5ODk2NDY2ODQ0NDowYjBkMzhiYS1mOWM3LTQ4ZTQtYjE4ZS05M2NmMjdjMjQxN2U6MzY3YjE1NDQ4MTAzZjk2YTBjMTE1NGEyZDhlMzRlZDQ6MQ==</t>
        </is>
      </c>
      <c r="AE391"/>
    </row>
    <row r="392" ht="25.5" customHeight="1">
      <c xml:space="preserve" r="A392" s="2" t="str">
        <f>=HYPERLINK("https://applink.feishu.cn/client/todo/detail?guid=72d47dc8-8f11-455f-a465-34ad5853d924&amp;suite_entity_num=t100956", "调整墙面底色 &lt; ✨新增：墙壁、地面、门、窗、电梯制作了定制模型，以更好的呈现正式版本的视觉风格 ")</f>
        <v>调整墙面底色 &lt; ✨新增：墙壁、地面、门、窗、电梯制作了定制模型，以更好的呈现正式版本的视觉风格 </v>
      </c>
      <c r="B392"/>
      <c r="C392"/>
      <c r="D392" t="inlineStr">
        <is>
          <t>1</t>
        </is>
      </c>
      <c r="E392" t="inlineStr">
        <is>
          <t>或签任务</t>
        </is>
      </c>
      <c r="F392"/>
      <c r="G392" t="inlineStr">
        <is>
          <t>0</t>
        </is>
      </c>
      <c r="H392"/>
      <c r="I392" t="inlineStr">
        <is>
          <t>陈麒升</t>
        </is>
      </c>
      <c r="J392" t="inlineStr">
        <is>
          <t>陈麒升,龚政涛,陈吉瑞</t>
        </is>
      </c>
      <c r="K392" t="inlineStr">
        <is>
          <t>龚政涛</t>
        </is>
      </c>
      <c r="L392" s="3">
        <v>45860.853634259256</v>
      </c>
      <c r="M392" s="3">
        <v>45861.333333333336</v>
      </c>
      <c r="N392" s="3">
        <v>45882.496979166666</v>
      </c>
      <c r="O392" s="3">
        <v>45879.333333333336</v>
      </c>
      <c r="P392" s="3">
        <v>45895.48270833334</v>
      </c>
      <c r="Q392" s="2" t="str">
        <f>=HYPERLINK("https://applink.feishu.cn/client/todo/task_list?guid=4d92b9af-66d1-4cd7-95d1-4b753a64ca6b", "跃入迷城")</f>
        <v>跃入迷城</v>
      </c>
      <c r="R392" t="inlineStr">
        <is>
          <t>4d92b9af-66d1-4cd7-95d1-4b753a64ca6b</t>
        </is>
      </c>
      <c r="S392" t="inlineStr">
        <is>
          <t>72d47dc8-8f11-455f-a465-34ad5853d924</t>
        </is>
      </c>
      <c r="T392">
        <v>0</v>
      </c>
      <c r="U392">
        <v>0</v>
      </c>
      <c r="V392" t="inlineStr">
        <is>
          <t>0.0.5</t>
        </is>
      </c>
      <c r="W392" t="inlineStr">
        <is>
          <t>已完成</t>
        </is>
      </c>
      <c r="X392" t="inlineStr">
        <is>
          <t>🎨艺术</t>
        </is>
      </c>
      <c r="Y392" t="inlineStr">
        <is>
          <t>模型</t>
        </is>
      </c>
      <c r="Z392"/>
      <c r="AA392" t="inlineStr">
        <is>
          <t>1ef4b309-db26-4a09-bba8-db9a6247069e</t>
        </is>
      </c>
      <c r="AB392"/>
      <c r="AC392" t="inlineStr">
        <is>
          <t>b5b3cf09-e2af-4f6b-885e-c3afc23421c1</t>
        </is>
      </c>
      <c r="AD392" t="inlineStr">
        <is>
          <t>NzUzMjAzNDQ5ODk2NDY2ODQ0NDo3MmQ0N2RjOC04ZjExLTQ1NWYtYTQ2NS0zNGFkNTg1M2Q5MjQ6N2UzNmI3YmVmZWZlZTE5ZmYxN2VlNDlhMzRiZGZiNTQ6MQ==</t>
        </is>
      </c>
      <c r="AE392">
        <v>2</v>
      </c>
    </row>
    <row r="393" ht="25.5" customHeight="1">
      <c xml:space="preserve" r="A393" s="2" t="str">
        <f>=HYPERLINK("https://applink.feishu.cn/client/todo/detail?guid=9298b963-95f4-4c7c-ac2e-f4e4d6775a3f&amp;suite_entity_num=t100935", "六边柱模型 &lt; ✨新增：墙壁、地面、门、窗、电梯制作了定制模型，以更好的呈现正式版本的视觉风格 ")</f>
        <v>六边柱模型 &lt; ✨新增：墙壁、地面、门、窗、电梯制作了定制模型，以更好的呈现正式版本的视觉风格 </v>
      </c>
      <c r="B393"/>
      <c r="C393" t="inlineStr">
        <is>
          <t>默认分组</t>
        </is>
      </c>
      <c r="D393" t="inlineStr">
        <is>
          <t>1</t>
        </is>
      </c>
      <c r="E393" t="inlineStr">
        <is>
          <t>或签任务</t>
        </is>
      </c>
      <c r="F393"/>
      <c r="G393" t="inlineStr">
        <is>
          <t>0</t>
        </is>
      </c>
      <c r="H393">
        <v>1</v>
      </c>
      <c r="I393" t="inlineStr">
        <is>
          <t>陈吉瑞</t>
        </is>
      </c>
      <c r="J393" t="inlineStr">
        <is>
          <t>陈麒升,龚政涛,陈吉瑞</t>
        </is>
      </c>
      <c r="K393" t="inlineStr">
        <is>
          <t>龚政涛</t>
        </is>
      </c>
      <c r="L393" s="3">
        <v>45859.67123842592</v>
      </c>
      <c r="M393" s="3"/>
      <c r="N393" s="3">
        <v>45950.415127314816</v>
      </c>
      <c r="O393" s="3"/>
      <c r="P393" s="3">
        <v>45950.415127314816</v>
      </c>
      <c r="Q393" s="2" t="str">
        <f>=HYPERLINK("https://applink.feishu.cn/client/todo/task_list?guid=4d92b9af-66d1-4cd7-95d1-4b753a64ca6b", "跃入迷城")</f>
        <v>跃入迷城</v>
      </c>
      <c r="R393" t="inlineStr">
        <is>
          <t>4d92b9af-66d1-4cd7-95d1-4b753a64ca6b</t>
        </is>
      </c>
      <c r="S393" t="inlineStr">
        <is>
          <t>9298b963-95f4-4c7c-ac2e-f4e4d6775a3f</t>
        </is>
      </c>
      <c r="T393">
        <v>2</v>
      </c>
      <c r="U393">
        <v>0</v>
      </c>
      <c r="V393" t="inlineStr">
        <is>
          <t>0.0.5</t>
        </is>
      </c>
      <c r="W393" t="inlineStr">
        <is>
          <t>已拆分</t>
        </is>
      </c>
      <c r="X393" t="inlineStr">
        <is>
          <t>🎨艺术</t>
        </is>
      </c>
      <c r="Y393" t="inlineStr">
        <is>
          <t>模型</t>
        </is>
      </c>
      <c r="Z393"/>
      <c r="AA393"/>
      <c r="AB393"/>
      <c r="AC393" t="inlineStr">
        <is>
          <t>b5b3cf09-e2af-4f6b-885e-c3afc23421c1</t>
        </is>
      </c>
      <c r="AD393" t="inlineStr">
        <is>
          <t>NzUzMjAzNDQ5ODk2NDY2ODQ0NDo5Mjk4Yjk2My05NWY0LTRjN2MtYWMyZS1mNGU0ZDY3NzVhM2Y6ODE1YmYxODU5M2UwYWFmN2E5ODIxODQ0MGFhNGNkNmU6MQ==</t>
        </is>
      </c>
      <c r="AE393"/>
    </row>
    <row r="394" ht="25.5" customHeight="1">
      <c xml:space="preserve" r="A394" s="2" t="str">
        <f>=HYPERLINK("https://applink.feishu.cn/client/todo/detail?guid=842eec78-e1d6-4696-a7de-476675ac20cc&amp;suite_entity_num=t100934", "地面模型资产 &lt; ✨新增：墙壁、地面、门、窗、电梯制作了定制模型，以更好的呈现正式版本的视觉风格 ")</f>
        <v>地面模型资产 &lt; ✨新增：墙壁、地面、门、窗、电梯制作了定制模型，以更好的呈现正式版本的视觉风格 </v>
      </c>
      <c r="B394"/>
      <c r="C394"/>
      <c r="D394" t="inlineStr">
        <is>
          <t>1</t>
        </is>
      </c>
      <c r="E394" t="inlineStr">
        <is>
          <t>或签任务</t>
        </is>
      </c>
      <c r="F394"/>
      <c r="G394" t="inlineStr">
        <is>
          <t>0</t>
        </is>
      </c>
      <c r="H394"/>
      <c r="I394" t="inlineStr">
        <is>
          <t>陈麒升</t>
        </is>
      </c>
      <c r="J394" t="inlineStr">
        <is>
          <t>陈麒升,龚政涛</t>
        </is>
      </c>
      <c r="K394" t="inlineStr">
        <is>
          <t>龚政涛</t>
        </is>
      </c>
      <c r="L394" s="3">
        <v>45859.67099537037</v>
      </c>
      <c r="M394" s="3">
        <v>45859.333333333336</v>
      </c>
      <c r="N394" s="3">
        <v>45882.49695601852</v>
      </c>
      <c r="O394" s="3">
        <v>45879.333333333336</v>
      </c>
      <c r="P394" s="3">
        <v>45895.48851851852</v>
      </c>
      <c r="Q394" s="2" t="str">
        <f>=HYPERLINK("https://applink.feishu.cn/client/todo/task_list?guid=4d92b9af-66d1-4cd7-95d1-4b753a64ca6b", "跃入迷城")</f>
        <v>跃入迷城</v>
      </c>
      <c r="R394" t="inlineStr">
        <is>
          <t>4d92b9af-66d1-4cd7-95d1-4b753a64ca6b</t>
        </is>
      </c>
      <c r="S394" t="inlineStr">
        <is>
          <t>842eec78-e1d6-4696-a7de-476675ac20cc</t>
        </is>
      </c>
      <c r="T394">
        <v>0</v>
      </c>
      <c r="U394">
        <v>0</v>
      </c>
      <c r="V394" t="inlineStr">
        <is>
          <t>0.0.5</t>
        </is>
      </c>
      <c r="W394" t="inlineStr">
        <is>
          <t>已完成</t>
        </is>
      </c>
      <c r="X394" t="inlineStr">
        <is>
          <t>🎨艺术</t>
        </is>
      </c>
      <c r="Y394" t="inlineStr">
        <is>
          <t>模型</t>
        </is>
      </c>
      <c r="Z394"/>
      <c r="AA394"/>
      <c r="AB394"/>
      <c r="AC394" t="inlineStr">
        <is>
          <t>b5b3cf09-e2af-4f6b-885e-c3afc23421c1</t>
        </is>
      </c>
      <c r="AD394" t="inlineStr">
        <is>
          <t>NzUzMjAzNDQ5ODk2NDY2ODQ0NDo4NDJlZWM3OC1lMWQ2LTQ2OTYtYTdkZS00NzY2NzVhYzIwY2M6ZjZiYjI5ZWZmMDQ4ZTIxMDM0Y2JmMWE1MjY0MTYxMjM6MQ==</t>
        </is>
      </c>
      <c r="AE394">
        <v>2</v>
      </c>
    </row>
    <row r="395" ht="25.5" customHeight="1">
      <c r="A395" s="2" t="str">
        <f>=HYPERLINK("https://applink.feishu.cn/client/todo/detail?guid=42e37c5a-30e7-4891-970f-16f2d1ea942c&amp;suite_entity_num=t100991", "🪡修改：彻底更新了战斗相关的菜单UI效果")</f>
        <v>🪡修改：彻底更新了战斗相关的菜单UI效果</v>
      </c>
      <c r="B395"/>
      <c r="C395" t="inlineStr">
        <is>
          <t>默认分组</t>
        </is>
      </c>
      <c r="D395" t="inlineStr">
        <is>
          <t>0</t>
        </is>
      </c>
      <c r="E395" t="inlineStr">
        <is>
          <t>或签任务</t>
        </is>
      </c>
      <c r="F395"/>
      <c r="G395" t="inlineStr">
        <is>
          <t>0</t>
        </is>
      </c>
      <c r="H395">
        <v>0.25</v>
      </c>
      <c r="I395" t="inlineStr">
        <is>
          <t>郭斯已</t>
        </is>
      </c>
      <c r="J395" t="inlineStr">
        <is>
          <t>龚政涛,郭斯已</t>
        </is>
      </c>
      <c r="K395" t="inlineStr">
        <is>
          <t>龚政涛</t>
        </is>
      </c>
      <c r="L395" s="3">
        <v>45866.69702546296</v>
      </c>
      <c r="M395" s="3"/>
      <c r="N395" s="3"/>
      <c r="O395" s="3"/>
      <c r="P395" s="3">
        <v>45895.50140046296</v>
      </c>
      <c r="Q395" s="2" t="str">
        <f>=HYPERLINK("https://applink.feishu.cn/client/todo/task_list?guid=4d92b9af-66d1-4cd7-95d1-4b753a64ca6b", "跃入迷城")</f>
        <v>跃入迷城</v>
      </c>
      <c r="R395" t="inlineStr">
        <is>
          <t>4d92b9af-66d1-4cd7-95d1-4b753a64ca6b</t>
        </is>
      </c>
      <c r="S395" t="inlineStr">
        <is>
          <t>42e37c5a-30e7-4891-970f-16f2d1ea942c</t>
        </is>
      </c>
      <c r="T395">
        <v>8</v>
      </c>
      <c r="U395">
        <v>0</v>
      </c>
      <c r="V395" t="inlineStr">
        <is>
          <t>0.0.5</t>
        </is>
      </c>
      <c r="W395" t="inlineStr">
        <is>
          <t>已拆分</t>
        </is>
      </c>
      <c r="X395" t="inlineStr">
        <is>
          <t>🎨艺术</t>
        </is>
      </c>
      <c r="Y395" t="inlineStr">
        <is>
          <t>UIUX</t>
        </is>
      </c>
      <c r="Z395"/>
      <c r="AA395"/>
      <c r="AB395"/>
      <c r="AC395"/>
      <c r="AD395" t="inlineStr">
        <is>
          <t>NzUzMjAzNDQ5ODk2NDY2ODQ0NDo0MmUzN2M1YS0zMGU3LTQ4OTEtOTcwZi0xNmYyZDFlYTk0MmM6NGNhZjEyZTVmOWFiNWE2YzM4NzYzZDNlOTgyM2U3YWI6MQ==</t>
        </is>
      </c>
      <c r="AE395"/>
    </row>
    <row r="396" ht="25.5" customHeight="1">
      <c r="A396" s="2" t="str">
        <f>=HYPERLINK("https://applink.feishu.cn/client/todo/detail?guid=e428c9b6-4d7e-4e2e-bfcb-67ac4a95389f&amp;suite_entity_num=t100987", "武器打印机 &lt; 🪡修改：彻底更新了战斗相关的菜单UI效果")</f>
        <v>武器打印机 &lt; 🪡修改：彻底更新了战斗相关的菜单UI效果</v>
      </c>
      <c r="B396"/>
      <c r="C396" t="inlineStr">
        <is>
          <t>默认分组</t>
        </is>
      </c>
      <c r="D396" t="inlineStr">
        <is>
          <t>1</t>
        </is>
      </c>
      <c r="E396" t="inlineStr">
        <is>
          <t>或签任务</t>
        </is>
      </c>
      <c r="F396"/>
      <c r="G396" t="inlineStr">
        <is>
          <t>0</t>
        </is>
      </c>
      <c r="H396"/>
      <c r="I396" t="inlineStr">
        <is>
          <t>郭斯已</t>
        </is>
      </c>
      <c r="J396" t="inlineStr">
        <is>
          <t>龚政涛,郭斯已</t>
        </is>
      </c>
      <c r="K396" t="inlineStr">
        <is>
          <t>龚政涛</t>
        </is>
      </c>
      <c r="L396" s="3">
        <v>45866.69467592592</v>
      </c>
      <c r="M396" s="3">
        <v>45866.333333333336</v>
      </c>
      <c r="N396" s="3">
        <v>45890.49505787037</v>
      </c>
      <c r="O396" s="3">
        <v>45882.333333333336</v>
      </c>
      <c r="P396" s="3">
        <v>45890.49506944444</v>
      </c>
      <c r="Q396" s="2" t="str">
        <f>=HYPERLINK("https://applink.feishu.cn/client/todo/task_list?guid=4d92b9af-66d1-4cd7-95d1-4b753a64ca6b", "跃入迷城")</f>
        <v>跃入迷城</v>
      </c>
      <c r="R396" t="inlineStr">
        <is>
          <t>4d92b9af-66d1-4cd7-95d1-4b753a64ca6b</t>
        </is>
      </c>
      <c r="S396" t="inlineStr">
        <is>
          <t>e428c9b6-4d7e-4e2e-bfcb-67ac4a95389f</t>
        </is>
      </c>
      <c r="T396">
        <v>0</v>
      </c>
      <c r="U396">
        <v>0</v>
      </c>
      <c r="V396" t="inlineStr">
        <is>
          <t>0.0.5</t>
        </is>
      </c>
      <c r="W396" t="inlineStr">
        <is>
          <t>已完成</t>
        </is>
      </c>
      <c r="X396" t="inlineStr">
        <is>
          <t>🎨艺术</t>
        </is>
      </c>
      <c r="Y396" t="inlineStr">
        <is>
          <t>UIUX</t>
        </is>
      </c>
      <c r="Z396"/>
      <c r="AA396" t="inlineStr">
        <is>
          <t>c08b809c-ce26-4c9f-a6a5-b500c4266b7e</t>
        </is>
      </c>
      <c r="AB396"/>
      <c r="AC396" t="inlineStr">
        <is>
          <t>42e37c5a-30e7-4891-970f-16f2d1ea942c</t>
        </is>
      </c>
      <c r="AD396" t="inlineStr">
        <is>
          <t>NzUzMjAzNDQ5ODk2NDY2ODQ0NDplNDI4YzliNi00ZDdlLTRlMmUtYmZjYi02N2FjNGE5NTM4OWY6Y2MzNDlhNzM4M2EyODE5NmI4ZmZmMWUzNzZkMzk0MWQ6MQ==</t>
        </is>
      </c>
      <c r="AE396">
        <v>64</v>
      </c>
    </row>
    <row r="397" ht="25.5" customHeight="1">
      <c r="A397" s="2" t="str">
        <f>=HYPERLINK("https://applink.feishu.cn/client/todo/detail?guid=a51ce06c-d7c2-4d27-a40f-6dda28e669a3&amp;suite_entity_num=t100992", "义体打印机 &lt; 🪡修改：彻底更新了战斗相关的菜单UI效果")</f>
        <v>义体打印机 &lt; 🪡修改：彻底更新了战斗相关的菜单UI效果</v>
      </c>
      <c r="B397"/>
      <c r="C397" t="inlineStr">
        <is>
          <t>默认分组</t>
        </is>
      </c>
      <c r="D397" t="inlineStr">
        <is>
          <t>1</t>
        </is>
      </c>
      <c r="E397" t="inlineStr">
        <is>
          <t>或签任务</t>
        </is>
      </c>
      <c r="F397"/>
      <c r="G397" t="inlineStr">
        <is>
          <t>0</t>
        </is>
      </c>
      <c r="H397"/>
      <c r="I397" t="inlineStr">
        <is>
          <t>郭斯已</t>
        </is>
      </c>
      <c r="J397" t="inlineStr">
        <is>
          <t>龚政涛,郭斯已</t>
        </is>
      </c>
      <c r="K397" t="inlineStr">
        <is>
          <t>龚政涛</t>
        </is>
      </c>
      <c r="L397" s="3">
        <v>45866.69888888889</v>
      </c>
      <c r="M397" s="3">
        <v>45889.333333333336</v>
      </c>
      <c r="N397" s="3">
        <v>45895.48693287037</v>
      </c>
      <c r="O397" s="3">
        <v>45890.333333333336</v>
      </c>
      <c r="P397" s="3">
        <v>45895.48694444444</v>
      </c>
      <c r="Q397" s="2" t="str">
        <f>=HYPERLINK("https://applink.feishu.cn/client/todo/task_list?guid=4d92b9af-66d1-4cd7-95d1-4b753a64ca6b", "跃入迷城")</f>
        <v>跃入迷城</v>
      </c>
      <c r="R397" t="inlineStr">
        <is>
          <t>4d92b9af-66d1-4cd7-95d1-4b753a64ca6b</t>
        </is>
      </c>
      <c r="S397" t="inlineStr">
        <is>
          <t>a51ce06c-d7c2-4d27-a40f-6dda28e669a3</t>
        </is>
      </c>
      <c r="T397">
        <v>0</v>
      </c>
      <c r="U397">
        <v>1</v>
      </c>
      <c r="V397" t="inlineStr">
        <is>
          <t>0.0.5</t>
        </is>
      </c>
      <c r="W397" t="inlineStr">
        <is>
          <t>已完成</t>
        </is>
      </c>
      <c r="X397" t="inlineStr">
        <is>
          <t>🎨艺术</t>
        </is>
      </c>
      <c r="Y397" t="inlineStr">
        <is>
          <t>UIUX</t>
        </is>
      </c>
      <c r="Z397"/>
      <c r="AA397"/>
      <c r="AB397"/>
      <c r="AC397" t="inlineStr">
        <is>
          <t>42e37c5a-30e7-4891-970f-16f2d1ea942c</t>
        </is>
      </c>
      <c r="AD397" t="inlineStr">
        <is>
          <t>NzUzMjAzNDQ5ODk2NDY2ODQ0NDphNTFjZTA2Yy1kN2MyLTRkMjctYTQwZi02ZGRhMjhlNjY5YTM6YzQwMjVhODY3Njg4MWZlNzNlZTkwN2NlYzFkMGQxZGM6MQ==</t>
        </is>
      </c>
      <c r="AE397">
        <v>8</v>
      </c>
    </row>
    <row r="398" ht="25.5" customHeight="1">
      <c r="A398" s="2" t="str">
        <f>=HYPERLINK("https://applink.feishu.cn/client/todo/detail?guid=0d3b856b-3e13-4a6a-9f86-79f74024f696&amp;suite_entity_num=t100993", "TAB选单 &lt; 🪡修改：彻底更新了战斗相关的菜单UI效果")</f>
        <v>TAB选单 &lt; 🪡修改：彻底更新了战斗相关的菜单UI效果</v>
      </c>
      <c r="B398"/>
      <c r="C398" t="inlineStr">
        <is>
          <t>默认分组</t>
        </is>
      </c>
      <c r="D398" t="inlineStr">
        <is>
          <t>0</t>
        </is>
      </c>
      <c r="E398" t="inlineStr">
        <is>
          <t>或签任务</t>
        </is>
      </c>
      <c r="F398"/>
      <c r="G398" t="inlineStr">
        <is>
          <t>0</t>
        </is>
      </c>
      <c r="H398">
        <v>1</v>
      </c>
      <c r="I398" t="inlineStr">
        <is>
          <t>郭斯已</t>
        </is>
      </c>
      <c r="J398" t="inlineStr">
        <is>
          <t>龚政涛,郭斯已</t>
        </is>
      </c>
      <c r="K398" t="inlineStr">
        <is>
          <t>龚政涛</t>
        </is>
      </c>
      <c r="L398" s="3">
        <v>45866.698958333334</v>
      </c>
      <c r="M398" s="3"/>
      <c r="N398" s="3"/>
      <c r="O398" s="3"/>
      <c r="P398" s="3">
        <v>45895.49796296296</v>
      </c>
      <c r="Q398" s="2" t="str">
        <f>=HYPERLINK("https://applink.feishu.cn/client/todo/task_list?guid=4d92b9af-66d1-4cd7-95d1-4b753a64ca6b", "跃入迷城")</f>
        <v>跃入迷城</v>
      </c>
      <c r="R398" t="inlineStr">
        <is>
          <t>4d92b9af-66d1-4cd7-95d1-4b753a64ca6b</t>
        </is>
      </c>
      <c r="S398" t="inlineStr">
        <is>
          <t>0d3b856b-3e13-4a6a-9f86-79f74024f696</t>
        </is>
      </c>
      <c r="T398">
        <v>1</v>
      </c>
      <c r="U398">
        <v>0</v>
      </c>
      <c r="V398" t="inlineStr">
        <is>
          <t>0.0.5</t>
        </is>
      </c>
      <c r="W398" t="inlineStr">
        <is>
          <t>已拆分</t>
        </is>
      </c>
      <c r="X398" t="inlineStr">
        <is>
          <t>🎨艺术</t>
        </is>
      </c>
      <c r="Y398" t="inlineStr">
        <is>
          <t>UIUX</t>
        </is>
      </c>
      <c r="Z398"/>
      <c r="AA398"/>
      <c r="AB398"/>
      <c r="AC398" t="inlineStr">
        <is>
          <t>42e37c5a-30e7-4891-970f-16f2d1ea942c</t>
        </is>
      </c>
      <c r="AD398" t="inlineStr">
        <is>
          <t>NzUzMjAzNDQ5ODk2NDY2ODQ0NDowZDNiODU2Yi0zZTEzLTRhNmEtOWY4Ni03OWY3NDAyNGY2OTY6MzhlZDI0ZDA4MDdiOWZkZDU5NTY1ZTE4ZjU4YjBlNjU6MQ==</t>
        </is>
      </c>
      <c r="AE398">
        <v>0</v>
      </c>
    </row>
    <row r="399" ht="25.5" customHeight="1">
      <c r="A399" s="2" t="str">
        <f>=HYPERLINK("https://applink.feishu.cn/client/todo/detail?guid=a050c946-a0d1-45ed-a03b-aa9e62bbfddc&amp;suite_entity_num=t100994", "仓库 - 安全屋 &lt; 🪡修改：彻底更新了战斗相关的菜单UI效果")</f>
        <v>仓库 - 安全屋 &lt; 🪡修改：彻底更新了战斗相关的菜单UI效果</v>
      </c>
      <c r="B399"/>
      <c r="C399" t="inlineStr">
        <is>
          <t>默认分组</t>
        </is>
      </c>
      <c r="D399" t="inlineStr">
        <is>
          <t>0</t>
        </is>
      </c>
      <c r="E399" t="inlineStr">
        <is>
          <t>或签任务</t>
        </is>
      </c>
      <c r="F399"/>
      <c r="G399" t="inlineStr">
        <is>
          <t>0</t>
        </is>
      </c>
      <c r="H399">
        <v>1</v>
      </c>
      <c r="I399" t="inlineStr">
        <is>
          <t>郭斯已</t>
        </is>
      </c>
      <c r="J399" t="inlineStr">
        <is>
          <t>龚政涛,郭斯已</t>
        </is>
      </c>
      <c r="K399" t="inlineStr">
        <is>
          <t>龚政涛</t>
        </is>
      </c>
      <c r="L399" s="3">
        <v>45866.69900462963</v>
      </c>
      <c r="M399" s="3"/>
      <c r="N399" s="3"/>
      <c r="O399" s="3"/>
      <c r="P399" s="3">
        <v>45895.50137731482</v>
      </c>
      <c r="Q399" s="2" t="str">
        <f>=HYPERLINK("https://applink.feishu.cn/client/todo/task_list?guid=4d92b9af-66d1-4cd7-95d1-4b753a64ca6b", "跃入迷城")</f>
        <v>跃入迷城</v>
      </c>
      <c r="R399" t="inlineStr">
        <is>
          <t>4d92b9af-66d1-4cd7-95d1-4b753a64ca6b</t>
        </is>
      </c>
      <c r="S399" t="inlineStr">
        <is>
          <t>a050c946-a0d1-45ed-a03b-aa9e62bbfddc</t>
        </is>
      </c>
      <c r="T399">
        <v>6</v>
      </c>
      <c r="U399">
        <v>0</v>
      </c>
      <c r="V399" t="inlineStr">
        <is>
          <t>0.0.5</t>
        </is>
      </c>
      <c r="W399" t="inlineStr">
        <is>
          <t>已拆分</t>
        </is>
      </c>
      <c r="X399" t="inlineStr">
        <is>
          <t>🎨艺术</t>
        </is>
      </c>
      <c r="Y399" t="inlineStr">
        <is>
          <t>UIUX</t>
        </is>
      </c>
      <c r="Z399"/>
      <c r="AA399"/>
      <c r="AB399"/>
      <c r="AC399" t="inlineStr">
        <is>
          <t>42e37c5a-30e7-4891-970f-16f2d1ea942c</t>
        </is>
      </c>
      <c r="AD399" t="inlineStr">
        <is>
          <t>NzUzMjAzNDQ5ODk2NDY2ODQ0NDphMDUwYzk0Ni1hMGQxLTQ1ZWQtYTAzYi1hYTllNjJiYmZkZGM6NTQyMmUxYjQ3NzFmYTRjOTVmMzUwMmZjNDY2MTQ2ZTc6MQ==</t>
        </is>
      </c>
      <c r="AE399"/>
    </row>
    <row r="400" ht="25.5" customHeight="1">
      <c r="A400" s="2" t="str">
        <f>=HYPERLINK("https://applink.feishu.cn/client/todo/detail?guid=3461e793-c350-4474-8700-e2b34acb841d&amp;suite_entity_num=t100995", "无人机回寄 &lt; 🪡修改：彻底更新了战斗相关的菜单UI效果")</f>
        <v>无人机回寄 &lt; 🪡修改：彻底更新了战斗相关的菜单UI效果</v>
      </c>
      <c r="B400"/>
      <c r="C400" t="inlineStr">
        <is>
          <t>默认分组</t>
        </is>
      </c>
      <c r="D400" t="inlineStr">
        <is>
          <t>0</t>
        </is>
      </c>
      <c r="E400" t="inlineStr">
        <is>
          <t>或签任务</t>
        </is>
      </c>
      <c r="F400"/>
      <c r="G400" t="inlineStr">
        <is>
          <t>0</t>
        </is>
      </c>
      <c r="H400">
        <v>1</v>
      </c>
      <c r="I400" t="inlineStr">
        <is>
          <t>郭斯已</t>
        </is>
      </c>
      <c r="J400" t="inlineStr">
        <is>
          <t>龚政涛,郭斯已</t>
        </is>
      </c>
      <c r="K400" t="inlineStr">
        <is>
          <t>龚政涛</t>
        </is>
      </c>
      <c r="L400" s="3">
        <v>45866.699166666665</v>
      </c>
      <c r="M400" s="3"/>
      <c r="N400" s="3"/>
      <c r="O400" s="3"/>
      <c r="P400" s="3">
        <v>45895.50127314815</v>
      </c>
      <c r="Q400" s="2" t="str">
        <f>=HYPERLINK("https://applink.feishu.cn/client/todo/task_list?guid=4d92b9af-66d1-4cd7-95d1-4b753a64ca6b", "跃入迷城")</f>
        <v>跃入迷城</v>
      </c>
      <c r="R400" t="inlineStr">
        <is>
          <t>4d92b9af-66d1-4cd7-95d1-4b753a64ca6b</t>
        </is>
      </c>
      <c r="S400" t="inlineStr">
        <is>
          <t>3461e793-c350-4474-8700-e2b34acb841d</t>
        </is>
      </c>
      <c r="T400">
        <v>2</v>
      </c>
      <c r="U400">
        <v>0</v>
      </c>
      <c r="V400" t="inlineStr">
        <is>
          <t>0.0.5</t>
        </is>
      </c>
      <c r="W400" t="inlineStr">
        <is>
          <t>已拆分</t>
        </is>
      </c>
      <c r="X400" t="inlineStr">
        <is>
          <t>🎨艺术</t>
        </is>
      </c>
      <c r="Y400" t="inlineStr">
        <is>
          <t>UIUX</t>
        </is>
      </c>
      <c r="Z400"/>
      <c r="AA400"/>
      <c r="AB400"/>
      <c r="AC400" t="inlineStr">
        <is>
          <t>42e37c5a-30e7-4891-970f-16f2d1ea942c</t>
        </is>
      </c>
      <c r="AD400" t="inlineStr">
        <is>
          <t>NzUzMjAzNDQ5ODk2NDY2ODQ0NDozNDYxZTc5My1jMzUwLTQ0NzQtODcwMC1lMmIzNGFjYjg0MWQ6NjYyNTYwODIxNjg4MDhlYjZjZTVlZTRhYmY0NjdjNDE6MQ==</t>
        </is>
      </c>
      <c r="AE400"/>
    </row>
    <row r="401" ht="25.5" customHeight="1">
      <c r="A401" s="2" t="str">
        <f>=HYPERLINK("https://applink.feishu.cn/client/todo/detail?guid=25fd384d-1784-4f88-a18d-0debe989ac18&amp;suite_entity_num=t100996", "武器商人 &lt; 🪡修改：彻底更新了战斗相关的菜单UI效果")</f>
        <v>武器商人 &lt; 🪡修改：彻底更新了战斗相关的菜单UI效果</v>
      </c>
      <c r="B401"/>
      <c r="C401"/>
      <c r="D401" t="inlineStr">
        <is>
          <t>0</t>
        </is>
      </c>
      <c r="E401" t="inlineStr">
        <is>
          <t>或签任务</t>
        </is>
      </c>
      <c r="F401"/>
      <c r="G401" t="inlineStr">
        <is>
          <t>0</t>
        </is>
      </c>
      <c r="H401"/>
      <c r="I401" t="inlineStr">
        <is>
          <t>郭斯已</t>
        </is>
      </c>
      <c r="J401" t="inlineStr">
        <is>
          <t>龚政涛,郭斯已</t>
        </is>
      </c>
      <c r="K401" t="inlineStr">
        <is>
          <t>龚政涛</t>
        </is>
      </c>
      <c r="L401" s="3">
        <v>45866.69920138889</v>
      </c>
      <c r="M401" s="3">
        <v>45924.333333333336</v>
      </c>
      <c r="N401" s="3"/>
      <c r="O401" s="3">
        <v>45924.333333333336</v>
      </c>
      <c r="P401" s="3">
        <v>45890.49533564815</v>
      </c>
      <c r="Q401" s="2" t="str">
        <f>=HYPERLINK("https://applink.feishu.cn/client/todo/task_list?guid=4d92b9af-66d1-4cd7-95d1-4b753a64ca6b", "跃入迷城")</f>
        <v>跃入迷城</v>
      </c>
      <c r="R401" t="inlineStr">
        <is>
          <t>4d92b9af-66d1-4cd7-95d1-4b753a64ca6b</t>
        </is>
      </c>
      <c r="S401" t="inlineStr">
        <is>
          <t>25fd384d-1784-4f88-a18d-0debe989ac18</t>
        </is>
      </c>
      <c r="T401">
        <v>0</v>
      </c>
      <c r="U401">
        <v>0</v>
      </c>
      <c r="V401" t="inlineStr">
        <is>
          <t>0.0.5</t>
        </is>
      </c>
      <c r="W401"/>
      <c r="X401" t="inlineStr">
        <is>
          <t>🎨艺术</t>
        </is>
      </c>
      <c r="Y401" t="inlineStr">
        <is>
          <t>UIUX</t>
        </is>
      </c>
      <c r="Z401"/>
      <c r="AA401" t="inlineStr">
        <is>
          <t>a05eb32e-9d1e-43b8-b15f-f22f00e964dd</t>
        </is>
      </c>
      <c r="AB401" t="inlineStr">
        <is>
          <t>b5e40db9-ec83-4c8d-8fe3-c9a8eb266f72</t>
        </is>
      </c>
      <c r="AC401" t="inlineStr">
        <is>
          <t>42e37c5a-30e7-4891-970f-16f2d1ea942c</t>
        </is>
      </c>
      <c r="AD401" t="inlineStr">
        <is>
          <t>NzUzMjAzNDQ5ODk2NDY2ODQ0NDoyNWZkMzg0ZC0xNzg0LTRmODgtYTE4ZC0wZGViZTk4OWFjMTg6MDIzYjk3OGYyNTdlZDdlNWRiMjc5MGFhNTZmYjNhMzU6MQ==</t>
        </is>
      </c>
      <c r="AE401">
        <v>1</v>
      </c>
    </row>
    <row r="402" ht="25.5" customHeight="1">
      <c r="A402" s="2" t="str">
        <f>=HYPERLINK("https://applink.feishu.cn/client/todo/detail?guid=b5e40db9-ec83-4c8d-8fe3-c9a8eb266f72&amp;suite_entity_num=t100997", "义体商人 &lt; 🪡修改：彻底更新了战斗相关的菜单UI效果")</f>
        <v>义体商人 &lt; 🪡修改：彻底更新了战斗相关的菜单UI效果</v>
      </c>
      <c r="B402"/>
      <c r="C402"/>
      <c r="D402" t="inlineStr">
        <is>
          <t>0</t>
        </is>
      </c>
      <c r="E402" t="inlineStr">
        <is>
          <t>或签任务</t>
        </is>
      </c>
      <c r="F402"/>
      <c r="G402" t="inlineStr">
        <is>
          <t>0</t>
        </is>
      </c>
      <c r="H402"/>
      <c r="I402" t="inlineStr">
        <is>
          <t>郭斯已</t>
        </is>
      </c>
      <c r="J402" t="inlineStr">
        <is>
          <t>龚政涛,郭斯已</t>
        </is>
      </c>
      <c r="K402" t="inlineStr">
        <is>
          <t>龚政涛</t>
        </is>
      </c>
      <c r="L402" s="3">
        <v>45866.699282407404</v>
      </c>
      <c r="M402" s="3">
        <v>45925.333333333336</v>
      </c>
      <c r="N402" s="3"/>
      <c r="O402" s="3">
        <v>45925.333333333336</v>
      </c>
      <c r="P402" s="3">
        <v>45890.49534722222</v>
      </c>
      <c r="Q402" s="2" t="str">
        <f>=HYPERLINK("https://applink.feishu.cn/client/todo/task_list?guid=4d92b9af-66d1-4cd7-95d1-4b753a64ca6b", "跃入迷城")</f>
        <v>跃入迷城</v>
      </c>
      <c r="R402" t="inlineStr">
        <is>
          <t>4d92b9af-66d1-4cd7-95d1-4b753a64ca6b</t>
        </is>
      </c>
      <c r="S402" t="inlineStr">
        <is>
          <t>b5e40db9-ec83-4c8d-8fe3-c9a8eb266f72</t>
        </is>
      </c>
      <c r="T402">
        <v>0</v>
      </c>
      <c r="U402">
        <v>0</v>
      </c>
      <c r="V402" t="inlineStr">
        <is>
          <t>0.0.5</t>
        </is>
      </c>
      <c r="W402"/>
      <c r="X402" t="inlineStr">
        <is>
          <t>🎨艺术</t>
        </is>
      </c>
      <c r="Y402" t="inlineStr">
        <is>
          <t>UIUX</t>
        </is>
      </c>
      <c r="Z402"/>
      <c r="AA402" t="inlineStr">
        <is>
          <t>25fd384d-1784-4f88-a18d-0debe989ac18</t>
        </is>
      </c>
      <c r="AB402" t="inlineStr">
        <is>
          <t>186feab8-9fcc-4c80-8fd0-36cba01a25da</t>
        </is>
      </c>
      <c r="AC402" t="inlineStr">
        <is>
          <t>42e37c5a-30e7-4891-970f-16f2d1ea942c</t>
        </is>
      </c>
      <c r="AD402" t="inlineStr">
        <is>
          <t>NzUzMjAzNDQ5ODk2NDY2ODQ0NDpiNWU0MGRiOS1lYzgzLTRjOGQtOGZlMy1jOWE4ZWIyNjZmNzI6NTc3NDAxNDJhYjM0NjE1MDVkMjIwNDVjYzI5MDJlN2E6MQ==</t>
        </is>
      </c>
      <c r="AE402">
        <v>1</v>
      </c>
    </row>
    <row r="403" ht="25.5" customHeight="1">
      <c r="A403" s="2" t="str">
        <f>=HYPERLINK("https://applink.feishu.cn/client/todo/detail?guid=186feab8-9fcc-4c80-8fd0-36cba01a25da&amp;suite_entity_num=t100998", "回收商人 &lt; 🪡修改：彻底更新了战斗相关的菜单UI效果")</f>
        <v>回收商人 &lt; 🪡修改：彻底更新了战斗相关的菜单UI效果</v>
      </c>
      <c r="B403"/>
      <c r="C403"/>
      <c r="D403" t="inlineStr">
        <is>
          <t>0</t>
        </is>
      </c>
      <c r="E403" t="inlineStr">
        <is>
          <t>或签任务</t>
        </is>
      </c>
      <c r="F403"/>
      <c r="G403" t="inlineStr">
        <is>
          <t>0</t>
        </is>
      </c>
      <c r="H403"/>
      <c r="I403" t="inlineStr">
        <is>
          <t>郭斯已</t>
        </is>
      </c>
      <c r="J403" t="inlineStr">
        <is>
          <t>龚政涛,郭斯已</t>
        </is>
      </c>
      <c r="K403" t="inlineStr">
        <is>
          <t>龚政涛</t>
        </is>
      </c>
      <c r="L403" s="3">
        <v>45866.69938657407</v>
      </c>
      <c r="M403" s="3">
        <v>45926.333333333336</v>
      </c>
      <c r="N403" s="3"/>
      <c r="O403" s="3">
        <v>45926.333333333336</v>
      </c>
      <c r="P403" s="3">
        <v>45890.495358796295</v>
      </c>
      <c r="Q403" s="2" t="str">
        <f>=HYPERLINK("https://applink.feishu.cn/client/todo/task_list?guid=4d92b9af-66d1-4cd7-95d1-4b753a64ca6b", "跃入迷城")</f>
        <v>跃入迷城</v>
      </c>
      <c r="R403" t="inlineStr">
        <is>
          <t>4d92b9af-66d1-4cd7-95d1-4b753a64ca6b</t>
        </is>
      </c>
      <c r="S403" t="inlineStr">
        <is>
          <t>186feab8-9fcc-4c80-8fd0-36cba01a25da</t>
        </is>
      </c>
      <c r="T403">
        <v>0</v>
      </c>
      <c r="U403">
        <v>0</v>
      </c>
      <c r="V403" t="inlineStr">
        <is>
          <t>0.0.5</t>
        </is>
      </c>
      <c r="W403"/>
      <c r="X403" t="inlineStr">
        <is>
          <t>🎨艺术</t>
        </is>
      </c>
      <c r="Y403" t="inlineStr">
        <is>
          <t>UIUX</t>
        </is>
      </c>
      <c r="Z403"/>
      <c r="AA403" t="inlineStr">
        <is>
          <t>b5e40db9-ec83-4c8d-8fe3-c9a8eb266f72</t>
        </is>
      </c>
      <c r="AB403"/>
      <c r="AC403" t="inlineStr">
        <is>
          <t>42e37c5a-30e7-4891-970f-16f2d1ea942c</t>
        </is>
      </c>
      <c r="AD403" t="inlineStr">
        <is>
          <t>NzUzMjAzNDQ5ODk2NDY2ODQ0NDoxODZmZWFiOC05ZmNjLTRjODAtOGZkMC0zNmNiYTAxYTI1ZGE6YmNlY2NjMWM3NTZlZjcxNGMxNjI2NDlmZTEzMzljODc6MQ==</t>
        </is>
      </c>
      <c r="AE403">
        <v>1</v>
      </c>
    </row>
    <row r="404" ht="25.5" customHeight="1">
      <c r="A404" s="2" t="str">
        <f>=HYPERLINK("https://applink.feishu.cn/client/todo/detail?guid=f8d9a924-9c8f-4be8-a268-e525371a6dbc&amp;suite_entity_num=t101000", "🪡修改：彻底更新了对话相关的菜单UI效果")</f>
        <v>🪡修改：彻底更新了对话相关的菜单UI效果</v>
      </c>
      <c r="B404"/>
      <c r="C404" t="inlineStr">
        <is>
          <t>默认分组</t>
        </is>
      </c>
      <c r="D404" t="inlineStr">
        <is>
          <t>0</t>
        </is>
      </c>
      <c r="E404" t="inlineStr">
        <is>
          <t>或签任务</t>
        </is>
      </c>
      <c r="F404"/>
      <c r="G404" t="inlineStr">
        <is>
          <t>0</t>
        </is>
      </c>
      <c r="H404">
        <v>1</v>
      </c>
      <c r="I404" t="inlineStr">
        <is>
          <t>郭斯已</t>
        </is>
      </c>
      <c r="J404" t="inlineStr">
        <is>
          <t>龚政涛,郭斯已</t>
        </is>
      </c>
      <c r="K404" t="inlineStr">
        <is>
          <t>龚政涛</t>
        </is>
      </c>
      <c r="L404" s="3">
        <v>45867.503275462965</v>
      </c>
      <c r="M404" s="3"/>
      <c r="N404" s="3"/>
      <c r="O404" s="3"/>
      <c r="P404" s="3">
        <v>45895.50146990741</v>
      </c>
      <c r="Q404" s="2" t="str">
        <f>=HYPERLINK("https://applink.feishu.cn/client/todo/task_list?guid=4d92b9af-66d1-4cd7-95d1-4b753a64ca6b", "跃入迷城")</f>
        <v>跃入迷城</v>
      </c>
      <c r="R404" t="inlineStr">
        <is>
          <t>4d92b9af-66d1-4cd7-95d1-4b753a64ca6b</t>
        </is>
      </c>
      <c r="S404" t="inlineStr">
        <is>
          <t>f8d9a924-9c8f-4be8-a268-e525371a6dbc</t>
        </is>
      </c>
      <c r="T404">
        <v>3</v>
      </c>
      <c r="U404">
        <v>0</v>
      </c>
      <c r="V404" t="inlineStr">
        <is>
          <t>0.0.5</t>
        </is>
      </c>
      <c r="W404" t="inlineStr">
        <is>
          <t>已拆分</t>
        </is>
      </c>
      <c r="X404" t="inlineStr">
        <is>
          <t>🎨艺术</t>
        </is>
      </c>
      <c r="Y404" t="inlineStr">
        <is>
          <t>UIUX</t>
        </is>
      </c>
      <c r="Z404"/>
      <c r="AA404"/>
      <c r="AB404"/>
      <c r="AC404"/>
      <c r="AD404" t="inlineStr">
        <is>
          <t>NzUzMjAzNDQ5ODk2NDY2ODQ0NDpmOGQ5YTkyNC05YzhmLTRiZTgtYTI2OC1lNTI1MzcxYTZkYmM6MTVhMmRjMjMwZGI3ZDViZDkzMWM5OGE3NTE4ZDVjMWQ6MQ==</t>
        </is>
      </c>
      <c r="AE404"/>
    </row>
    <row r="405" ht="25.5" customHeight="1">
      <c r="A405" s="2" t="str">
        <f>=HYPERLINK("https://applink.feishu.cn/client/todo/detail?guid=328e0b40-9b81-4963-a862-591f08ec2e12&amp;suite_entity_num=t101001", "弹窗对话 &lt; 🪡修改：彻底更新了对话相关的菜单UI效果")</f>
        <v>弹窗对话 &lt; 🪡修改：彻底更新了对话相关的菜单UI效果</v>
      </c>
      <c r="B405"/>
      <c r="C405" t="inlineStr">
        <is>
          <t>默认分组</t>
        </is>
      </c>
      <c r="D405" t="inlineStr">
        <is>
          <t>1</t>
        </is>
      </c>
      <c r="E405" t="inlineStr">
        <is>
          <t>或签任务</t>
        </is>
      </c>
      <c r="F405"/>
      <c r="G405" t="inlineStr">
        <is>
          <t>0</t>
        </is>
      </c>
      <c r="H405"/>
      <c r="I405" t="inlineStr">
        <is>
          <t>郭斯已</t>
        </is>
      </c>
      <c r="J405" t="inlineStr">
        <is>
          <t>龚政涛,郭斯已</t>
        </is>
      </c>
      <c r="K405" t="inlineStr">
        <is>
          <t>龚政涛</t>
        </is>
      </c>
      <c r="L405" s="3">
        <v>45867.50341435185</v>
      </c>
      <c r="M405" s="3">
        <v>45898.333333333336</v>
      </c>
      <c r="N405" s="3">
        <v>45911.41185185185</v>
      </c>
      <c r="O405" s="3">
        <v>45905.333333333336</v>
      </c>
      <c r="P405" s="3">
        <v>45911.411875</v>
      </c>
      <c r="Q405" s="2" t="str">
        <f>=HYPERLINK("https://applink.feishu.cn/client/todo/task_list?guid=4d92b9af-66d1-4cd7-95d1-4b753a64ca6b", "跃入迷城")</f>
        <v>跃入迷城</v>
      </c>
      <c r="R405" t="inlineStr">
        <is>
          <t>4d92b9af-66d1-4cd7-95d1-4b753a64ca6b</t>
        </is>
      </c>
      <c r="S405" t="inlineStr">
        <is>
          <t>328e0b40-9b81-4963-a862-591f08ec2e12</t>
        </is>
      </c>
      <c r="T405">
        <v>0</v>
      </c>
      <c r="U405">
        <v>0</v>
      </c>
      <c r="V405" t="inlineStr">
        <is>
          <t>0.0.5</t>
        </is>
      </c>
      <c r="W405" t="inlineStr">
        <is>
          <t>已完成</t>
        </is>
      </c>
      <c r="X405" t="inlineStr">
        <is>
          <t>🎨艺术</t>
        </is>
      </c>
      <c r="Y405" t="inlineStr">
        <is>
          <t>UIUX</t>
        </is>
      </c>
      <c r="Z405" t="inlineStr">
        <is>
          <t>P0 - Must (not) Have</t>
        </is>
      </c>
      <c r="AA405"/>
      <c r="AB405" t="inlineStr">
        <is>
          <t>44200edd-c4e4-4dcf-b446-31189a8210b0, 83b38433-47d2-47fd-bac3-08661d70905d</t>
        </is>
      </c>
      <c r="AC405" t="inlineStr">
        <is>
          <t>f8d9a924-9c8f-4be8-a268-e525371a6dbc</t>
        </is>
      </c>
      <c r="AD405" t="inlineStr">
        <is>
          <t>NzUzMjAzNDQ5ODk2NDY2ODQ0NDozMjhlMGI0MC05YjgxLTQ5NjMtYTg2Mi01OTFmMDhlYzJlMTI6M2ExYWY5MjA5MmFkZTM3YTQ2ODQyZmUyNmFkNjM2ZmM6MQ==</t>
        </is>
      </c>
      <c r="AE405">
        <v>4</v>
      </c>
    </row>
    <row r="406" ht="25.5" customHeight="1">
      <c r="A406" s="2" t="str">
        <f>=HYPERLINK("https://applink.feishu.cn/client/todo/detail?guid=44200edd-c4e4-4dcf-b446-31189a8210b0&amp;suite_entity_num=t101002", "字幕对话 &lt; 🪡修改：彻底更新了对话相关的菜单UI效果")</f>
        <v>字幕对话 &lt; 🪡修改：彻底更新了对话相关的菜单UI效果</v>
      </c>
      <c r="B406"/>
      <c r="C406" t="inlineStr">
        <is>
          <t>默认分组</t>
        </is>
      </c>
      <c r="D406" t="inlineStr">
        <is>
          <t>1</t>
        </is>
      </c>
      <c r="E406" t="inlineStr">
        <is>
          <t>或签任务</t>
        </is>
      </c>
      <c r="F406"/>
      <c r="G406" t="inlineStr">
        <is>
          <t>0</t>
        </is>
      </c>
      <c r="H406"/>
      <c r="I406" t="inlineStr">
        <is>
          <t>郭斯已</t>
        </is>
      </c>
      <c r="J406" t="inlineStr">
        <is>
          <t>郭斯已,龚政涛</t>
        </is>
      </c>
      <c r="K406" t="inlineStr">
        <is>
          <t>龚政涛</t>
        </is>
      </c>
      <c r="L406" s="3">
        <v>45867.50342592593</v>
      </c>
      <c r="M406" s="3">
        <v>45899.333333333336</v>
      </c>
      <c r="N406" s="3">
        <v>45911.411944444444</v>
      </c>
      <c r="O406" s="3">
        <v>45905.333333333336</v>
      </c>
      <c r="P406" s="3">
        <v>45911.41196759259</v>
      </c>
      <c r="Q406" s="2" t="str">
        <f>=HYPERLINK("https://applink.feishu.cn/client/todo/task_list?guid=4d92b9af-66d1-4cd7-95d1-4b753a64ca6b", "跃入迷城")</f>
        <v>跃入迷城</v>
      </c>
      <c r="R406" t="inlineStr">
        <is>
          <t>4d92b9af-66d1-4cd7-95d1-4b753a64ca6b</t>
        </is>
      </c>
      <c r="S406" t="inlineStr">
        <is>
          <t>44200edd-c4e4-4dcf-b446-31189a8210b0</t>
        </is>
      </c>
      <c r="T406">
        <v>0</v>
      </c>
      <c r="U406">
        <v>0</v>
      </c>
      <c r="V406" t="inlineStr">
        <is>
          <t>0.0.5</t>
        </is>
      </c>
      <c r="W406" t="inlineStr">
        <is>
          <t>已完成</t>
        </is>
      </c>
      <c r="X406" t="inlineStr">
        <is>
          <t>🎨艺术</t>
        </is>
      </c>
      <c r="Y406" t="inlineStr">
        <is>
          <t>UIUX</t>
        </is>
      </c>
      <c r="Z406" t="inlineStr">
        <is>
          <t>P0 - Must (not) Have</t>
        </is>
      </c>
      <c r="AA406" t="inlineStr">
        <is>
          <t>328e0b40-9b81-4963-a862-591f08ec2e12</t>
        </is>
      </c>
      <c r="AB406"/>
      <c r="AC406" t="inlineStr">
        <is>
          <t>f8d9a924-9c8f-4be8-a268-e525371a6dbc</t>
        </is>
      </c>
      <c r="AD406" t="inlineStr">
        <is>
          <t>NzUzMjAzNDQ5ODk2NDY2ODQ0NDo0NDIwMGVkZC1jNGU0LTRkY2YtYjQ0Ni0zMTE4OWE4MjEwYjA6YTBjMjQ1OTRmZmRhNTkyZDc5YjE5YjkyMjI3OTEzYmQ6MQ==</t>
        </is>
      </c>
      <c r="AE406">
        <v>4</v>
      </c>
    </row>
    <row r="407" ht="25.5" customHeight="1">
      <c r="A407" s="2" t="str">
        <f>=HYPERLINK("https://applink.feishu.cn/client/todo/detail?guid=83b38433-47d2-47fd-bac3-08661d70905d&amp;suite_entity_num=t101003", "气泡对话 &lt; 🪡修改：彻底更新了对话相关的菜单UI效果")</f>
        <v>气泡对话 &lt; 🪡修改：彻底更新了对话相关的菜单UI效果</v>
      </c>
      <c r="B407"/>
      <c r="C407" t="inlineStr">
        <is>
          <t>默认分组</t>
        </is>
      </c>
      <c r="D407" t="inlineStr">
        <is>
          <t>1</t>
        </is>
      </c>
      <c r="E407" t="inlineStr">
        <is>
          <t>或签任务</t>
        </is>
      </c>
      <c r="F407"/>
      <c r="G407" t="inlineStr">
        <is>
          <t>0</t>
        </is>
      </c>
      <c r="H407"/>
      <c r="I407" t="inlineStr">
        <is>
          <t>郭斯已</t>
        </is>
      </c>
      <c r="J407" t="inlineStr">
        <is>
          <t>龚政涛,郭斯已</t>
        </is>
      </c>
      <c r="K407" t="inlineStr">
        <is>
          <t>龚政涛</t>
        </is>
      </c>
      <c r="L407" s="3">
        <v>45867.50344907407</v>
      </c>
      <c r="M407" s="3">
        <v>45899.333333333336</v>
      </c>
      <c r="N407" s="3">
        <v>45911.41175925926</v>
      </c>
      <c r="O407" s="3">
        <v>45905.333333333336</v>
      </c>
      <c r="P407" s="3">
        <v>45911.411770833336</v>
      </c>
      <c r="Q407" s="2" t="str">
        <f>=HYPERLINK("https://applink.feishu.cn/client/todo/task_list?guid=4d92b9af-66d1-4cd7-95d1-4b753a64ca6b", "跃入迷城")</f>
        <v>跃入迷城</v>
      </c>
      <c r="R407" t="inlineStr">
        <is>
          <t>4d92b9af-66d1-4cd7-95d1-4b753a64ca6b</t>
        </is>
      </c>
      <c r="S407" t="inlineStr">
        <is>
          <t>83b38433-47d2-47fd-bac3-08661d70905d</t>
        </is>
      </c>
      <c r="T407">
        <v>0</v>
      </c>
      <c r="U407">
        <v>0</v>
      </c>
      <c r="V407" t="inlineStr">
        <is>
          <t>0.0.5</t>
        </is>
      </c>
      <c r="W407" t="inlineStr">
        <is>
          <t>已完成</t>
        </is>
      </c>
      <c r="X407" t="inlineStr">
        <is>
          <t>🎨艺术</t>
        </is>
      </c>
      <c r="Y407" t="inlineStr">
        <is>
          <t>UIUX</t>
        </is>
      </c>
      <c r="Z407"/>
      <c r="AA407" t="inlineStr">
        <is>
          <t>328e0b40-9b81-4963-a862-591f08ec2e12</t>
        </is>
      </c>
      <c r="AB407"/>
      <c r="AC407" t="inlineStr">
        <is>
          <t>f8d9a924-9c8f-4be8-a268-e525371a6dbc</t>
        </is>
      </c>
      <c r="AD407" t="inlineStr">
        <is>
          <t>NzUzMjAzNDQ5ODk2NDY2ODQ0NDo4M2IzODQzMy00N2QyLTQ3ZmQtYmFjMy0wODY2MWQ3MDkwNWQ6MzNlNDgxMDhiMzg5NjJmNDVmODMwMWU3OTQyYmRiOTQ6MQ==</t>
        </is>
      </c>
      <c r="AE407">
        <v>4</v>
      </c>
    </row>
    <row r="408" ht="25.5" customHeight="1">
      <c r="A408" s="2" t="str">
        <f>=HYPERLINK("https://applink.feishu.cn/client/todo/detail?guid=b4317bda-2949-4286-8b80-8dc3bbe14d53&amp;suite_entity_num=t101006", "https://dikpa4hrtn9.feishu.cn/wiki/Id3AwEQVbioihIkzs2Ncb3bpnLc插图 &lt; 角色插图制作")</f>
        <v>https://dikpa4hrtn9.feishu.cn/wiki/Id3AwEQVbioihIkzs2Ncb3bpnLc插图 &lt; 角色插图制作</v>
      </c>
      <c r="B408"/>
      <c r="C408"/>
      <c r="D408" t="inlineStr">
        <is>
          <t>0</t>
        </is>
      </c>
      <c r="E408" t="inlineStr">
        <is>
          <t>或签任务</t>
        </is>
      </c>
      <c r="F408"/>
      <c r="G408" t="inlineStr">
        <is>
          <t>0</t>
        </is>
      </c>
      <c r="H408"/>
      <c r="I408"/>
      <c r="J408" t="inlineStr">
        <is>
          <t>龚政涛</t>
        </is>
      </c>
      <c r="K408" t="inlineStr">
        <is>
          <t>龚政涛</t>
        </is>
      </c>
      <c r="L408" s="3">
        <v>45873.405694444446</v>
      </c>
      <c r="M408" s="3">
        <v>45902.333333333336</v>
      </c>
      <c r="N408" s="3"/>
      <c r="O408" s="3">
        <v>45906.333333333336</v>
      </c>
      <c r="P408" s="3">
        <v>45882.490902777776</v>
      </c>
      <c r="Q408" s="2" t="str">
        <f>=HYPERLINK("https://applink.feishu.cn/client/todo/task_list?guid=4d92b9af-66d1-4cd7-95d1-4b753a64ca6b", "跃入迷城")</f>
        <v>跃入迷城</v>
      </c>
      <c r="R408" t="inlineStr">
        <is>
          <t>4d92b9af-66d1-4cd7-95d1-4b753a64ca6b</t>
        </is>
      </c>
      <c r="S408" t="inlineStr">
        <is>
          <t>b4317bda-2949-4286-8b80-8dc3bbe14d53</t>
        </is>
      </c>
      <c r="T408">
        <v>0</v>
      </c>
      <c r="U408">
        <v>0</v>
      </c>
      <c r="V408"/>
      <c r="W408"/>
      <c r="X408" t="inlineStr">
        <is>
          <t>🎨艺术</t>
        </is>
      </c>
      <c r="Y408" t="inlineStr">
        <is>
          <t>平面美术</t>
        </is>
      </c>
      <c r="Z408"/>
      <c r="AA408"/>
      <c r="AB408"/>
      <c r="AC408" t="inlineStr">
        <is>
          <t>cffa4f2c-fb50-49e2-aad9-4a85adbe2690</t>
        </is>
      </c>
      <c r="AD408" t="inlineStr">
        <is>
          <t>NzUzMjAzNDQ5ODk2NDY2ODQ0NDpiNDMxN2JkYS0yOTQ5LTQyODYtOGI4MC04ZGMzYmJlMTRkNTM6YWRkYjMzZGU3MzgyMWYyZmU1MGI5NmI5NmM1MjQ5YjI6MQ==</t>
        </is>
      </c>
      <c r="AE408"/>
    </row>
    <row r="409" ht="25.5" customHeight="1">
      <c r="A409" s="2" t="str">
        <f>=HYPERLINK("https://applink.feishu.cn/client/todo/detail?guid=5af848c9-b213-4ee5-82f9-a6641bf88397&amp;suite_entity_num=t101007", "奶妈插图 &lt; 角色插图制作")</f>
        <v>奶妈插图 &lt; 角色插图制作</v>
      </c>
      <c r="B409"/>
      <c r="C409"/>
      <c r="D409" t="inlineStr">
        <is>
          <t>0</t>
        </is>
      </c>
      <c r="E409" t="inlineStr">
        <is>
          <t>或签任务</t>
        </is>
      </c>
      <c r="F409"/>
      <c r="G409" t="inlineStr">
        <is>
          <t>0</t>
        </is>
      </c>
      <c r="H409"/>
      <c r="I409"/>
      <c r="J409" t="inlineStr">
        <is>
          <t>龚政涛</t>
        </is>
      </c>
      <c r="K409" t="inlineStr">
        <is>
          <t>龚政涛</t>
        </is>
      </c>
      <c r="L409" s="3">
        <v>45873.40721064815</v>
      </c>
      <c r="M409" s="3">
        <v>45906.333333333336</v>
      </c>
      <c r="N409" s="3"/>
      <c r="O409" s="3">
        <v>45910.333333333336</v>
      </c>
      <c r="P409" s="3">
        <v>45882.4909375</v>
      </c>
      <c r="Q409" s="2" t="str">
        <f>=HYPERLINK("https://applink.feishu.cn/client/todo/task_list?guid=4d92b9af-66d1-4cd7-95d1-4b753a64ca6b", "跃入迷城")</f>
        <v>跃入迷城</v>
      </c>
      <c r="R409" t="inlineStr">
        <is>
          <t>4d92b9af-66d1-4cd7-95d1-4b753a64ca6b</t>
        </is>
      </c>
      <c r="S409" t="inlineStr">
        <is>
          <t>5af848c9-b213-4ee5-82f9-a6641bf88397</t>
        </is>
      </c>
      <c r="T409">
        <v>0</v>
      </c>
      <c r="U409">
        <v>0</v>
      </c>
      <c r="V409"/>
      <c r="W409"/>
      <c r="X409" t="inlineStr">
        <is>
          <t>🎨艺术</t>
        </is>
      </c>
      <c r="Y409" t="inlineStr">
        <is>
          <t>平面美术</t>
        </is>
      </c>
      <c r="Z409"/>
      <c r="AA409"/>
      <c r="AB409"/>
      <c r="AC409" t="inlineStr">
        <is>
          <t>cffa4f2c-fb50-49e2-aad9-4a85adbe2690</t>
        </is>
      </c>
      <c r="AD409" t="inlineStr">
        <is>
          <t>NzUzMjAzNDQ5ODk2NDY2ODQ0NDo1YWY4NDhjOS1iMjEzLTRlZTUtODJmOS1hNjY0MWJmODgzOTc6MjhmNjViMTE2Mjk3YzBiZGIxZWRhOGU4YzAzN2U0NDk6MQ==</t>
        </is>
      </c>
      <c r="AE409"/>
    </row>
    <row r="410" ht="25.5" customHeight="1">
      <c r="A410" s="2" t="str">
        <f>=HYPERLINK("https://applink.feishu.cn/client/todo/detail?guid=1309de2e-de79-4a68-b93c-d2aff6e3b643&amp;suite_entity_num=t101008", "支柱插图 &lt; 角色插图制作")</f>
        <v>支柱插图 &lt; 角色插图制作</v>
      </c>
      <c r="B410"/>
      <c r="C410"/>
      <c r="D410" t="inlineStr">
        <is>
          <t>0</t>
        </is>
      </c>
      <c r="E410" t="inlineStr">
        <is>
          <t>或签任务</t>
        </is>
      </c>
      <c r="F410"/>
      <c r="G410" t="inlineStr">
        <is>
          <t>0</t>
        </is>
      </c>
      <c r="H410"/>
      <c r="I410"/>
      <c r="J410" t="inlineStr">
        <is>
          <t>龚政涛</t>
        </is>
      </c>
      <c r="K410" t="inlineStr">
        <is>
          <t>龚政涛</t>
        </is>
      </c>
      <c r="L410" s="3">
        <v>45873.40840277778</v>
      </c>
      <c r="M410" s="3">
        <v>45912.333333333336</v>
      </c>
      <c r="N410" s="3"/>
      <c r="O410" s="3">
        <v>45918.333333333336</v>
      </c>
      <c r="P410" s="3">
        <v>45882.490694444445</v>
      </c>
      <c r="Q410" s="2" t="str">
        <f>=HYPERLINK("https://applink.feishu.cn/client/todo/task_list?guid=4d92b9af-66d1-4cd7-95d1-4b753a64ca6b", "跃入迷城")</f>
        <v>跃入迷城</v>
      </c>
      <c r="R410" t="inlineStr">
        <is>
          <t>4d92b9af-66d1-4cd7-95d1-4b753a64ca6b</t>
        </is>
      </c>
      <c r="S410" t="inlineStr">
        <is>
          <t>1309de2e-de79-4a68-b93c-d2aff6e3b643</t>
        </is>
      </c>
      <c r="T410">
        <v>0</v>
      </c>
      <c r="U410">
        <v>0</v>
      </c>
      <c r="V410"/>
      <c r="W410"/>
      <c r="X410" t="inlineStr">
        <is>
          <t>🎨艺术</t>
        </is>
      </c>
      <c r="Y410" t="inlineStr">
        <is>
          <t>平面美术</t>
        </is>
      </c>
      <c r="Z410"/>
      <c r="AA410"/>
      <c r="AB410"/>
      <c r="AC410" t="inlineStr">
        <is>
          <t>cffa4f2c-fb50-49e2-aad9-4a85adbe2690</t>
        </is>
      </c>
      <c r="AD410" t="inlineStr">
        <is>
          <t>NzUzMjAzNDQ5ODk2NDY2ODQ0NDoxMzA5ZGUyZS1kZTc5LTRhNjgtYjkzYy1kMmFmZjZlM2I2NDM6OTk2NmJkNGQxYTZkYTZkZDNjODA5MzZjMWI0ODNjODM6MQ==</t>
        </is>
      </c>
      <c r="AE410"/>
    </row>
    <row r="411" ht="25.5" customHeight="1">
      <c r="A411" s="2" t="str">
        <f>=HYPERLINK("https://applink.feishu.cn/client/todo/detail?guid=7e1ea3f2-ba5e-4173-aa9d-ea0d224c645a&amp;suite_entity_num=t101009", "总裁插图 &lt; 角色插图制作")</f>
        <v>总裁插图 &lt; 角色插图制作</v>
      </c>
      <c r="B411"/>
      <c r="C411"/>
      <c r="D411" t="inlineStr">
        <is>
          <t>0</t>
        </is>
      </c>
      <c r="E411" t="inlineStr">
        <is>
          <t>或签任务</t>
        </is>
      </c>
      <c r="F411"/>
      <c r="G411" t="inlineStr">
        <is>
          <t>0</t>
        </is>
      </c>
      <c r="H411"/>
      <c r="I411"/>
      <c r="J411" t="inlineStr">
        <is>
          <t>龚政涛</t>
        </is>
      </c>
      <c r="K411" t="inlineStr">
        <is>
          <t>龚政涛</t>
        </is>
      </c>
      <c r="L411" s="3">
        <v>45873.40851851852</v>
      </c>
      <c r="M411" s="3">
        <v>45919.333333333336</v>
      </c>
      <c r="N411" s="3"/>
      <c r="O411" s="3">
        <v>45925.333333333336</v>
      </c>
      <c r="P411" s="3">
        <v>45882.49065972222</v>
      </c>
      <c r="Q411" s="2" t="str">
        <f>=HYPERLINK("https://applink.feishu.cn/client/todo/task_list?guid=4d92b9af-66d1-4cd7-95d1-4b753a64ca6b", "跃入迷城")</f>
        <v>跃入迷城</v>
      </c>
      <c r="R411" t="inlineStr">
        <is>
          <t>4d92b9af-66d1-4cd7-95d1-4b753a64ca6b</t>
        </is>
      </c>
      <c r="S411" t="inlineStr">
        <is>
          <t>7e1ea3f2-ba5e-4173-aa9d-ea0d224c645a</t>
        </is>
      </c>
      <c r="T411">
        <v>0</v>
      </c>
      <c r="U411">
        <v>0</v>
      </c>
      <c r="V411"/>
      <c r="W411"/>
      <c r="X411" t="inlineStr">
        <is>
          <t>🎨艺术</t>
        </is>
      </c>
      <c r="Y411" t="inlineStr">
        <is>
          <t>平面美术</t>
        </is>
      </c>
      <c r="Z411"/>
      <c r="AA411"/>
      <c r="AB411"/>
      <c r="AC411" t="inlineStr">
        <is>
          <t>cffa4f2c-fb50-49e2-aad9-4a85adbe2690</t>
        </is>
      </c>
      <c r="AD411" t="inlineStr">
        <is>
          <t>NzUzMjAzNDQ5ODk2NDY2ODQ0NDo3ZTFlYTNmMi1iYTVlLTQxNzMtYWE5ZC1lYTBkMjI0YzY0NWE6NmUyZGFkY2ViNmE4MmJjOTQ3OWFiZjk1YWRmNzIxMDM6MQ==</t>
        </is>
      </c>
      <c r="AE411"/>
    </row>
    <row r="412" ht="25.5" customHeight="1">
      <c r="A412" s="2" t="str">
        <f>=HYPERLINK("https://applink.feishu.cn/client/todo/detail?guid=3bb54d7d-5e8e-4a43-b86a-bf9c8d11185b&amp;suite_entity_num=t101010", "TWIN插图 &lt; 角色插图制作")</f>
        <v>TWIN插图 &lt; 角色插图制作</v>
      </c>
      <c r="B412"/>
      <c r="C412"/>
      <c r="D412" t="inlineStr">
        <is>
          <t>0</t>
        </is>
      </c>
      <c r="E412" t="inlineStr">
        <is>
          <t>或签任务</t>
        </is>
      </c>
      <c r="F412"/>
      <c r="G412" t="inlineStr">
        <is>
          <t>0</t>
        </is>
      </c>
      <c r="H412"/>
      <c r="I412"/>
      <c r="J412" t="inlineStr">
        <is>
          <t>龚政涛</t>
        </is>
      </c>
      <c r="K412" t="inlineStr">
        <is>
          <t>龚政涛</t>
        </is>
      </c>
      <c r="L412" s="3">
        <v>45873.40859953704</v>
      </c>
      <c r="M412" s="3">
        <v>45923.333333333336</v>
      </c>
      <c r="N412" s="3"/>
      <c r="O412" s="3">
        <v>45929.333333333336</v>
      </c>
      <c r="P412" s="3">
        <v>45882.4906712963</v>
      </c>
      <c r="Q412" s="2" t="str">
        <f>=HYPERLINK("https://applink.feishu.cn/client/todo/task_list?guid=4d92b9af-66d1-4cd7-95d1-4b753a64ca6b", "跃入迷城")</f>
        <v>跃入迷城</v>
      </c>
      <c r="R412" t="inlineStr">
        <is>
          <t>4d92b9af-66d1-4cd7-95d1-4b753a64ca6b</t>
        </is>
      </c>
      <c r="S412" t="inlineStr">
        <is>
          <t>3bb54d7d-5e8e-4a43-b86a-bf9c8d11185b</t>
        </is>
      </c>
      <c r="T412">
        <v>0</v>
      </c>
      <c r="U412">
        <v>0</v>
      </c>
      <c r="V412"/>
      <c r="W412"/>
      <c r="X412" t="inlineStr">
        <is>
          <t>🎨艺术</t>
        </is>
      </c>
      <c r="Y412" t="inlineStr">
        <is>
          <t>平面美术</t>
        </is>
      </c>
      <c r="Z412"/>
      <c r="AA412"/>
      <c r="AB412"/>
      <c r="AC412" t="inlineStr">
        <is>
          <t>cffa4f2c-fb50-49e2-aad9-4a85adbe2690</t>
        </is>
      </c>
      <c r="AD412" t="inlineStr">
        <is>
          <t>NzUzMjAzNDQ5ODk2NDY2ODQ0NDozYmI1NGQ3ZC01ZThlLTRhNDMtYjg2YS1iZjljOGQxMTE4NWI6NTZkNjk4ZDRhNzk3ZjIxYWZiNTQ4ZDIxZDUxMTE3MmY6MQ==</t>
        </is>
      </c>
      <c r="AE412"/>
    </row>
    <row r="413" ht="25.5" customHeight="1">
      <c r="A413" s="2" t="str">
        <f>=HYPERLINK("https://applink.feishu.cn/client/todo/detail?guid=fa0159e7-ccc8-48bb-b78a-5acdd62cf97c&amp;suite_entity_num=t101014", "子弹尾迹和烟雾VFX分开处理，参考上行战场 &lt; 🪡修改：优化了游戏中的VFX效果")</f>
        <v>子弹尾迹和烟雾VFX分开处理，参考上行战场 &lt; 🪡修改：优化了游戏中的VFX效果</v>
      </c>
      <c r="B413"/>
      <c r="C413"/>
      <c r="D413" t="inlineStr">
        <is>
          <t>0</t>
        </is>
      </c>
      <c r="E413" t="inlineStr">
        <is>
          <t>或签任务</t>
        </is>
      </c>
      <c r="F413"/>
      <c r="G413" t="inlineStr">
        <is>
          <t>0</t>
        </is>
      </c>
      <c r="H413"/>
      <c r="I413" t="inlineStr">
        <is>
          <t>Decay</t>
        </is>
      </c>
      <c r="J413" t="inlineStr">
        <is>
          <t>龚政涛,Decay</t>
        </is>
      </c>
      <c r="K413" t="inlineStr">
        <is>
          <t>龚政涛</t>
        </is>
      </c>
      <c r="L413" s="3">
        <v>45877.62446759259</v>
      </c>
      <c r="M413" s="3">
        <v>45905.333333333336</v>
      </c>
      <c r="N413" s="3"/>
      <c r="O413" s="3">
        <v>45905.333333333336</v>
      </c>
      <c r="P413" s="3">
        <v>45895.471967592595</v>
      </c>
      <c r="Q413" s="2" t="str">
        <f>=HYPERLINK("https://applink.feishu.cn/client/todo/task_list?guid=4d92b9af-66d1-4cd7-95d1-4b753a64ca6b", "跃入迷城")</f>
        <v>跃入迷城</v>
      </c>
      <c r="R413" t="inlineStr">
        <is>
          <t>4d92b9af-66d1-4cd7-95d1-4b753a64ca6b</t>
        </is>
      </c>
      <c r="S413" t="inlineStr">
        <is>
          <t>fa0159e7-ccc8-48bb-b78a-5acdd62cf97c</t>
        </is>
      </c>
      <c r="T413">
        <v>0</v>
      </c>
      <c r="U413">
        <v>0</v>
      </c>
      <c r="V413"/>
      <c r="W413"/>
      <c r="X413" t="inlineStr">
        <is>
          <t>🎨艺术</t>
        </is>
      </c>
      <c r="Y413"/>
      <c r="Z413"/>
      <c r="AA413" t="inlineStr">
        <is>
          <t>d701f38b-762e-4205-b484-d2328e2c5ccb</t>
        </is>
      </c>
      <c r="AB413"/>
      <c r="AC413" t="inlineStr">
        <is>
          <t>7b20d840-79cc-4a3d-a52b-b61bd092fe16</t>
        </is>
      </c>
      <c r="AD413" t="inlineStr">
        <is>
          <t>NzUzMjAzNDQ5ODk2NDY2ODQ0NDpmYTAxNTllNy1jY2M4LTQ4YmItYjc4YS01YWNkZDYyY2Y5N2M6YTE1NDMxNGNiNzVlYjhhZDNkNDc4Mzc0YWYzNDU5YWU6MQ==</t>
        </is>
      </c>
      <c r="AE413"/>
    </row>
    <row r="414" ht="25.5" customHeight="1">
      <c xml:space="preserve" r="A414" s="2" t="str">
        <f>=HYPERLINK("https://applink.feishu.cn/client/todo/detail?guid=35cbb765-0c35-4652-a566-0b44e25091d6&amp;suite_entity_num=t101015", "改变关卡与关卡之间的连接 &lt; 🪡修改：关卡的布局进行了调整，现在关卡内的动线和敌人布置会变得更合理 ")</f>
        <v>改变关卡与关卡之间的连接 &lt; 🪡修改：关卡的布局进行了调整，现在关卡内的动线和敌人布置会变得更合理 </v>
      </c>
      <c r="B414"/>
      <c r="C414"/>
      <c r="D414" t="inlineStr">
        <is>
          <t>1</t>
        </is>
      </c>
      <c r="E414" t="inlineStr">
        <is>
          <t>或签任务</t>
        </is>
      </c>
      <c r="F414"/>
      <c r="G414" t="inlineStr">
        <is>
          <t>0</t>
        </is>
      </c>
      <c r="H414"/>
      <c r="I414"/>
      <c r="J414" t="inlineStr">
        <is>
          <t>龚政涛</t>
        </is>
      </c>
      <c r="K414" t="inlineStr">
        <is>
          <t>龚政涛</t>
        </is>
      </c>
      <c r="L414" s="3">
        <v>45877.627974537034</v>
      </c>
      <c r="M414" s="3">
        <v>45907.333333333336</v>
      </c>
      <c r="N414" s="3">
        <v>45877.628171296295</v>
      </c>
      <c r="O414" s="3">
        <v>45907.333333333336</v>
      </c>
      <c r="P414" s="3">
        <v>45882.65142361111</v>
      </c>
      <c r="Q414" s="2" t="str">
        <f>=HYPERLINK("https://applink.feishu.cn/client/todo/task_list?guid=4d92b9af-66d1-4cd7-95d1-4b753a64ca6b", "跃入迷城")</f>
        <v>跃入迷城</v>
      </c>
      <c r="R414" t="inlineStr">
        <is>
          <t>4d92b9af-66d1-4cd7-95d1-4b753a64ca6b</t>
        </is>
      </c>
      <c r="S414" t="inlineStr">
        <is>
          <t>35cbb765-0c35-4652-a566-0b44e25091d6</t>
        </is>
      </c>
      <c r="T414">
        <v>0</v>
      </c>
      <c r="U414">
        <v>0</v>
      </c>
      <c r="V414"/>
      <c r="W414"/>
      <c r="X414" t="inlineStr">
        <is>
          <t>🎮玩法</t>
        </is>
      </c>
      <c r="Y414"/>
      <c r="Z414"/>
      <c r="AA414"/>
      <c r="AB414" t="inlineStr">
        <is>
          <t>2b1634f1-c9d3-4dbc-9094-f0bf62eb05c0</t>
        </is>
      </c>
      <c r="AC414" t="inlineStr">
        <is>
          <t>d3433274-fd98-4367-9d04-1998c696fe95</t>
        </is>
      </c>
      <c r="AD414" t="inlineStr">
        <is>
          <t>NzUzMjAzNDQ5ODk2NDY2ODQ0NDozNWNiYjc2NS0wYzM1LTQ2NTItYTU2Ni0wYjQ0ZTI1MDkxZDY6YTY1MjcxOTYwMzk1NTY4YmJlMzU5ZGU4OThmMTVlZDA6MQ==</t>
        </is>
      </c>
      <c r="AE414"/>
    </row>
    <row r="415" ht="25.5" customHeight="1">
      <c xml:space="preserve" r="A415" s="2" t="str">
        <f>=HYPERLINK("https://applink.feishu.cn/client/todo/detail?guid=2b1634f1-c9d3-4dbc-9094-f0bf62eb05c0&amp;suite_entity_num=t101016", "增设关卡内障碍物 &lt; 🪡修改：关卡的布局进行了调整，现在关卡内的动线和敌人布置会变得更合理 ")</f>
        <v>增设关卡内障碍物 &lt; 🪡修改：关卡的布局进行了调整，现在关卡内的动线和敌人布置会变得更合理 </v>
      </c>
      <c r="B415"/>
      <c r="C415"/>
      <c r="D415" t="inlineStr">
        <is>
          <t>0</t>
        </is>
      </c>
      <c r="E415" t="inlineStr">
        <is>
          <t>或签任务</t>
        </is>
      </c>
      <c r="F415"/>
      <c r="G415" t="inlineStr">
        <is>
          <t>0</t>
        </is>
      </c>
      <c r="H415"/>
      <c r="I415"/>
      <c r="J415" t="inlineStr">
        <is>
          <t>龚政涛</t>
        </is>
      </c>
      <c r="K415" t="inlineStr">
        <is>
          <t>龚政涛</t>
        </is>
      </c>
      <c r="L415" s="3">
        <v>45877.62803240741</v>
      </c>
      <c r="M415" s="3">
        <v>45908.333333333336</v>
      </c>
      <c r="N415" s="3"/>
      <c r="O415" s="3">
        <v>45908.333333333336</v>
      </c>
      <c r="P415" s="3">
        <v>45882.651412037034</v>
      </c>
      <c r="Q415" s="2" t="str">
        <f>=HYPERLINK("https://applink.feishu.cn/client/todo/task_list?guid=4d92b9af-66d1-4cd7-95d1-4b753a64ca6b", "跃入迷城")</f>
        <v>跃入迷城</v>
      </c>
      <c r="R415" t="inlineStr">
        <is>
          <t>4d92b9af-66d1-4cd7-95d1-4b753a64ca6b</t>
        </is>
      </c>
      <c r="S415" t="inlineStr">
        <is>
          <t>2b1634f1-c9d3-4dbc-9094-f0bf62eb05c0</t>
        </is>
      </c>
      <c r="T415">
        <v>0</v>
      </c>
      <c r="U415">
        <v>0</v>
      </c>
      <c r="V415"/>
      <c r="W415"/>
      <c r="X415" t="inlineStr">
        <is>
          <t>🎮玩法</t>
        </is>
      </c>
      <c r="Y415"/>
      <c r="Z415"/>
      <c r="AA415" t="inlineStr">
        <is>
          <t>35cbb765-0c35-4652-a566-0b44e25091d6</t>
        </is>
      </c>
      <c r="AB415"/>
      <c r="AC415" t="inlineStr">
        <is>
          <t>d3433274-fd98-4367-9d04-1998c696fe95</t>
        </is>
      </c>
      <c r="AD415" t="inlineStr">
        <is>
          <t>NzUzMjAzNDQ5ODk2NDY2ODQ0NDoyYjE2MzRmMS1jOWQzLTRkYmMtOTA5NC1mMGJmNjJlYjA1YzA6MDhlNmZjMzljZmRkYWI1ODBhZjIwZWQ0NzI2MjM5ZDM6MQ==</t>
        </is>
      </c>
      <c r="AE415"/>
    </row>
    <row r="416" ht="25.5" customHeight="1">
      <c r="A416" s="2" t="str">
        <f>=HYPERLINK("https://applink.feishu.cn/client/todo/detail?guid=a724068f-9a4d-422a-b877-271742bcd7a4&amp;suite_entity_num=t101021", "✨新增：增加了敌人补充的功能，另外，现在无需击杀所有敌人就能前往下一关（电梯卡堂堂回归）")</f>
        <v>✨新增：增加了敌人补充的功能，另外，现在无需击杀所有敌人就能前往下一关（电梯卡堂堂回归）</v>
      </c>
      <c r="B416"/>
      <c r="C416" t="inlineStr">
        <is>
          <t>默认分组</t>
        </is>
      </c>
      <c r="D416" t="inlineStr">
        <is>
          <t>0</t>
        </is>
      </c>
      <c r="E416" t="inlineStr">
        <is>
          <t>或签任务</t>
        </is>
      </c>
      <c r="F416"/>
      <c r="G416" t="inlineStr">
        <is>
          <t>0</t>
        </is>
      </c>
      <c r="H416"/>
      <c r="I416" t="inlineStr">
        <is>
          <t>Decay</t>
        </is>
      </c>
      <c r="J416" t="inlineStr">
        <is>
          <t>龚政涛,Decay</t>
        </is>
      </c>
      <c r="K416" t="inlineStr">
        <is>
          <t>龚政涛</t>
        </is>
      </c>
      <c r="L416" s="3">
        <v>45877.69243055556</v>
      </c>
      <c r="M416" s="3">
        <v>45903.333333333336</v>
      </c>
      <c r="N416" s="3"/>
      <c r="O416" s="3">
        <v>45918.333333333336</v>
      </c>
      <c r="P416" s="3">
        <v>45911.40971064815</v>
      </c>
      <c r="Q416" s="2" t="str">
        <f>=HYPERLINK("https://applink.feishu.cn/client/todo/task_list?guid=4d92b9af-66d1-4cd7-95d1-4b753a64ca6b", "跃入迷城")</f>
        <v>跃入迷城</v>
      </c>
      <c r="R416" t="inlineStr">
        <is>
          <t>4d92b9af-66d1-4cd7-95d1-4b753a64ca6b</t>
        </is>
      </c>
      <c r="S416" t="inlineStr">
        <is>
          <t>a724068f-9a4d-422a-b877-271742bcd7a4</t>
        </is>
      </c>
      <c r="T416">
        <v>0</v>
      </c>
      <c r="U416">
        <v>0</v>
      </c>
      <c r="V416" t="inlineStr">
        <is>
          <t>0.0.5</t>
        </is>
      </c>
      <c r="W416"/>
      <c r="X416" t="inlineStr">
        <is>
          <t>🎮玩法</t>
        </is>
      </c>
      <c r="Y416" t="inlineStr">
        <is>
          <t>关卡</t>
        </is>
      </c>
      <c r="Z416" t="inlineStr">
        <is>
          <t>P1 - Bigger the Better</t>
        </is>
      </c>
      <c r="AA416" t="inlineStr">
        <is>
          <t>ac428c2f-96e9-4cd8-83aa-b78ec9473ea1</t>
        </is>
      </c>
      <c r="AB416"/>
      <c r="AC416"/>
      <c r="AD416" t="inlineStr">
        <is>
          <t>NzUzMjAzNDQ5ODk2NDY2ODQ0NDphNzI0MDY4Zi05YTRkLTQyMmEtYjg3Ny0yNzE3NDJiY2Q3YTQ6ZDE3YjNkMDlkOTUzNTkzYWI1MjE3NTE3ZmFhZmIzNzk6MQ==</t>
        </is>
      </c>
      <c r="AE416">
        <v>4</v>
      </c>
    </row>
    <row r="417" ht="25.5" customHeight="1">
      <c r="A417" s="2" t="str">
        <f>=HYPERLINK("https://applink.feishu.cn/client/todo/detail?guid=6dcd4b32-0856-43a5-8a80-b3d12c6a8bd3&amp;suite_entity_num=t101017", "解决关卡加载缓慢的问题")</f>
        <v>解决关卡加载缓慢的问题</v>
      </c>
      <c r="B417"/>
      <c r="C417" t="inlineStr">
        <is>
          <t>默认分组</t>
        </is>
      </c>
      <c r="D417" t="inlineStr">
        <is>
          <t>0</t>
        </is>
      </c>
      <c r="E417" t="inlineStr">
        <is>
          <t>或签任务</t>
        </is>
      </c>
      <c r="F417"/>
      <c r="G417" t="inlineStr">
        <is>
          <t>0</t>
        </is>
      </c>
      <c r="H417"/>
      <c r="I417"/>
      <c r="J417" t="inlineStr">
        <is>
          <t>龚政涛</t>
        </is>
      </c>
      <c r="K417" t="inlineStr">
        <is>
          <t>龚政涛</t>
        </is>
      </c>
      <c r="L417" s="3">
        <v>45877.68446759259</v>
      </c>
      <c r="M417" s="3"/>
      <c r="N417" s="3"/>
      <c r="O417" s="3"/>
      <c r="P417" s="3">
        <v>45877.684479166666</v>
      </c>
      <c r="Q417" s="2" t="str">
        <f>=HYPERLINK("https://applink.feishu.cn/client/todo/task_list?guid=4d92b9af-66d1-4cd7-95d1-4b753a64ca6b", "跃入迷城")</f>
        <v>跃入迷城</v>
      </c>
      <c r="R417" t="inlineStr">
        <is>
          <t>4d92b9af-66d1-4cd7-95d1-4b753a64ca6b</t>
        </is>
      </c>
      <c r="S417" t="inlineStr">
        <is>
          <t>6dcd4b32-0856-43a5-8a80-b3d12c6a8bd3</t>
        </is>
      </c>
      <c r="T417">
        <v>0</v>
      </c>
      <c r="U417">
        <v>0</v>
      </c>
      <c r="V417"/>
      <c r="W417"/>
      <c r="X417"/>
      <c r="Y417" t="inlineStr">
        <is>
          <t>关卡</t>
        </is>
      </c>
      <c r="Z417"/>
      <c r="AA417"/>
      <c r="AB417"/>
      <c r="AC417"/>
      <c r="AD417" t="inlineStr">
        <is>
          <t>NzUzMjAzNDQ5ODk2NDY2ODQ0NDo2ZGNkNGIzMi0wODU2LTQzYTUtOGE4MC1iM2QxMmM2YThiZDM6ZWY5ZDFmM2YyZDVmMzgwMzgwNWIwNjZiNDA3ZTQ5ZmQ6MQ==</t>
        </is>
      </c>
      <c r="AE417"/>
    </row>
    <row r="418" ht="25.5" customHeight="1">
      <c r="A418" s="2" t="str">
        <f>=HYPERLINK("https://applink.feishu.cn/client/todo/detail?guid=b731e7fc-2a22-4bbb-a4ef-e1c345f9c36b&amp;suite_entity_num=t101018", "修复component attachment问题 -&gt; 教我一下 &lt; ✨新增：玩家被墙壁遮挡时，会隐藏半墙优化视野")</f>
        <v>修复component attachment问题 -&gt; 教我一下 &lt; ✨新增：玩家被墙壁遮挡时，会隐藏半墙优化视野</v>
      </c>
      <c r="B418"/>
      <c r="C418"/>
      <c r="D418" t="inlineStr">
        <is>
          <t>0</t>
        </is>
      </c>
      <c r="E418" t="inlineStr">
        <is>
          <t>或签任务</t>
        </is>
      </c>
      <c r="F418"/>
      <c r="G418" t="inlineStr">
        <is>
          <t>0</t>
        </is>
      </c>
      <c r="H418"/>
      <c r="I418" t="inlineStr">
        <is>
          <t>Decay</t>
        </is>
      </c>
      <c r="J418" t="inlineStr">
        <is>
          <t>龚政涛,Decay</t>
        </is>
      </c>
      <c r="K418" t="inlineStr">
        <is>
          <t>龚政涛</t>
        </is>
      </c>
      <c r="L418" s="3">
        <v>45877.684953703705</v>
      </c>
      <c r="M418" s="3">
        <v>45901.333333333336</v>
      </c>
      <c r="N418" s="3"/>
      <c r="O418" s="3">
        <v>45901.333333333336</v>
      </c>
      <c r="P418" s="3">
        <v>45918.58070601852</v>
      </c>
      <c r="Q418" s="2" t="str">
        <f>=HYPERLINK("https://applink.feishu.cn/client/todo/task_list?guid=4d92b9af-66d1-4cd7-95d1-4b753a64ca6b", "跃入迷城")</f>
        <v>跃入迷城</v>
      </c>
      <c r="R418" t="inlineStr">
        <is>
          <t>4d92b9af-66d1-4cd7-95d1-4b753a64ca6b</t>
        </is>
      </c>
      <c r="S418" t="inlineStr">
        <is>
          <t>b731e7fc-2a22-4bbb-a4ef-e1c345f9c36b</t>
        </is>
      </c>
      <c r="T418">
        <v>0</v>
      </c>
      <c r="U418">
        <v>0</v>
      </c>
      <c r="V418"/>
      <c r="W418"/>
      <c r="X418" t="inlineStr">
        <is>
          <t>🛠️技术</t>
        </is>
      </c>
      <c r="Y418"/>
      <c r="Z418"/>
      <c r="AA418"/>
      <c r="AB418" t="inlineStr">
        <is>
          <t>9386e3ad-53de-4fe7-8cb0-ffcf0d51c147</t>
        </is>
      </c>
      <c r="AC418" t="inlineStr">
        <is>
          <t>eb3864cf-41d8-4dc6-9bc3-911c11d8ba85</t>
        </is>
      </c>
      <c r="AD418" t="inlineStr">
        <is>
          <t>NzUzMjAzNDQ5ODk2NDY2ODQ0NDpiNzMxZTdmYy0yYTIyLTRiYmItYTRlZi1lMWMzNDVmOWMzNmI6MTQ3NmQ2YjdhYzNhZTY1YmJhZTE2NzQ4NzA3NTk2MzA6MQ==</t>
        </is>
      </c>
      <c r="AE418"/>
    </row>
    <row r="419" ht="25.5" customHeight="1">
      <c r="A419" s="2" t="str">
        <f>=HYPERLINK("https://applink.feishu.cn/client/todo/detail?guid=346ff4a5-1b97-42a4-b357-f9790524b61a&amp;suite_entity_num=t101023", "section gate &lt; 🪡修改：优化关卡切换的演出")</f>
        <v>section gate &lt; 🪡修改：优化关卡切换的演出</v>
      </c>
      <c r="B419"/>
      <c r="C419"/>
      <c r="D419" t="inlineStr">
        <is>
          <t>0</t>
        </is>
      </c>
      <c r="E419" t="inlineStr">
        <is>
          <t>或签任务</t>
        </is>
      </c>
      <c r="F419"/>
      <c r="G419" t="inlineStr">
        <is>
          <t>0</t>
        </is>
      </c>
      <c r="H419"/>
      <c r="I419"/>
      <c r="J419" t="inlineStr">
        <is>
          <t>龚政涛</t>
        </is>
      </c>
      <c r="K419" t="inlineStr">
        <is>
          <t>龚政涛</t>
        </is>
      </c>
      <c r="L419" s="3">
        <v>45880.604155092595</v>
      </c>
      <c r="M419" s="3">
        <v>45885.333333333336</v>
      </c>
      <c r="N419" s="3"/>
      <c r="O419" s="3">
        <v>45885.333333333336</v>
      </c>
      <c r="P419" s="3">
        <v>45880.60435185185</v>
      </c>
      <c r="Q419" s="2" t="str">
        <f>=HYPERLINK("https://applink.feishu.cn/client/todo/task_list?guid=4d92b9af-66d1-4cd7-95d1-4b753a64ca6b", "跃入迷城")</f>
        <v>跃入迷城</v>
      </c>
      <c r="R419" t="inlineStr">
        <is>
          <t>4d92b9af-66d1-4cd7-95d1-4b753a64ca6b</t>
        </is>
      </c>
      <c r="S419" t="inlineStr">
        <is>
          <t>346ff4a5-1b97-42a4-b357-f9790524b61a</t>
        </is>
      </c>
      <c r="T419">
        <v>0</v>
      </c>
      <c r="U419">
        <v>0</v>
      </c>
      <c r="V419"/>
      <c r="W419"/>
      <c r="X419" t="inlineStr">
        <is>
          <t>🛠️技术</t>
        </is>
      </c>
      <c r="Y419"/>
      <c r="Z419"/>
      <c r="AA419"/>
      <c r="AB419"/>
      <c r="AC419" t="inlineStr">
        <is>
          <t>f13757d5-44f3-4120-ace3-8e2d59451c18</t>
        </is>
      </c>
      <c r="AD419" t="inlineStr">
        <is>
          <t>NzUzMjAzNDQ5ODk2NDY2ODQ0NDozNDZmZjRhNS0xYjk3LTQyYTQtYjM1Ny1mOTc5MDUyNGI2MWE6MjM3NDFlOTI3OTU5NDcxZjE2Y2FlZjAwMWI3YjE4NDA6MQ==</t>
        </is>
      </c>
      <c r="AE419"/>
    </row>
    <row r="420" ht="25.5" customHeight="1">
      <c r="A420" s="2" t="str">
        <f>=HYPERLINK("https://applink.feishu.cn/client/todo/detail?guid=76cefce4-ea34-4db9-84c5-f9135f46b860&amp;suite_entity_num=t101024", "电梯 &lt; 🪡修改：优化关卡切换的演出")</f>
        <v>电梯 &lt; 🪡修改：优化关卡切换的演出</v>
      </c>
      <c r="B420"/>
      <c r="C420"/>
      <c r="D420" t="inlineStr">
        <is>
          <t>0</t>
        </is>
      </c>
      <c r="E420" t="inlineStr">
        <is>
          <t>或签任务</t>
        </is>
      </c>
      <c r="F420"/>
      <c r="G420" t="inlineStr">
        <is>
          <t>0</t>
        </is>
      </c>
      <c r="H420"/>
      <c r="I420"/>
      <c r="J420" t="inlineStr">
        <is>
          <t>龚政涛</t>
        </is>
      </c>
      <c r="K420" t="inlineStr">
        <is>
          <t>龚政涛</t>
        </is>
      </c>
      <c r="L420" s="3">
        <v>45880.60417824074</v>
      </c>
      <c r="M420" s="3">
        <v>45885.333333333336</v>
      </c>
      <c r="N420" s="3"/>
      <c r="O420" s="3">
        <v>45885.333333333336</v>
      </c>
      <c r="P420" s="3">
        <v>45880.604363425926</v>
      </c>
      <c r="Q420" s="2" t="str">
        <f>=HYPERLINK("https://applink.feishu.cn/client/todo/task_list?guid=4d92b9af-66d1-4cd7-95d1-4b753a64ca6b", "跃入迷城")</f>
        <v>跃入迷城</v>
      </c>
      <c r="R420" t="inlineStr">
        <is>
          <t>4d92b9af-66d1-4cd7-95d1-4b753a64ca6b</t>
        </is>
      </c>
      <c r="S420" t="inlineStr">
        <is>
          <t>76cefce4-ea34-4db9-84c5-f9135f46b860</t>
        </is>
      </c>
      <c r="T420">
        <v>0</v>
      </c>
      <c r="U420">
        <v>0</v>
      </c>
      <c r="V420"/>
      <c r="W420"/>
      <c r="X420" t="inlineStr">
        <is>
          <t>🎨艺术</t>
        </is>
      </c>
      <c r="Y420"/>
      <c r="Z420"/>
      <c r="AA420"/>
      <c r="AB420"/>
      <c r="AC420" t="inlineStr">
        <is>
          <t>f13757d5-44f3-4120-ace3-8e2d59451c18</t>
        </is>
      </c>
      <c r="AD420" t="inlineStr">
        <is>
          <t>NzUzMjAzNDQ5ODk2NDY2ODQ0NDo3NmNlZmNlNC1lYTM0LTRkYjktODRjNS1mOTEzNWY0NmI4NjA6ZDFmNmI2YmE1ZmQyNzk5OGE1ZTA0MDExZWFkYWUxNjA6MQ==</t>
        </is>
      </c>
      <c r="AE420"/>
    </row>
    <row r="421" ht="25.5" customHeight="1">
      <c r="A421" s="2" t="str">
        <f>=HYPERLINK("https://applink.feishu.cn/client/todo/detail?guid=ed1ab17e-3350-4a77-885c-31ecf570ba38&amp;suite_entity_num=t101033", "统一画风")</f>
        <v>统一画风</v>
      </c>
      <c r="B421"/>
      <c r="C421" t="inlineStr">
        <is>
          <t>默认分组</t>
        </is>
      </c>
      <c r="D421" t="inlineStr">
        <is>
          <t>1</t>
        </is>
      </c>
      <c r="E421" t="inlineStr">
        <is>
          <t>或签任务</t>
        </is>
      </c>
      <c r="F421"/>
      <c r="G421" t="inlineStr">
        <is>
          <t>0</t>
        </is>
      </c>
      <c r="H421"/>
      <c r="I421" t="inlineStr">
        <is>
          <t>Ke Huang,瞿敬雄</t>
        </is>
      </c>
      <c r="J421" t="inlineStr">
        <is>
          <t>龚政涛,瞿敬雄</t>
        </is>
      </c>
      <c r="K421" t="inlineStr">
        <is>
          <t>龚政涛</t>
        </is>
      </c>
      <c r="L421" s="3">
        <v>45882.49113425926</v>
      </c>
      <c r="M421" s="3">
        <v>45887.333333333336</v>
      </c>
      <c r="N421" s="3">
        <v>45894.88099537037</v>
      </c>
      <c r="O421" s="3">
        <v>45893.333333333336</v>
      </c>
      <c r="P421" s="3">
        <v>45894.8809837963</v>
      </c>
      <c r="Q421" s="2" t="str">
        <f>=HYPERLINK("https://applink.feishu.cn/client/todo/task_list?guid=4d92b9af-66d1-4cd7-95d1-4b753a64ca6b", "跃入迷城")</f>
        <v>跃入迷城</v>
      </c>
      <c r="R421" t="inlineStr">
        <is>
          <t>4d92b9af-66d1-4cd7-95d1-4b753a64ca6b</t>
        </is>
      </c>
      <c r="S421" t="inlineStr">
        <is>
          <t>ed1ab17e-3350-4a77-885c-31ecf570ba38</t>
        </is>
      </c>
      <c r="T421">
        <v>0</v>
      </c>
      <c r="U421">
        <v>0</v>
      </c>
      <c r="V421" t="inlineStr">
        <is>
          <t>0.0.5</t>
        </is>
      </c>
      <c r="W421" t="inlineStr">
        <is>
          <t>工作中</t>
        </is>
      </c>
      <c r="X421" t="inlineStr">
        <is>
          <t>🎨艺术</t>
        </is>
      </c>
      <c r="Y421" t="inlineStr">
        <is>
          <t>平面美术</t>
        </is>
      </c>
      <c r="Z421"/>
      <c r="AA421"/>
      <c r="AB421"/>
      <c r="AC421"/>
      <c r="AD421" t="inlineStr">
        <is>
          <t>NzUzMjAzNDQ5ODk2NDY2ODQ0NDplZDFhYjE3ZS0zMzUwLTRhNzctODg1Yy0zMWVjZjU3MGJhMzg6ZmRiOGVjMzgzNGJlNjk0YjRlMTQ2ZGIwNmE3MzBiZTI6MQ==</t>
        </is>
      </c>
      <c r="AE421"/>
    </row>
    <row r="422" ht="25.5" customHeight="1">
      <c r="A422" s="2" t="str">
        <f>=HYPERLINK("https://applink.feishu.cn/client/todo/detail?guid=b67baa8f-02f2-4a91-8a57-42f4efd4d5e5&amp;suite_entity_num=t101025", "左下角数值 &lt; 🪡修改：彻底更新了场景内、HUD的UI效果")</f>
        <v>左下角数值 &lt; 🪡修改：彻底更新了场景内、HUD的UI效果</v>
      </c>
      <c r="B422"/>
      <c r="C422" t="inlineStr">
        <is>
          <t>默认分组</t>
        </is>
      </c>
      <c r="D422" t="inlineStr">
        <is>
          <t>1</t>
        </is>
      </c>
      <c r="E422" t="inlineStr">
        <is>
          <t>或签任务</t>
        </is>
      </c>
      <c r="F422"/>
      <c r="G422" t="inlineStr">
        <is>
          <t>0</t>
        </is>
      </c>
      <c r="H422"/>
      <c r="I422" t="inlineStr">
        <is>
          <t>郭斯已</t>
        </is>
      </c>
      <c r="J422" t="inlineStr">
        <is>
          <t>郭斯已,龚政涛</t>
        </is>
      </c>
      <c r="K422" t="inlineStr">
        <is>
          <t>龚政涛</t>
        </is>
      </c>
      <c r="L422" s="3">
        <v>45882.471030092594</v>
      </c>
      <c r="M422" s="3">
        <v>45881.333333333336</v>
      </c>
      <c r="N422" s="3">
        <v>45890.49034722222</v>
      </c>
      <c r="O422" s="3">
        <v>45883.333333333336</v>
      </c>
      <c r="P422" s="3">
        <v>45890.49140046296</v>
      </c>
      <c r="Q422" s="2" t="str">
        <f>=HYPERLINK("https://applink.feishu.cn/client/todo/task_list?guid=4d92b9af-66d1-4cd7-95d1-4b753a64ca6b", "跃入迷城")</f>
        <v>跃入迷城</v>
      </c>
      <c r="R422" t="inlineStr">
        <is>
          <t>4d92b9af-66d1-4cd7-95d1-4b753a64ca6b</t>
        </is>
      </c>
      <c r="S422" t="inlineStr">
        <is>
          <t>b67baa8f-02f2-4a91-8a57-42f4efd4d5e5</t>
        </is>
      </c>
      <c r="T422">
        <v>0</v>
      </c>
      <c r="U422">
        <v>0</v>
      </c>
      <c r="V422" t="inlineStr">
        <is>
          <t>0.0.5</t>
        </is>
      </c>
      <c r="W422" t="inlineStr">
        <is>
          <t>已完成</t>
        </is>
      </c>
      <c r="X422" t="inlineStr">
        <is>
          <t>🎨艺术</t>
        </is>
      </c>
      <c r="Y422" t="inlineStr">
        <is>
          <t>UIUX</t>
        </is>
      </c>
      <c r="Z422"/>
      <c r="AA422"/>
      <c r="AB422"/>
      <c r="AC422" t="inlineStr">
        <is>
          <t>ee9e782f-8625-473f-ba1b-d97ed6c6e2f9</t>
        </is>
      </c>
      <c r="AD422" t="inlineStr">
        <is>
          <t>NzUzMjAzNDQ5ODk2NDY2ODQ0NDpiNjdiYWE4Zi0wMmYyLTRhOTEtOGE1Ny00MmY0ZWZkNGQ1ZTU6ODZkM2NlZjZmZDk2ZDFlYTA4ODJkYjY4ODI4NDJhMmY6MQ==</t>
        </is>
      </c>
      <c r="AE422">
        <v>32</v>
      </c>
    </row>
    <row r="423" ht="25.5" customHeight="1">
      <c r="A423" s="2" t="str">
        <f>=HYPERLINK("https://applink.feishu.cn/client/todo/detail?guid=9a1a4079-95df-4457-ba34-d8a1d0391a15&amp;suite_entity_num=t101026", "右下角武器卡牌 &lt; 🪡修改：彻底更新了场景内、HUD的UI效果")</f>
        <v>右下角武器卡牌 &lt; 🪡修改：彻底更新了场景内、HUD的UI效果</v>
      </c>
      <c r="B423"/>
      <c r="C423" t="inlineStr">
        <is>
          <t>默认分组</t>
        </is>
      </c>
      <c r="D423" t="inlineStr">
        <is>
          <t>1</t>
        </is>
      </c>
      <c r="E423" t="inlineStr">
        <is>
          <t>或签任务</t>
        </is>
      </c>
      <c r="F423"/>
      <c r="G423" t="inlineStr">
        <is>
          <t>0</t>
        </is>
      </c>
      <c r="H423"/>
      <c r="I423" t="inlineStr">
        <is>
          <t>郭斯已</t>
        </is>
      </c>
      <c r="J423" t="inlineStr">
        <is>
          <t>龚政涛,郭斯已</t>
        </is>
      </c>
      <c r="K423" t="inlineStr">
        <is>
          <t>龚政涛</t>
        </is>
      </c>
      <c r="L423" s="3">
        <v>45882.47126157407</v>
      </c>
      <c r="M423" s="3">
        <v>45881.333333333336</v>
      </c>
      <c r="N423" s="3">
        <v>45890.49034722222</v>
      </c>
      <c r="O423" s="3">
        <v>45883.333333333336</v>
      </c>
      <c r="P423" s="3">
        <v>45890.49136574074</v>
      </c>
      <c r="Q423" s="2" t="str">
        <f>=HYPERLINK("https://applink.feishu.cn/client/todo/task_list?guid=4d92b9af-66d1-4cd7-95d1-4b753a64ca6b", "跃入迷城")</f>
        <v>跃入迷城</v>
      </c>
      <c r="R423" t="inlineStr">
        <is>
          <t>4d92b9af-66d1-4cd7-95d1-4b753a64ca6b</t>
        </is>
      </c>
      <c r="S423" t="inlineStr">
        <is>
          <t>9a1a4079-95df-4457-ba34-d8a1d0391a15</t>
        </is>
      </c>
      <c r="T423">
        <v>0</v>
      </c>
      <c r="U423">
        <v>0</v>
      </c>
      <c r="V423" t="inlineStr">
        <is>
          <t>0.0.5</t>
        </is>
      </c>
      <c r="W423" t="inlineStr">
        <is>
          <t>已完成</t>
        </is>
      </c>
      <c r="X423" t="inlineStr">
        <is>
          <t>🎨艺术</t>
        </is>
      </c>
      <c r="Y423" t="inlineStr">
        <is>
          <t>UIUX</t>
        </is>
      </c>
      <c r="Z423"/>
      <c r="AA423"/>
      <c r="AB423"/>
      <c r="AC423" t="inlineStr">
        <is>
          <t>ee9e782f-8625-473f-ba1b-d97ed6c6e2f9</t>
        </is>
      </c>
      <c r="AD423" t="inlineStr">
        <is>
          <t>NzUzMjAzNDQ5ODk2NDY2ODQ0NDo5YTFhNDA3OS05NWRmLTQ0NTctYmEzNC1kOGExZDAzOTFhMTU6MTNhMjAyODA2ODJmNjFiOGY5MmNkNTdkNzhlNjJlOGM6MQ==</t>
        </is>
      </c>
      <c r="AE423">
        <v>32</v>
      </c>
    </row>
    <row r="424" ht="25.5" customHeight="1">
      <c r="A424" s="2" t="str">
        <f>=HYPERLINK("https://applink.feishu.cn/client/todo/detail?guid=5d411dff-f393-4ed8-90e0-dd8a8cf88f68&amp;suite_entity_num=t101027", "右上角资源卡牌 &lt; 🪡修改：彻底更新了场景内、HUD的UI效果")</f>
        <v>右上角资源卡牌 &lt; 🪡修改：彻底更新了场景内、HUD的UI效果</v>
      </c>
      <c r="B424"/>
      <c r="C424" t="inlineStr">
        <is>
          <t>默认分组</t>
        </is>
      </c>
      <c r="D424" t="inlineStr">
        <is>
          <t>1</t>
        </is>
      </c>
      <c r="E424" t="inlineStr">
        <is>
          <t>或签任务</t>
        </is>
      </c>
      <c r="F424"/>
      <c r="G424" t="inlineStr">
        <is>
          <t>0</t>
        </is>
      </c>
      <c r="H424"/>
      <c r="I424" t="inlineStr">
        <is>
          <t>郭斯已</t>
        </is>
      </c>
      <c r="J424" t="inlineStr">
        <is>
          <t>龚政涛,郭斯已</t>
        </is>
      </c>
      <c r="K424" t="inlineStr">
        <is>
          <t>龚政涛</t>
        </is>
      </c>
      <c r="L424" s="3">
        <v>45882.47133101852</v>
      </c>
      <c r="M424" s="3">
        <v>45887.333333333336</v>
      </c>
      <c r="N424" s="3">
        <v>45890.490335648145</v>
      </c>
      <c r="O424" s="3">
        <v>45888.333333333336</v>
      </c>
      <c r="P424" s="3">
        <v>45890.49134259259</v>
      </c>
      <c r="Q424" s="2" t="str">
        <f>=HYPERLINK("https://applink.feishu.cn/client/todo/task_list?guid=4d92b9af-66d1-4cd7-95d1-4b753a64ca6b", "跃入迷城")</f>
        <v>跃入迷城</v>
      </c>
      <c r="R424" t="inlineStr">
        <is>
          <t>4d92b9af-66d1-4cd7-95d1-4b753a64ca6b</t>
        </is>
      </c>
      <c r="S424" t="inlineStr">
        <is>
          <t>5d411dff-f393-4ed8-90e0-dd8a8cf88f68</t>
        </is>
      </c>
      <c r="T424">
        <v>0</v>
      </c>
      <c r="U424">
        <v>0</v>
      </c>
      <c r="V424" t="inlineStr">
        <is>
          <t>0.0.5</t>
        </is>
      </c>
      <c r="W424" t="inlineStr">
        <is>
          <t>已完成</t>
        </is>
      </c>
      <c r="X424" t="inlineStr">
        <is>
          <t>🎨艺术</t>
        </is>
      </c>
      <c r="Y424" t="inlineStr">
        <is>
          <t>UIUX</t>
        </is>
      </c>
      <c r="Z424"/>
      <c r="AA424"/>
      <c r="AB424"/>
      <c r="AC424" t="inlineStr">
        <is>
          <t>ee9e782f-8625-473f-ba1b-d97ed6c6e2f9</t>
        </is>
      </c>
      <c r="AD424" t="inlineStr">
        <is>
          <t>NzUzMjAzNDQ5ODk2NDY2ODQ0NDo1ZDQxMWRmZi1mMzkzLTRlZDgtOTBlMC1kZDhhOGNmODhmNjg6MTJmMTdlNDdiZTc2ZmE1ZTJlOTIxMmYwODM1MmMwZDg6MQ==</t>
        </is>
      </c>
      <c r="AE424">
        <v>8</v>
      </c>
    </row>
    <row r="425" ht="25.5" customHeight="1">
      <c r="A425" s="2" t="str">
        <f>=HYPERLINK("https://applink.feishu.cn/client/todo/detail?guid=cb32b15b-387f-4c8e-ab27-7530dabb4171&amp;suite_entity_num=t101028", "左上角关卡卡牌 &lt; 🪡修改：彻底更新了场景内、HUD的UI效果")</f>
        <v>左上角关卡卡牌 &lt; 🪡修改：彻底更新了场景内、HUD的UI效果</v>
      </c>
      <c r="B425"/>
      <c r="C425" t="inlineStr">
        <is>
          <t>默认分组</t>
        </is>
      </c>
      <c r="D425" t="inlineStr">
        <is>
          <t>1</t>
        </is>
      </c>
      <c r="E425" t="inlineStr">
        <is>
          <t>或签任务</t>
        </is>
      </c>
      <c r="F425"/>
      <c r="G425" t="inlineStr">
        <is>
          <t>0</t>
        </is>
      </c>
      <c r="H425"/>
      <c r="I425" t="inlineStr">
        <is>
          <t>郭斯已</t>
        </is>
      </c>
      <c r="J425" t="inlineStr">
        <is>
          <t>龚政涛,郭斯已</t>
        </is>
      </c>
      <c r="K425" t="inlineStr">
        <is>
          <t>龚政涛</t>
        </is>
      </c>
      <c r="L425" s="3">
        <v>45882.47144675926</v>
      </c>
      <c r="M425" s="3">
        <v>45887.333333333336</v>
      </c>
      <c r="N425" s="3">
        <v>45890.490335648145</v>
      </c>
      <c r="O425" s="3">
        <v>45888.333333333336</v>
      </c>
      <c r="P425" s="3">
        <v>45890.491319444445</v>
      </c>
      <c r="Q425" s="2" t="str">
        <f>=HYPERLINK("https://applink.feishu.cn/client/todo/task_list?guid=4d92b9af-66d1-4cd7-95d1-4b753a64ca6b", "跃入迷城")</f>
        <v>跃入迷城</v>
      </c>
      <c r="R425" t="inlineStr">
        <is>
          <t>4d92b9af-66d1-4cd7-95d1-4b753a64ca6b</t>
        </is>
      </c>
      <c r="S425" t="inlineStr">
        <is>
          <t>cb32b15b-387f-4c8e-ab27-7530dabb4171</t>
        </is>
      </c>
      <c r="T425">
        <v>0</v>
      </c>
      <c r="U425">
        <v>0</v>
      </c>
      <c r="V425" t="inlineStr">
        <is>
          <t>0.0.5</t>
        </is>
      </c>
      <c r="W425" t="inlineStr">
        <is>
          <t>已完成</t>
        </is>
      </c>
      <c r="X425" t="inlineStr">
        <is>
          <t>🎨艺术</t>
        </is>
      </c>
      <c r="Y425" t="inlineStr">
        <is>
          <t>UIUX</t>
        </is>
      </c>
      <c r="Z425"/>
      <c r="AA425"/>
      <c r="AB425"/>
      <c r="AC425" t="inlineStr">
        <is>
          <t>ee9e782f-8625-473f-ba1b-d97ed6c6e2f9</t>
        </is>
      </c>
      <c r="AD425" t="inlineStr">
        <is>
          <t>NzUzMjAzNDQ5ODk2NDY2ODQ0NDpjYjMyYjE1Yi0zODdmLTRjOGUtYWIyNy03NTMwZGFiYjQxNzE6MWM0NDgyNWY4NjMzNjM3NWIyNTIzY2U1ZDJjMDUzMGU6MQ==</t>
        </is>
      </c>
      <c r="AE425">
        <v>8</v>
      </c>
    </row>
    <row r="426" ht="25.5" customHeight="1">
      <c r="A426" s="2" t="str">
        <f>=HYPERLINK("https://applink.feishu.cn/client/todo/detail?guid=2b848403-b47e-4bea-bd39-4b32b37fd15d&amp;suite_entity_num=t101029", "交互提示 &lt; 🪡修改：彻底更新了场景内、HUD的UI效果")</f>
        <v>交互提示 &lt; 🪡修改：彻底更新了场景内、HUD的UI效果</v>
      </c>
      <c r="B426"/>
      <c r="C426" t="inlineStr">
        <is>
          <t>默认分组</t>
        </is>
      </c>
      <c r="D426" t="inlineStr">
        <is>
          <t>1</t>
        </is>
      </c>
      <c r="E426" t="inlineStr">
        <is>
          <t>或签任务</t>
        </is>
      </c>
      <c r="F426"/>
      <c r="G426" t="inlineStr">
        <is>
          <t>0</t>
        </is>
      </c>
      <c r="H426"/>
      <c r="I426" t="inlineStr">
        <is>
          <t>郭斯已</t>
        </is>
      </c>
      <c r="J426" t="inlineStr">
        <is>
          <t>龚政涛,郭斯已</t>
        </is>
      </c>
      <c r="K426" t="inlineStr">
        <is>
          <t>龚政涛</t>
        </is>
      </c>
      <c r="L426" s="3">
        <v>45882.47152777778</v>
      </c>
      <c r="M426" s="3">
        <v>45889.333333333336</v>
      </c>
      <c r="N426" s="3">
        <v>45895.48658564815</v>
      </c>
      <c r="O426" s="3">
        <v>45890.333333333336</v>
      </c>
      <c r="P426" s="3">
        <v>45895.486597222225</v>
      </c>
      <c r="Q426" s="2" t="str">
        <f>=HYPERLINK("https://applink.feishu.cn/client/todo/task_list?guid=4d92b9af-66d1-4cd7-95d1-4b753a64ca6b", "跃入迷城")</f>
        <v>跃入迷城</v>
      </c>
      <c r="R426" t="inlineStr">
        <is>
          <t>4d92b9af-66d1-4cd7-95d1-4b753a64ca6b</t>
        </is>
      </c>
      <c r="S426" t="inlineStr">
        <is>
          <t>2b848403-b47e-4bea-bd39-4b32b37fd15d</t>
        </is>
      </c>
      <c r="T426">
        <v>0</v>
      </c>
      <c r="U426">
        <v>0</v>
      </c>
      <c r="V426" t="inlineStr">
        <is>
          <t>0.0.5</t>
        </is>
      </c>
      <c r="W426" t="inlineStr">
        <is>
          <t>已完成</t>
        </is>
      </c>
      <c r="X426" t="inlineStr">
        <is>
          <t>🎨艺术</t>
        </is>
      </c>
      <c r="Y426" t="inlineStr">
        <is>
          <t>UIUX</t>
        </is>
      </c>
      <c r="Z426"/>
      <c r="AA426"/>
      <c r="AB426"/>
      <c r="AC426" t="inlineStr">
        <is>
          <t>ee9e782f-8625-473f-ba1b-d97ed6c6e2f9</t>
        </is>
      </c>
      <c r="AD426" t="inlineStr">
        <is>
          <t>NzUzMjAzNDQ5ODk2NDY2ODQ0NDoyYjg0ODQwMy1iNDdlLTRiZWEtYmQzOS00YjMyYjM3ZmQxNWQ6ZWFkYjM2MTM5N2Y5ZTJiNWJkYmUwMTEzY2Y0M2MyZDA6MQ==</t>
        </is>
      </c>
      <c r="AE426">
        <v>8</v>
      </c>
    </row>
    <row r="427" ht="25.5" customHeight="1">
      <c r="A427" s="2" t="str">
        <f>=HYPERLINK("https://applink.feishu.cn/client/todo/detail?guid=f6543b95-45c4-40d8-afea-214843981db6&amp;suite_entity_num=t101030", "https://dikpa4hrtn9.feishu.cn/wiki/ElfRwFggKiRu6sk62RZcxcgtn8m插图 &lt; 角色插图制作")</f>
        <v>https://dikpa4hrtn9.feishu.cn/wiki/ElfRwFggKiRu6sk62RZcxcgtn8m插图 &lt; 角色插图制作</v>
      </c>
      <c r="B427"/>
      <c r="C427"/>
      <c r="D427" t="inlineStr">
        <is>
          <t>1</t>
        </is>
      </c>
      <c r="E427" t="inlineStr">
        <is>
          <t>或签任务</t>
        </is>
      </c>
      <c r="F427"/>
      <c r="G427" t="inlineStr">
        <is>
          <t>0</t>
        </is>
      </c>
      <c r="H427"/>
      <c r="I427" t="inlineStr">
        <is>
          <t>Ke Huang</t>
        </is>
      </c>
      <c r="J427" t="inlineStr">
        <is>
          <t>Ke Huang,龚政涛</t>
        </is>
      </c>
      <c r="K427" t="inlineStr">
        <is>
          <t>龚政涛</t>
        </is>
      </c>
      <c r="L427" s="3">
        <v>45882.47305555556</v>
      </c>
      <c r="M427" s="3"/>
      <c r="N427" s="3">
        <v>45882.48710648148</v>
      </c>
      <c r="O427" s="3"/>
      <c r="P427" s="3">
        <v>45882.48710648148</v>
      </c>
      <c r="Q427" s="2" t="str">
        <f>=HYPERLINK("https://applink.feishu.cn/client/todo/task_list?guid=4d92b9af-66d1-4cd7-95d1-4b753a64ca6b", "跃入迷城")</f>
        <v>跃入迷城</v>
      </c>
      <c r="R427" t="inlineStr">
        <is>
          <t>4d92b9af-66d1-4cd7-95d1-4b753a64ca6b</t>
        </is>
      </c>
      <c r="S427" t="inlineStr">
        <is>
          <t>f6543b95-45c4-40d8-afea-214843981db6</t>
        </is>
      </c>
      <c r="T427">
        <v>0</v>
      </c>
      <c r="U427">
        <v>0</v>
      </c>
      <c r="V427"/>
      <c r="W427"/>
      <c r="X427" t="inlineStr">
        <is>
          <t>🎨艺术</t>
        </is>
      </c>
      <c r="Y427" t="inlineStr">
        <is>
          <t>平面美术</t>
        </is>
      </c>
      <c r="Z427"/>
      <c r="AA427"/>
      <c r="AB427"/>
      <c r="AC427" t="inlineStr">
        <is>
          <t>cffa4f2c-fb50-49e2-aad9-4a85adbe2690</t>
        </is>
      </c>
      <c r="AD427" t="inlineStr">
        <is>
          <t>NzUzMjAzNDQ5ODk2NDY2ODQ0NDpmNjU0M2I5NS00NWM0LTQwZDgtYWZlYS0yMTQ4NDM5ODFkYjY6M2FlYmYyYzdjMzkwOTE2YzljMjAyYmEyZjE0MzZkNDE6MQ==</t>
        </is>
      </c>
      <c r="AE427"/>
    </row>
    <row r="428" ht="25.5" customHeight="1">
      <c r="A428" s="2" t="str">
        <f>=HYPERLINK("https://applink.feishu.cn/client/todo/detail?guid=4efc85f8-6ceb-45cd-8e7e-3927488011ac&amp;suite_entity_num=t101031", "https://dikpa4hrtn9.feishu.cn/wiki/TVHDwqiUziiOeYkaluvcE9rdnJf插图 &lt; 角色插图制作")</f>
        <v>https://dikpa4hrtn9.feishu.cn/wiki/TVHDwqiUziiOeYkaluvcE9rdnJf插图 &lt; 角色插图制作</v>
      </c>
      <c r="B428"/>
      <c r="C428"/>
      <c r="D428" t="inlineStr">
        <is>
          <t>1</t>
        </is>
      </c>
      <c r="E428" t="inlineStr">
        <is>
          <t>或签任务</t>
        </is>
      </c>
      <c r="F428"/>
      <c r="G428" t="inlineStr">
        <is>
          <t>0</t>
        </is>
      </c>
      <c r="H428"/>
      <c r="I428" t="inlineStr">
        <is>
          <t>Ke Huang</t>
        </is>
      </c>
      <c r="J428" t="inlineStr">
        <is>
          <t>龚政涛,Ke Huang</t>
        </is>
      </c>
      <c r="K428" t="inlineStr">
        <is>
          <t>龚政涛</t>
        </is>
      </c>
      <c r="L428" s="3">
        <v>45882.47871527778</v>
      </c>
      <c r="M428" s="3"/>
      <c r="N428" s="3">
        <v>45882.48704861111</v>
      </c>
      <c r="O428" s="3"/>
      <c r="P428" s="3">
        <v>45895.47424768518</v>
      </c>
      <c r="Q428" s="2" t="str">
        <f>=HYPERLINK("https://applink.feishu.cn/client/todo/task_list?guid=4d92b9af-66d1-4cd7-95d1-4b753a64ca6b", "跃入迷城")</f>
        <v>跃入迷城</v>
      </c>
      <c r="R428" t="inlineStr">
        <is>
          <t>4d92b9af-66d1-4cd7-95d1-4b753a64ca6b</t>
        </is>
      </c>
      <c r="S428" t="inlineStr">
        <is>
          <t>4efc85f8-6ceb-45cd-8e7e-3927488011ac</t>
        </is>
      </c>
      <c r="T428">
        <v>0</v>
      </c>
      <c r="U428">
        <v>0</v>
      </c>
      <c r="V428"/>
      <c r="W428"/>
      <c r="X428" t="inlineStr">
        <is>
          <t>🎨艺术</t>
        </is>
      </c>
      <c r="Y428"/>
      <c r="Z428"/>
      <c r="AA428"/>
      <c r="AB428"/>
      <c r="AC428" t="inlineStr">
        <is>
          <t>cffa4f2c-fb50-49e2-aad9-4a85adbe2690</t>
        </is>
      </c>
      <c r="AD428" t="inlineStr">
        <is>
          <t>NzUzMjAzNDQ5ODk2NDY2ODQ0NDo0ZWZjODVmOC02Y2ViLTQ1Y2QtOGU3ZS0zOTI3NDg4MDExYWM6YzBiMDE0NWMwZWE1MTMxZTA5ZWQ4MjViMDM4YjU1YTA6MQ==</t>
        </is>
      </c>
      <c r="AE428"/>
    </row>
    <row r="429" ht="25.5" customHeight="1">
      <c xml:space="preserve" r="A429" s="2" t="str">
        <f>=HYPERLINK("https://applink.feishu.cn/client/todo/detail?guid=601c8e2a-259f-48ef-9a90-be92531e9aa1&amp;suite_entity_num=t101034", "墙面模型 &lt; ✨新增：墙壁、地面、门、窗、电梯制作了定制模型，以更好的呈现正式版本的视觉风格 ")</f>
        <v>墙面模型 &lt; ✨新增：墙壁、地面、门、窗、电梯制作了定制模型，以更好的呈现正式版本的视觉风格 </v>
      </c>
      <c r="B429"/>
      <c r="C429" t="inlineStr">
        <is>
          <t>默认分组</t>
        </is>
      </c>
      <c r="D429" t="inlineStr">
        <is>
          <t>1</t>
        </is>
      </c>
      <c r="E429" t="inlineStr">
        <is>
          <t>或签任务</t>
        </is>
      </c>
      <c r="F429"/>
      <c r="G429" t="inlineStr">
        <is>
          <t>0</t>
        </is>
      </c>
      <c r="H429">
        <v>1</v>
      </c>
      <c r="I429" t="inlineStr">
        <is>
          <t>陈吉瑞</t>
        </is>
      </c>
      <c r="J429" t="inlineStr">
        <is>
          <t>陈吉瑞,龚政涛</t>
        </is>
      </c>
      <c r="K429" t="inlineStr">
        <is>
          <t>龚政涛</t>
        </is>
      </c>
      <c r="L429" s="3">
        <v>45882.497094907405</v>
      </c>
      <c r="M429" s="3"/>
      <c r="N429" s="3">
        <v>45950.4152662037</v>
      </c>
      <c r="O429" s="3"/>
      <c r="P429" s="3">
        <v>45950.41527777778</v>
      </c>
      <c r="Q429" s="2" t="str">
        <f>=HYPERLINK("https://applink.feishu.cn/client/todo/task_list?guid=4d92b9af-66d1-4cd7-95d1-4b753a64ca6b", "跃入迷城")</f>
        <v>跃入迷城</v>
      </c>
      <c r="R429" t="inlineStr">
        <is>
          <t>4d92b9af-66d1-4cd7-95d1-4b753a64ca6b</t>
        </is>
      </c>
      <c r="S429" t="inlineStr">
        <is>
          <t>601c8e2a-259f-48ef-9a90-be92531e9aa1</t>
        </is>
      </c>
      <c r="T429">
        <v>2</v>
      </c>
      <c r="U429">
        <v>0</v>
      </c>
      <c r="V429" t="inlineStr">
        <is>
          <t>0.0.5</t>
        </is>
      </c>
      <c r="W429" t="inlineStr">
        <is>
          <t>已拆分</t>
        </is>
      </c>
      <c r="X429" t="inlineStr">
        <is>
          <t>🎨艺术</t>
        </is>
      </c>
      <c r="Y429" t="inlineStr">
        <is>
          <t>模型</t>
        </is>
      </c>
      <c r="Z429"/>
      <c r="AA429"/>
      <c r="AB429"/>
      <c r="AC429" t="inlineStr">
        <is>
          <t>b5b3cf09-e2af-4f6b-885e-c3afc23421c1</t>
        </is>
      </c>
      <c r="AD429" t="inlineStr">
        <is>
          <t>NzUzMjAzNDQ5ODk2NDY2ODQ0NDo2MDFjOGUyYS0yNTlmLTQ4ZWYtOWE5MC1iZTkyNTMxZTlhYTE6NjMyMWNjMmFiMWY3YjU2ZDkyM2E4Yzg4MzU4MDVjMmQ6MQ==</t>
        </is>
      </c>
      <c r="AE429"/>
    </row>
    <row r="430" ht="25.5" customHeight="1">
      <c xml:space="preserve" r="A430" s="2" t="str">
        <f>=HYPERLINK("https://applink.feishu.cn/client/todo/detail?guid=70ba16f2-4136-4dbe-b044-6918afe6bf89&amp;suite_entity_num=t101035", "地面模型 &lt; ✨新增：墙壁、地面、门、窗、电梯制作了定制模型，以更好的呈现正式版本的视觉风格 ")</f>
        <v>地面模型 &lt; ✨新增：墙壁、地面、门、窗、电梯制作了定制模型，以更好的呈现正式版本的视觉风格 </v>
      </c>
      <c r="B430"/>
      <c r="C430"/>
      <c r="D430" t="inlineStr">
        <is>
          <t>0</t>
        </is>
      </c>
      <c r="E430" t="inlineStr">
        <is>
          <t>或签任务</t>
        </is>
      </c>
      <c r="F430"/>
      <c r="G430" t="inlineStr">
        <is>
          <t>0</t>
        </is>
      </c>
      <c r="H430">
        <v>1</v>
      </c>
      <c r="I430" t="inlineStr">
        <is>
          <t>陈吉瑞</t>
        </is>
      </c>
      <c r="J430" t="inlineStr">
        <is>
          <t>龚政涛,陈吉瑞</t>
        </is>
      </c>
      <c r="K430" t="inlineStr">
        <is>
          <t>龚政涛</t>
        </is>
      </c>
      <c r="L430" s="3">
        <v>45882.497141203705</v>
      </c>
      <c r="M430" s="3"/>
      <c r="N430" s="3"/>
      <c r="O430" s="3"/>
      <c r="P430" s="3">
        <v>45895.48835648148</v>
      </c>
      <c r="Q430" s="2" t="str">
        <f>=HYPERLINK("https://applink.feishu.cn/client/todo/task_list?guid=4d92b9af-66d1-4cd7-95d1-4b753a64ca6b", "跃入迷城")</f>
        <v>跃入迷城</v>
      </c>
      <c r="R430" t="inlineStr">
        <is>
          <t>4d92b9af-66d1-4cd7-95d1-4b753a64ca6b</t>
        </is>
      </c>
      <c r="S430" t="inlineStr">
        <is>
          <t>70ba16f2-4136-4dbe-b044-6918afe6bf89</t>
        </is>
      </c>
      <c r="T430">
        <v>2</v>
      </c>
      <c r="U430">
        <v>0</v>
      </c>
      <c r="V430" t="inlineStr">
        <is>
          <t>0.0.5</t>
        </is>
      </c>
      <c r="W430" t="inlineStr">
        <is>
          <t>已拆分</t>
        </is>
      </c>
      <c r="X430" t="inlineStr">
        <is>
          <t>🎨艺术</t>
        </is>
      </c>
      <c r="Y430" t="inlineStr">
        <is>
          <t>模型</t>
        </is>
      </c>
      <c r="Z430"/>
      <c r="AA430"/>
      <c r="AB430"/>
      <c r="AC430" t="inlineStr">
        <is>
          <t>b5b3cf09-e2af-4f6b-885e-c3afc23421c1</t>
        </is>
      </c>
      <c r="AD430" t="inlineStr">
        <is>
          <t>NzUzMjAzNDQ5ODk2NDY2ODQ0NDo3MGJhMTZmMi00MTM2LTRkYmUtYjA0NC02OTE4YWZlNmJmODk6NWY3M2FlOWUxYjQ2YTA3OGMwMDAwMTQzYzY0NDRmMjE6MQ==</t>
        </is>
      </c>
      <c r="AE430"/>
    </row>
    <row r="431" ht="25.5" customHeight="1">
      <c r="A431" s="2" t="str">
        <f>=HYPERLINK("https://applink.feishu.cn/client/todo/detail?guid=e7ee6b1b-8672-41c4-a4cf-b3a7b9d55572&amp;suite_entity_num=t101047", "更新带有骨骼绑定权重的模型 &lt; 瑞文角色模型")</f>
        <v>更新带有骨骼绑定权重的模型 &lt; 瑞文角色模型</v>
      </c>
      <c r="B431"/>
      <c r="C431" t="inlineStr">
        <is>
          <t>默认分组</t>
        </is>
      </c>
      <c r="D431" t="inlineStr">
        <is>
          <t>1</t>
        </is>
      </c>
      <c r="E431" t="inlineStr">
        <is>
          <t>或签任务</t>
        </is>
      </c>
      <c r="F431"/>
      <c r="G431" t="inlineStr">
        <is>
          <t>0</t>
        </is>
      </c>
      <c r="H431"/>
      <c r="I431" t="inlineStr">
        <is>
          <t>陈吉瑞</t>
        </is>
      </c>
      <c r="J431" t="inlineStr">
        <is>
          <t>龚政涛,陈吉瑞</t>
        </is>
      </c>
      <c r="K431" t="inlineStr">
        <is>
          <t>龚政涛</t>
        </is>
      </c>
      <c r="L431" s="3">
        <v>45890.479849537034</v>
      </c>
      <c r="M431" s="3">
        <v>45890.333333333336</v>
      </c>
      <c r="N431" s="3">
        <v>45895.482152777775</v>
      </c>
      <c r="O431" s="3">
        <v>45890.333333333336</v>
      </c>
      <c r="P431" s="3">
        <v>45895.48216435185</v>
      </c>
      <c r="Q431" s="2" t="str">
        <f>=HYPERLINK("https://applink.feishu.cn/client/todo/task_list?guid=4d92b9af-66d1-4cd7-95d1-4b753a64ca6b", "跃入迷城")</f>
        <v>跃入迷城</v>
      </c>
      <c r="R431" t="inlineStr">
        <is>
          <t>4d92b9af-66d1-4cd7-95d1-4b753a64ca6b</t>
        </is>
      </c>
      <c r="S431" t="inlineStr">
        <is>
          <t>e7ee6b1b-8672-41c4-a4cf-b3a7b9d55572</t>
        </is>
      </c>
      <c r="T431">
        <v>0</v>
      </c>
      <c r="U431">
        <v>1</v>
      </c>
      <c r="V431" t="inlineStr">
        <is>
          <t>0.0.5</t>
        </is>
      </c>
      <c r="W431" t="inlineStr">
        <is>
          <t>已完成</t>
        </is>
      </c>
      <c r="X431" t="inlineStr">
        <is>
          <t>🎨艺术</t>
        </is>
      </c>
      <c r="Y431" t="inlineStr">
        <is>
          <t>模型</t>
        </is>
      </c>
      <c r="Z431"/>
      <c r="AA431"/>
      <c r="AB431"/>
      <c r="AC431" t="inlineStr">
        <is>
          <t>18a34941-c8c9-4960-acee-cee063b5c389</t>
        </is>
      </c>
      <c r="AD431" t="inlineStr">
        <is>
          <t>NzUzMjAzNDQ5ODk2NDY2ODQ0NDplN2VlNmIxYi04NjcyLTQxYzQtYTRjZi1iM2E3YjlkNTU1NzI6MWVkZjEyNjZkNDM2YmIwODlhMzg1NGVkYTJmNGI2MTU6MQ==</t>
        </is>
      </c>
      <c r="AE431">
        <v>1</v>
      </c>
    </row>
    <row r="432" ht="25.5" customHeight="1">
      <c r="A432" s="2" t="str">
        <f>=HYPERLINK("https://applink.feishu.cn/client/todo/detail?guid=712e9e2a-e9d4-497c-99bc-f3bc5b2934e0&amp;suite_entity_num=t101048", "重置信使到 step 1 &lt; https://dikpa4hrtn9.feishu.cn/wiki/HqAOwpqMEiXjYjkdDjic89CZnmb插图")</f>
        <v>重置信使到 step 1 &lt; https://dikpa4hrtn9.feishu.cn/wiki/HqAOwpqMEiXjYjkdDjic89CZnmb插图</v>
      </c>
      <c r="B432"/>
      <c r="C432" t="inlineStr">
        <is>
          <t>默认分组</t>
        </is>
      </c>
      <c r="D432" t="inlineStr">
        <is>
          <t>1</t>
        </is>
      </c>
      <c r="E432" t="inlineStr">
        <is>
          <t>或签任务</t>
        </is>
      </c>
      <c r="F432"/>
      <c r="G432" t="inlineStr">
        <is>
          <t>0</t>
        </is>
      </c>
      <c r="H432"/>
      <c r="I432" t="inlineStr">
        <is>
          <t>瞿敬雄</t>
        </is>
      </c>
      <c r="J432" t="inlineStr">
        <is>
          <t>瞿敬雄,龚政涛</t>
        </is>
      </c>
      <c r="K432" t="inlineStr">
        <is>
          <t>龚政涛</t>
        </is>
      </c>
      <c r="L432" s="3">
        <v>45890.48421296296</v>
      </c>
      <c r="M432" s="3">
        <v>45890.333333333336</v>
      </c>
      <c r="N432" s="3">
        <v>45894.88113425926</v>
      </c>
      <c r="O432" s="3">
        <v>45890.333333333336</v>
      </c>
      <c r="P432" s="3">
        <v>45894.88111111111</v>
      </c>
      <c r="Q432" s="2" t="str">
        <f>=HYPERLINK("https://applink.feishu.cn/client/todo/task_list?guid=4d92b9af-66d1-4cd7-95d1-4b753a64ca6b", "跃入迷城")</f>
        <v>跃入迷城</v>
      </c>
      <c r="R432" t="inlineStr">
        <is>
          <t>4d92b9af-66d1-4cd7-95d1-4b753a64ca6b</t>
        </is>
      </c>
      <c r="S432" t="inlineStr">
        <is>
          <t>712e9e2a-e9d4-497c-99bc-f3bc5b2934e0</t>
        </is>
      </c>
      <c r="T432">
        <v>0</v>
      </c>
      <c r="U432">
        <v>0</v>
      </c>
      <c r="V432" t="inlineStr">
        <is>
          <t>0.0.5</t>
        </is>
      </c>
      <c r="W432" t="inlineStr">
        <is>
          <t>工作中</t>
        </is>
      </c>
      <c r="X432" t="inlineStr">
        <is>
          <t>🎨艺术</t>
        </is>
      </c>
      <c r="Y432" t="inlineStr">
        <is>
          <t>平面美术</t>
        </is>
      </c>
      <c r="Z432"/>
      <c r="AA432"/>
      <c r="AB432"/>
      <c r="AC432" t="inlineStr">
        <is>
          <t>e3d69f11-f540-4c21-b086-7537e7292dc4</t>
        </is>
      </c>
      <c r="AD432" t="inlineStr">
        <is>
          <t>NzUzMjAzNDQ5ODk2NDY2ODQ0NDo3MTJlOWUyYS1lOWQ0LTQ5N2MtOTliYy1mM2JjNWIyOTM0ZTA6MGQ5MDNjMDRkNjAwNDUzMmI5ODE4OThhMzAwNDhlZDA6MQ==</t>
        </is>
      </c>
      <c r="AE432">
        <v>4</v>
      </c>
    </row>
    <row r="433" ht="25.5" customHeight="1">
      <c r="A433" s="2" t="str">
        <f>=HYPERLINK("https://applink.feishu.cn/client/todo/detail?guid=8bd6bb89-e789-413f-9836-d00f56f7357c&amp;suite_entity_num=t101049", "更新档案员五官和头发 &lt; https://dikpa4hrtn9.feishu.cn/wiki/Xy5Fw6WuNie7nmk6zM8cLsMZntc插图")</f>
        <v>更新档案员五官和头发 &lt; https://dikpa4hrtn9.feishu.cn/wiki/Xy5Fw6WuNie7nmk6zM8cLsMZntc插图</v>
      </c>
      <c r="B433"/>
      <c r="C433" t="inlineStr">
        <is>
          <t>默认分组</t>
        </is>
      </c>
      <c r="D433" t="inlineStr">
        <is>
          <t>1</t>
        </is>
      </c>
      <c r="E433" t="inlineStr">
        <is>
          <t>或签任务</t>
        </is>
      </c>
      <c r="F433"/>
      <c r="G433" t="inlineStr">
        <is>
          <t>0</t>
        </is>
      </c>
      <c r="H433"/>
      <c r="I433" t="inlineStr">
        <is>
          <t>瞿敬雄</t>
        </is>
      </c>
      <c r="J433" t="inlineStr">
        <is>
          <t>龚政涛,瞿敬雄</t>
        </is>
      </c>
      <c r="K433" t="inlineStr">
        <is>
          <t>龚政涛</t>
        </is>
      </c>
      <c r="L433" s="3">
        <v>45890.48486111111</v>
      </c>
      <c r="M433" s="3">
        <v>45890.333333333336</v>
      </c>
      <c r="N433" s="3">
        <v>45891.716840277775</v>
      </c>
      <c r="O433" s="3">
        <v>45890.333333333336</v>
      </c>
      <c r="P433" s="3">
        <v>45891.716828703706</v>
      </c>
      <c r="Q433" s="2" t="str">
        <f>=HYPERLINK("https://applink.feishu.cn/client/todo/task_list?guid=4d92b9af-66d1-4cd7-95d1-4b753a64ca6b", "跃入迷城")</f>
        <v>跃入迷城</v>
      </c>
      <c r="R433" t="inlineStr">
        <is>
          <t>4d92b9af-66d1-4cd7-95d1-4b753a64ca6b</t>
        </is>
      </c>
      <c r="S433" t="inlineStr">
        <is>
          <t>8bd6bb89-e789-413f-9836-d00f56f7357c</t>
        </is>
      </c>
      <c r="T433">
        <v>0</v>
      </c>
      <c r="U433">
        <v>0</v>
      </c>
      <c r="V433" t="inlineStr">
        <is>
          <t>0.0.5</t>
        </is>
      </c>
      <c r="W433" t="inlineStr">
        <is>
          <t>工作中</t>
        </is>
      </c>
      <c r="X433" t="inlineStr">
        <is>
          <t>🎨艺术</t>
        </is>
      </c>
      <c r="Y433" t="inlineStr">
        <is>
          <t>平面美术</t>
        </is>
      </c>
      <c r="Z433"/>
      <c r="AA433"/>
      <c r="AB433"/>
      <c r="AC433" t="inlineStr">
        <is>
          <t>edfd2864-50b6-40fb-96ff-5c51c3ca1b09</t>
        </is>
      </c>
      <c r="AD433" t="inlineStr">
        <is>
          <t>NzUzMjAzNDQ5ODk2NDY2ODQ0NDo4YmQ2YmI4OS1lNzg5LTQxM2YtOTgzNi1kMDBmNTZmNzM1N2M6Y2JkOTFlMzg0ODNiM2QyODE2NjUyNWQ2YWZjYzExNGQ6MQ==</t>
        </is>
      </c>
      <c r="AE433">
        <v>2</v>
      </c>
    </row>
    <row r="434" ht="25.5" customHeight="1">
      <c r="A434" s="2" t="str">
        <f>=HYPERLINK("https://applink.feishu.cn/client/todo/detail?guid=a7c983b8-75dc-4566-9062-e4f7b38a3931&amp;suite_entity_num=t101051", "ICON基础探讨 &lt; ✨新增：游戏中新增了义体、技能的icon")</f>
        <v>ICON基础探讨 &lt; ✨新增：游戏中新增了义体、技能的icon</v>
      </c>
      <c r="B434"/>
      <c r="C434" t="inlineStr">
        <is>
          <t>默认分组</t>
        </is>
      </c>
      <c r="D434" t="inlineStr">
        <is>
          <t>1</t>
        </is>
      </c>
      <c r="E434" t="inlineStr">
        <is>
          <t>或签任务</t>
        </is>
      </c>
      <c r="F434"/>
      <c r="G434" t="inlineStr">
        <is>
          <t>0</t>
        </is>
      </c>
      <c r="H434"/>
      <c r="I434" t="inlineStr">
        <is>
          <t>郭斯已</t>
        </is>
      </c>
      <c r="J434" t="inlineStr">
        <is>
          <t>龚政涛,郭斯已</t>
        </is>
      </c>
      <c r="K434" t="inlineStr">
        <is>
          <t>龚政涛</t>
        </is>
      </c>
      <c r="L434" s="3">
        <v>45890.49346064815</v>
      </c>
      <c r="M434" s="3">
        <v>45895.333333333336</v>
      </c>
      <c r="N434" s="3">
        <v>45897.97497685185</v>
      </c>
      <c r="O434" s="3">
        <v>45896.333333333336</v>
      </c>
      <c r="P434" s="3">
        <v>45897.97497685185</v>
      </c>
      <c r="Q434" s="2" t="str">
        <f>=HYPERLINK("https://applink.feishu.cn/client/todo/task_list?guid=4d92b9af-66d1-4cd7-95d1-4b753a64ca6b", "跃入迷城")</f>
        <v>跃入迷城</v>
      </c>
      <c r="R434" t="inlineStr">
        <is>
          <t>4d92b9af-66d1-4cd7-95d1-4b753a64ca6b</t>
        </is>
      </c>
      <c r="S434" t="inlineStr">
        <is>
          <t>a7c983b8-75dc-4566-9062-e4f7b38a3931</t>
        </is>
      </c>
      <c r="T434">
        <v>0</v>
      </c>
      <c r="U434">
        <v>1</v>
      </c>
      <c r="V434" t="inlineStr">
        <is>
          <t>0.0.5</t>
        </is>
      </c>
      <c r="W434" t="inlineStr">
        <is>
          <t>已完成</t>
        </is>
      </c>
      <c r="X434" t="inlineStr">
        <is>
          <t>🎨艺术</t>
        </is>
      </c>
      <c r="Y434" t="inlineStr">
        <is>
          <t>UIUX</t>
        </is>
      </c>
      <c r="Z434"/>
      <c r="AA434"/>
      <c r="AB434"/>
      <c r="AC434" t="inlineStr">
        <is>
          <t>6fb4d1ca-44ad-41b4-9e70-73398e3b774b</t>
        </is>
      </c>
      <c r="AD434" t="inlineStr">
        <is>
          <t>NzUzMjAzNDQ5ODk2NDY2ODQ0NDphN2M5ODNiOC03NWRjLTQ1NjYtOTA2Mi1lNGY3YjM4YTM5MzE6YTcwYTMxZDVjOGZhNDFkOTI0ZjgwNjM2ODYzMGRkMDQ6MQ==</t>
        </is>
      </c>
      <c r="AE434">
        <v>2</v>
      </c>
    </row>
    <row r="435" ht="25.5" customHeight="1">
      <c r="A435" s="2" t="str">
        <f>=HYPERLINK("https://applink.feishu.cn/client/todo/detail?guid=6fb4d1ca-44ad-41b4-9e70-73398e3b774b&amp;suite_entity_num=t101050", "✨新增：游戏中新增了义体、技能的icon")</f>
        <v>✨新增：游戏中新增了义体、技能的icon</v>
      </c>
      <c r="B435"/>
      <c r="C435" t="inlineStr">
        <is>
          <t>默认分组</t>
        </is>
      </c>
      <c r="D435" t="inlineStr">
        <is>
          <t>0</t>
        </is>
      </c>
      <c r="E435" t="inlineStr">
        <is>
          <t>或签任务</t>
        </is>
      </c>
      <c r="F435"/>
      <c r="G435" t="inlineStr">
        <is>
          <t>0</t>
        </is>
      </c>
      <c r="H435">
        <v>1</v>
      </c>
      <c r="I435" t="inlineStr">
        <is>
          <t>郭斯已</t>
        </is>
      </c>
      <c r="J435" t="inlineStr">
        <is>
          <t>龚政涛,郭斯已</t>
        </is>
      </c>
      <c r="K435" t="inlineStr">
        <is>
          <t>龚政涛</t>
        </is>
      </c>
      <c r="L435" s="3">
        <v>45890.49319444445</v>
      </c>
      <c r="M435" s="3"/>
      <c r="N435" s="3"/>
      <c r="O435" s="3"/>
      <c r="P435" s="3">
        <v>45895.50130787037</v>
      </c>
      <c r="Q435" s="2" t="str">
        <f>=HYPERLINK("https://applink.feishu.cn/client/todo/task_list?guid=4d92b9af-66d1-4cd7-95d1-4b753a64ca6b", "跃入迷城")</f>
        <v>跃入迷城</v>
      </c>
      <c r="R435" t="inlineStr">
        <is>
          <t>4d92b9af-66d1-4cd7-95d1-4b753a64ca6b</t>
        </is>
      </c>
      <c r="S435" t="inlineStr">
        <is>
          <t>6fb4d1ca-44ad-41b4-9e70-73398e3b774b</t>
        </is>
      </c>
      <c r="T435">
        <v>1</v>
      </c>
      <c r="U435">
        <v>0</v>
      </c>
      <c r="V435" t="inlineStr">
        <is>
          <t>0.0.5</t>
        </is>
      </c>
      <c r="W435" t="inlineStr">
        <is>
          <t>已拆分</t>
        </is>
      </c>
      <c r="X435" t="inlineStr">
        <is>
          <t>🎨艺术</t>
        </is>
      </c>
      <c r="Y435" t="inlineStr">
        <is>
          <t>UIUX</t>
        </is>
      </c>
      <c r="Z435"/>
      <c r="AA435"/>
      <c r="AB435"/>
      <c r="AC435"/>
      <c r="AD435" t="inlineStr">
        <is>
          <t>NzUzMjAzNDQ5ODk2NDY2ODQ0NDo2ZmI0ZDFjYS00NGFkLTQxYjQtOWU3MC03MzM5OGUzYjc3NGI6NzA4Zjk4MDVlODUwNzJjMjEwZmFlMzg0MTc3MjBiMzE6MQ==</t>
        </is>
      </c>
      <c r="AE435"/>
    </row>
    <row r="436" ht="25.5" customHeight="1">
      <c r="A436" s="2" t="str">
        <f>=HYPERLINK("https://applink.feishu.cn/client/todo/detail?guid=e82170db-82f6-4498-ad90-d07bfb60e614&amp;suite_entity_num=t101066", "艾莉亚 - 静态 - 1 &lt; 艾莉娅角色模型")</f>
        <v>艾莉亚 - 静态 - 1 &lt; 艾莉娅角色模型</v>
      </c>
      <c r="B436"/>
      <c r="C436" t="inlineStr">
        <is>
          <t>默认分组</t>
        </is>
      </c>
      <c r="D436" t="inlineStr">
        <is>
          <t>1</t>
        </is>
      </c>
      <c r="E436" t="inlineStr">
        <is>
          <t>或签任务</t>
        </is>
      </c>
      <c r="F436"/>
      <c r="G436" t="inlineStr">
        <is>
          <t>0</t>
        </is>
      </c>
      <c r="H436"/>
      <c r="I436"/>
      <c r="J436" t="inlineStr">
        <is>
          <t>龚政涛</t>
        </is>
      </c>
      <c r="K436" t="inlineStr">
        <is>
          <t>龚政涛</t>
        </is>
      </c>
      <c r="L436" s="3">
        <v>45895.481354166666</v>
      </c>
      <c r="M436" s="3">
        <v>45890.333333333336</v>
      </c>
      <c r="N436" s="3">
        <v>45895.48168981481</v>
      </c>
      <c r="O436" s="3">
        <v>45890.333333333336</v>
      </c>
      <c r="P436" s="3">
        <v>45895.48186342593</v>
      </c>
      <c r="Q436" s="2" t="str">
        <f>=HYPERLINK("https://applink.feishu.cn/client/todo/task_list?guid=4d92b9af-66d1-4cd7-95d1-4b753a64ca6b", "跃入迷城")</f>
        <v>跃入迷城</v>
      </c>
      <c r="R436" t="inlineStr">
        <is>
          <t>4d92b9af-66d1-4cd7-95d1-4b753a64ca6b</t>
        </is>
      </c>
      <c r="S436" t="inlineStr">
        <is>
          <t>e82170db-82f6-4498-ad90-d07bfb60e614</t>
        </is>
      </c>
      <c r="T436">
        <v>0</v>
      </c>
      <c r="U436">
        <v>0</v>
      </c>
      <c r="V436" t="inlineStr">
        <is>
          <t>0.0.5</t>
        </is>
      </c>
      <c r="W436" t="inlineStr">
        <is>
          <t>已完成</t>
        </is>
      </c>
      <c r="X436" t="inlineStr">
        <is>
          <t>🎨艺术</t>
        </is>
      </c>
      <c r="Y436" t="inlineStr">
        <is>
          <t>模型</t>
        </is>
      </c>
      <c r="Z436"/>
      <c r="AA436"/>
      <c r="AB436"/>
      <c r="AC436" t="inlineStr">
        <is>
          <t>b95ed6b3-b4ac-4c3e-9e75-a94ee2d2ab42</t>
        </is>
      </c>
      <c r="AD436" t="inlineStr">
        <is>
          <t>NzUzMjAzNDQ5ODk2NDY2ODQ0NDplODIxNzBkYi04MmY2LTQ0OTgtYWQ5MC1kMDdiZmI2MGU2MTQ6M2RjZjI0NDQyYjllMDc3OTUxZmU2NmVmMTliZThjZTI6MQ==</t>
        </is>
      </c>
      <c r="AE436">
        <v>4</v>
      </c>
    </row>
    <row r="437" ht="25.5" customHeight="1">
      <c r="A437" s="2" t="str">
        <f>=HYPERLINK("https://applink.feishu.cn/client/todo/detail?guid=50add134-95af-46ae-a847-c41e79dec0b8&amp;suite_entity_num=t101068", "贴图A &lt; 墙面模型")</f>
        <v>贴图A &lt; 墙面模型</v>
      </c>
      <c r="B437"/>
      <c r="C437" t="inlineStr">
        <is>
          <t>默认分组</t>
        </is>
      </c>
      <c r="D437" t="inlineStr">
        <is>
          <t>1</t>
        </is>
      </c>
      <c r="E437" t="inlineStr">
        <is>
          <t>或签任务</t>
        </is>
      </c>
      <c r="F437"/>
      <c r="G437" t="inlineStr">
        <is>
          <t>0</t>
        </is>
      </c>
      <c r="H437"/>
      <c r="I437" t="inlineStr">
        <is>
          <t>陈吉瑞</t>
        </is>
      </c>
      <c r="J437" t="inlineStr">
        <is>
          <t>龚政涛,陈吉瑞</t>
        </is>
      </c>
      <c r="K437" t="inlineStr">
        <is>
          <t>龚政涛</t>
        </is>
      </c>
      <c r="L437" s="3">
        <v>45895.483449074076</v>
      </c>
      <c r="M437" s="3">
        <v>45894.333333333336</v>
      </c>
      <c r="N437" s="3">
        <v>45895.48369212963</v>
      </c>
      <c r="O437" s="3">
        <v>45894.333333333336</v>
      </c>
      <c r="P437" s="3">
        <v>45895.48849537037</v>
      </c>
      <c r="Q437" s="2" t="str">
        <f>=HYPERLINK("https://applink.feishu.cn/client/todo/task_list?guid=4d92b9af-66d1-4cd7-95d1-4b753a64ca6b", "跃入迷城")</f>
        <v>跃入迷城</v>
      </c>
      <c r="R437" t="inlineStr">
        <is>
          <t>4d92b9af-66d1-4cd7-95d1-4b753a64ca6b</t>
        </is>
      </c>
      <c r="S437" t="inlineStr">
        <is>
          <t>50add134-95af-46ae-a847-c41e79dec0b8</t>
        </is>
      </c>
      <c r="T437">
        <v>0</v>
      </c>
      <c r="U437">
        <v>0</v>
      </c>
      <c r="V437" t="inlineStr">
        <is>
          <t>0.0.5</t>
        </is>
      </c>
      <c r="W437" t="inlineStr">
        <is>
          <t>已完成</t>
        </is>
      </c>
      <c r="X437" t="inlineStr">
        <is>
          <t>🎨艺术</t>
        </is>
      </c>
      <c r="Y437" t="inlineStr">
        <is>
          <t>模型</t>
        </is>
      </c>
      <c r="Z437"/>
      <c r="AA437"/>
      <c r="AB437"/>
      <c r="AC437" t="inlineStr">
        <is>
          <t>601c8e2a-259f-48ef-9a90-be92531e9aa1</t>
        </is>
      </c>
      <c r="AD437" t="inlineStr">
        <is>
          <t>NzUzMjAzNDQ5ODk2NDY2ODQ0NDo1MGFkZDEzNC05NWFmLTQ2YWUtYTg0Ny1jNDFlNzlkZWMwYjg6MDgzMGY5M2E5YWU4ZWNjNjJkM2IwNmUzNWM2MzM1NDE6MQ==</t>
        </is>
      </c>
      <c r="AE437">
        <v>2</v>
      </c>
    </row>
    <row r="438" ht="25.5" customHeight="1">
      <c r="A438" s="2" t="str">
        <f>=HYPERLINK("https://applink.feishu.cn/client/todo/detail?guid=73b16c90-7a23-44b2-819b-c40d1162ff1b&amp;suite_entity_num=t101064", "“陌生人”插图 &lt; 角色插图制作")</f>
        <v>“陌生人”插图 &lt; 角色插图制作</v>
      </c>
      <c r="B438"/>
      <c r="C438" t="inlineStr">
        <is>
          <t>默认分组</t>
        </is>
      </c>
      <c r="D438" t="inlineStr">
        <is>
          <t>1</t>
        </is>
      </c>
      <c r="E438" t="inlineStr">
        <is>
          <t>或签任务</t>
        </is>
      </c>
      <c r="F438"/>
      <c r="G438" t="inlineStr">
        <is>
          <t>0</t>
        </is>
      </c>
      <c r="H438">
        <v>1</v>
      </c>
      <c r="I438" t="inlineStr">
        <is>
          <t>瞿敬雄</t>
        </is>
      </c>
      <c r="J438" t="inlineStr">
        <is>
          <t>龚政涛,瞿敬雄</t>
        </is>
      </c>
      <c r="K438" t="inlineStr">
        <is>
          <t>龚政涛</t>
        </is>
      </c>
      <c r="L438" s="3">
        <v>45895.47972222222</v>
      </c>
      <c r="M438" s="3"/>
      <c r="N438" s="3">
        <v>45911.84359953704</v>
      </c>
      <c r="O438" s="3"/>
      <c r="P438" s="3">
        <v>45911.84357638889</v>
      </c>
      <c r="Q438" s="2" t="str">
        <f>=HYPERLINK("https://applink.feishu.cn/client/todo/task_list?guid=4d92b9af-66d1-4cd7-95d1-4b753a64ca6b", "跃入迷城")</f>
        <v>跃入迷城</v>
      </c>
      <c r="R438" t="inlineStr">
        <is>
          <t>4d92b9af-66d1-4cd7-95d1-4b753a64ca6b</t>
        </is>
      </c>
      <c r="S438" t="inlineStr">
        <is>
          <t>73b16c90-7a23-44b2-819b-c40d1162ff1b</t>
        </is>
      </c>
      <c r="T438">
        <v>1</v>
      </c>
      <c r="U438">
        <v>0</v>
      </c>
      <c r="V438" t="inlineStr">
        <is>
          <t>0.0.5</t>
        </is>
      </c>
      <c r="W438" t="inlineStr">
        <is>
          <t>已拆分</t>
        </is>
      </c>
      <c r="X438" t="inlineStr">
        <is>
          <t>🎨艺术</t>
        </is>
      </c>
      <c r="Y438" t="inlineStr">
        <is>
          <t>平面美术</t>
        </is>
      </c>
      <c r="Z438"/>
      <c r="AA438"/>
      <c r="AB438"/>
      <c r="AC438" t="inlineStr">
        <is>
          <t>cffa4f2c-fb50-49e2-aad9-4a85adbe2690</t>
        </is>
      </c>
      <c r="AD438" t="inlineStr">
        <is>
          <t>NzUzMjAzNDQ5ODk2NDY2ODQ0NDo3M2IxNmM5MC03YTIzLTQ0YjItODE5Yi1jNDBkMTE2MmZmMWI6OGRkMjFhMjg2N2Y1NDdjMjg1MTMzNWI5NjBlMWUwMGY6MQ==</t>
        </is>
      </c>
      <c r="AE438"/>
    </row>
    <row r="439" ht="25.5" customHeight="1">
      <c r="A439" s="2" t="str">
        <f>=HYPERLINK("https://applink.feishu.cn/client/todo/detail?guid=f9be6742-49d8-44e3-bf7d-a2521e920e91&amp;suite_entity_num=t101065", "寻找参考 &lt; “陌生人”插图")</f>
        <v>寻找参考 &lt; “陌生人”插图</v>
      </c>
      <c r="B439"/>
      <c r="C439" t="inlineStr">
        <is>
          <t>默认分组</t>
        </is>
      </c>
      <c r="D439" t="inlineStr">
        <is>
          <t>1</t>
        </is>
      </c>
      <c r="E439" t="inlineStr">
        <is>
          <t>或签任务</t>
        </is>
      </c>
      <c r="F439"/>
      <c r="G439" t="inlineStr">
        <is>
          <t>0</t>
        </is>
      </c>
      <c r="H439"/>
      <c r="I439" t="inlineStr">
        <is>
          <t>瞿敬雄</t>
        </is>
      </c>
      <c r="J439" t="inlineStr">
        <is>
          <t>龚政涛,瞿敬雄</t>
        </is>
      </c>
      <c r="K439" t="inlineStr">
        <is>
          <t>龚政涛</t>
        </is>
      </c>
      <c r="L439" s="3">
        <v>45895.48011574074</v>
      </c>
      <c r="M439" s="3">
        <v>45895.333333333336</v>
      </c>
      <c r="N439" s="3">
        <v>45897.974490740744</v>
      </c>
      <c r="O439" s="3">
        <v>45896.333333333336</v>
      </c>
      <c r="P439" s="3">
        <v>45897.974490740744</v>
      </c>
      <c r="Q439" s="2" t="str">
        <f>=HYPERLINK("https://applink.feishu.cn/client/todo/task_list?guid=4d92b9af-66d1-4cd7-95d1-4b753a64ca6b", "跃入迷城")</f>
        <v>跃入迷城</v>
      </c>
      <c r="R439" t="inlineStr">
        <is>
          <t>4d92b9af-66d1-4cd7-95d1-4b753a64ca6b</t>
        </is>
      </c>
      <c r="S439" t="inlineStr">
        <is>
          <t>f9be6742-49d8-44e3-bf7d-a2521e920e91</t>
        </is>
      </c>
      <c r="T439">
        <v>0</v>
      </c>
      <c r="U439">
        <v>1</v>
      </c>
      <c r="V439" t="inlineStr">
        <is>
          <t>0.0.5</t>
        </is>
      </c>
      <c r="W439" t="inlineStr">
        <is>
          <t>已完成</t>
        </is>
      </c>
      <c r="X439" t="inlineStr">
        <is>
          <t>🎨艺术</t>
        </is>
      </c>
      <c r="Y439" t="inlineStr">
        <is>
          <t>平面美术</t>
        </is>
      </c>
      <c r="Z439"/>
      <c r="AA439"/>
      <c r="AB439"/>
      <c r="AC439" t="inlineStr">
        <is>
          <t>73b16c90-7a23-44b2-819b-c40d1162ff1b</t>
        </is>
      </c>
      <c r="AD439" t="inlineStr">
        <is>
          <t>NzUzMjAzNDQ5ODk2NDY2ODQ0NDpmOWJlNjc0Mi00OWQ4LTQ0ZTMtYmY3ZC1hMjUyMWU5MjBlOTE6YTllZjExMTI0N2VkNzEyNDdmMWQ3MDcwYjFjMGM5NWU6MQ==</t>
        </is>
      </c>
      <c r="AE439">
        <v>1</v>
      </c>
    </row>
    <row r="440" ht="25.5" customHeight="1">
      <c r="A440" s="2" t="str">
        <f>=HYPERLINK("https://applink.feishu.cn/client/todo/detail?guid=271ad8c8-f726-4d20-adbe-3b226a8734f9&amp;suite_entity_num=t101067", "艾莉亚 - 静态 - 2 &lt; 艾莉娅角色模型")</f>
        <v>艾莉亚 - 静态 - 2 &lt; 艾莉娅角色模型</v>
      </c>
      <c r="B440"/>
      <c r="C440" t="inlineStr">
        <is>
          <t>默认分组</t>
        </is>
      </c>
      <c r="D440" t="inlineStr">
        <is>
          <t>1</t>
        </is>
      </c>
      <c r="E440" t="inlineStr">
        <is>
          <t>或签任务</t>
        </is>
      </c>
      <c r="F440"/>
      <c r="G440" t="inlineStr">
        <is>
          <t>0</t>
        </is>
      </c>
      <c r="H440"/>
      <c r="I440"/>
      <c r="J440" t="inlineStr">
        <is>
          <t>龚政涛</t>
        </is>
      </c>
      <c r="K440" t="inlineStr">
        <is>
          <t>龚政涛</t>
        </is>
      </c>
      <c r="L440" s="3">
        <v>45895.48138888889</v>
      </c>
      <c r="M440" s="3">
        <v>45896.333333333336</v>
      </c>
      <c r="N440" s="3">
        <v>45897.974386574075</v>
      </c>
      <c r="O440" s="3">
        <v>45896.333333333336</v>
      </c>
      <c r="P440" s="3">
        <v>45897.97439814815</v>
      </c>
      <c r="Q440" s="2" t="str">
        <f>=HYPERLINK("https://applink.feishu.cn/client/todo/task_list?guid=4d92b9af-66d1-4cd7-95d1-4b753a64ca6b", "跃入迷城")</f>
        <v>跃入迷城</v>
      </c>
      <c r="R440" t="inlineStr">
        <is>
          <t>4d92b9af-66d1-4cd7-95d1-4b753a64ca6b</t>
        </is>
      </c>
      <c r="S440" t="inlineStr">
        <is>
          <t>271ad8c8-f726-4d20-adbe-3b226a8734f9</t>
        </is>
      </c>
      <c r="T440">
        <v>0</v>
      </c>
      <c r="U440">
        <v>0</v>
      </c>
      <c r="V440" t="inlineStr">
        <is>
          <t>0.0.5</t>
        </is>
      </c>
      <c r="W440" t="inlineStr">
        <is>
          <t>已废弃</t>
        </is>
      </c>
      <c r="X440" t="inlineStr">
        <is>
          <t>🎨艺术</t>
        </is>
      </c>
      <c r="Y440" t="inlineStr">
        <is>
          <t>模型</t>
        </is>
      </c>
      <c r="Z440"/>
      <c r="AA440"/>
      <c r="AB440"/>
      <c r="AC440" t="inlineStr">
        <is>
          <t>b95ed6b3-b4ac-4c3e-9e75-a94ee2d2ab42</t>
        </is>
      </c>
      <c r="AD440" t="inlineStr">
        <is>
          <t>NzUzMjAzNDQ5ODk2NDY2ODQ0NDoyNzFhZDhjOC1mNzI2LTRkMjAtYWRiZS0zYjIyNmE4NzM0Zjk6NjQ2MTUzODVhZTllMGNlMDJmMTMzYTZlMTI4MjhjY2E6MQ==</t>
        </is>
      </c>
      <c r="AE440">
        <v>2</v>
      </c>
    </row>
    <row r="441" ht="25.5" customHeight="1">
      <c r="A441" s="2" t="str">
        <f>=HYPERLINK("https://applink.feishu.cn/client/todo/detail?guid=1bcc8e33-3c85-493b-a444-26e53923e8da&amp;suite_entity_num=t101074", "贴图A &lt; 电梯模型")</f>
        <v>贴图A &lt; 电梯模型</v>
      </c>
      <c r="B441"/>
      <c r="C441" t="inlineStr">
        <is>
          <t>默认分组</t>
        </is>
      </c>
      <c r="D441" t="inlineStr">
        <is>
          <t>1</t>
        </is>
      </c>
      <c r="E441" t="inlineStr">
        <is>
          <t>或签任务</t>
        </is>
      </c>
      <c r="F441"/>
      <c r="G441" t="inlineStr">
        <is>
          <t>0</t>
        </is>
      </c>
      <c r="H441"/>
      <c r="I441" t="inlineStr">
        <is>
          <t>陈吉瑞</t>
        </is>
      </c>
      <c r="J441" t="inlineStr">
        <is>
          <t>龚政涛,陈吉瑞</t>
        </is>
      </c>
      <c r="K441" t="inlineStr">
        <is>
          <t>龚政涛</t>
        </is>
      </c>
      <c r="L441" s="3">
        <v>45895.487442129626</v>
      </c>
      <c r="M441" s="3">
        <v>45895.333333333336</v>
      </c>
      <c r="N441" s="3">
        <v>45896.51269675926</v>
      </c>
      <c r="O441" s="3">
        <v>45895.333333333336</v>
      </c>
      <c r="P441" s="3">
        <v>45896.512708333335</v>
      </c>
      <c r="Q441" s="2" t="str">
        <f>=HYPERLINK("https://applink.feishu.cn/client/todo/task_list?guid=4d92b9af-66d1-4cd7-95d1-4b753a64ca6b", "跃入迷城")</f>
        <v>跃入迷城</v>
      </c>
      <c r="R441" t="inlineStr">
        <is>
          <t>4d92b9af-66d1-4cd7-95d1-4b753a64ca6b</t>
        </is>
      </c>
      <c r="S441" t="inlineStr">
        <is>
          <t>1bcc8e33-3c85-493b-a444-26e53923e8da</t>
        </is>
      </c>
      <c r="T441">
        <v>0</v>
      </c>
      <c r="U441">
        <v>0</v>
      </c>
      <c r="V441" t="inlineStr">
        <is>
          <t>0.0.5</t>
        </is>
      </c>
      <c r="W441" t="inlineStr">
        <is>
          <t>已完成</t>
        </is>
      </c>
      <c r="X441" t="inlineStr">
        <is>
          <t>🎨艺术</t>
        </is>
      </c>
      <c r="Y441" t="inlineStr">
        <is>
          <t>模型</t>
        </is>
      </c>
      <c r="Z441"/>
      <c r="AA441"/>
      <c r="AB441"/>
      <c r="AC441" t="inlineStr">
        <is>
          <t>ec9c1736-841a-4c8f-835c-3b81dc0827f2</t>
        </is>
      </c>
      <c r="AD441" t="inlineStr">
        <is>
          <t>NzUzMjAzNDQ5ODk2NDY2ODQ0NDoxYmNjOGUzMy0zYzg1LTQ5M2ItYTQ0NC0yNmU1MzkyM2U4ZGE6MWQwNDc5MzM4ZDBlZWI3N2M2M2M4NmNmMWMwMTE0OTc6MQ==</t>
        </is>
      </c>
      <c r="AE441">
        <v>1</v>
      </c>
    </row>
    <row r="442" ht="25.5" customHeight="1">
      <c r="A442" s="2" t="str">
        <f>=HYPERLINK("https://applink.feishu.cn/client/todo/detail?guid=ba4c6245-4bdf-48ac-9d8a-9ee1e4abfee0&amp;suite_entity_num=t101070", "模型 &lt; 地面模型")</f>
        <v>模型 &lt; 地面模型</v>
      </c>
      <c r="B442"/>
      <c r="C442" t="inlineStr">
        <is>
          <t>默认分组</t>
        </is>
      </c>
      <c r="D442" t="inlineStr">
        <is>
          <t>1</t>
        </is>
      </c>
      <c r="E442" t="inlineStr">
        <is>
          <t>或签任务</t>
        </is>
      </c>
      <c r="F442"/>
      <c r="G442" t="inlineStr">
        <is>
          <t>0</t>
        </is>
      </c>
      <c r="H442"/>
      <c r="I442" t="inlineStr">
        <is>
          <t>陈吉瑞</t>
        </is>
      </c>
      <c r="J442" t="inlineStr">
        <is>
          <t>龚政涛,陈吉瑞</t>
        </is>
      </c>
      <c r="K442" t="inlineStr">
        <is>
          <t>龚政涛</t>
        </is>
      </c>
      <c r="L442" s="3">
        <v>45895.483831018515</v>
      </c>
      <c r="M442" s="3">
        <v>45895.333333333336</v>
      </c>
      <c r="N442" s="3">
        <v>45904.909050925926</v>
      </c>
      <c r="O442" s="3">
        <v>45897.333333333336</v>
      </c>
      <c r="P442" s="3">
        <v>45904.9090625</v>
      </c>
      <c r="Q442" s="2" t="str">
        <f>=HYPERLINK("https://applink.feishu.cn/client/todo/task_list?guid=4d92b9af-66d1-4cd7-95d1-4b753a64ca6b", "跃入迷城")</f>
        <v>跃入迷城</v>
      </c>
      <c r="R442" t="inlineStr">
        <is>
          <t>4d92b9af-66d1-4cd7-95d1-4b753a64ca6b</t>
        </is>
      </c>
      <c r="S442" t="inlineStr">
        <is>
          <t>ba4c6245-4bdf-48ac-9d8a-9ee1e4abfee0</t>
        </is>
      </c>
      <c r="T442">
        <v>0</v>
      </c>
      <c r="U442">
        <v>0</v>
      </c>
      <c r="V442" t="inlineStr">
        <is>
          <t>0.0.5</t>
        </is>
      </c>
      <c r="W442" t="inlineStr">
        <is>
          <t>工作中</t>
        </is>
      </c>
      <c r="X442" t="inlineStr">
        <is>
          <t>🎨艺术</t>
        </is>
      </c>
      <c r="Y442" t="inlineStr">
        <is>
          <t>模型</t>
        </is>
      </c>
      <c r="Z442" t="inlineStr">
        <is>
          <t>P1 - Bigger the Better</t>
        </is>
      </c>
      <c r="AA442"/>
      <c r="AB442"/>
      <c r="AC442" t="inlineStr">
        <is>
          <t>70ba16f2-4136-4dbe-b044-6918afe6bf89</t>
        </is>
      </c>
      <c r="AD442" t="inlineStr">
        <is>
          <t>NzUzMjAzNDQ5ODk2NDY2ODQ0NDpiYTRjNjI0NS00YmRmLTQ4YWMtOWQ4YS05ZWUxZTRhYmZlZTA6ZGZjOTY5MTVmOGRmMWM1MTQwMDUwN2JiNzE1YzRhMjA6MQ==</t>
        </is>
      </c>
      <c r="AE442">
        <v>1</v>
      </c>
    </row>
    <row r="443" ht="25.5" customHeight="1">
      <c r="A443" s="2" t="str">
        <f>=HYPERLINK("https://applink.feishu.cn/client/todo/detail?guid=666240b8-c59e-4c89-97fb-c0f1448225c4&amp;suite_entity_num=t101061", "绘制P2 - 1 &lt; https://dikpa4hrtn9.feishu.cn/wiki/HqAOwpqMEiXjYjkdDjic89CZnmb插图")</f>
        <v>绘制P2 - 1 &lt; https://dikpa4hrtn9.feishu.cn/wiki/HqAOwpqMEiXjYjkdDjic89CZnmb插图</v>
      </c>
      <c r="B443"/>
      <c r="C443" t="inlineStr">
        <is>
          <t>默认分组</t>
        </is>
      </c>
      <c r="D443" t="inlineStr">
        <is>
          <t>1</t>
        </is>
      </c>
      <c r="E443" t="inlineStr">
        <is>
          <t>或签任务</t>
        </is>
      </c>
      <c r="F443"/>
      <c r="G443" t="inlineStr">
        <is>
          <t>0</t>
        </is>
      </c>
      <c r="H443"/>
      <c r="I443" t="inlineStr">
        <is>
          <t>瞿敬雄</t>
        </is>
      </c>
      <c r="J443" t="inlineStr">
        <is>
          <t>龚政涛,瞿敬雄</t>
        </is>
      </c>
      <c r="K443" t="inlineStr">
        <is>
          <t>龚政涛</t>
        </is>
      </c>
      <c r="L443" s="3">
        <v>45895.47287037037</v>
      </c>
      <c r="M443" s="3">
        <v>45895.333333333336</v>
      </c>
      <c r="N443" s="3">
        <v>45896.50034722222</v>
      </c>
      <c r="O443" s="3">
        <v>45895.333333333336</v>
      </c>
      <c r="P443" s="3">
        <v>45896.50035879629</v>
      </c>
      <c r="Q443" s="2" t="str">
        <f>=HYPERLINK("https://applink.feishu.cn/client/todo/task_list?guid=4d92b9af-66d1-4cd7-95d1-4b753a64ca6b", "跃入迷城")</f>
        <v>跃入迷城</v>
      </c>
      <c r="R443" t="inlineStr">
        <is>
          <t>4d92b9af-66d1-4cd7-95d1-4b753a64ca6b</t>
        </is>
      </c>
      <c r="S443" t="inlineStr">
        <is>
          <t>666240b8-c59e-4c89-97fb-c0f1448225c4</t>
        </is>
      </c>
      <c r="T443">
        <v>0</v>
      </c>
      <c r="U443">
        <v>1</v>
      </c>
      <c r="V443" t="inlineStr">
        <is>
          <t>0.0.5</t>
        </is>
      </c>
      <c r="W443" t="inlineStr">
        <is>
          <t>已完成</t>
        </is>
      </c>
      <c r="X443" t="inlineStr">
        <is>
          <t>🎨艺术</t>
        </is>
      </c>
      <c r="Y443" t="inlineStr">
        <is>
          <t>平面美术</t>
        </is>
      </c>
      <c r="Z443" t="inlineStr">
        <is>
          <t>P0 - Must (not) Have</t>
        </is>
      </c>
      <c r="AA443"/>
      <c r="AB443"/>
      <c r="AC443" t="inlineStr">
        <is>
          <t>e3d69f11-f540-4c21-b086-7537e7292dc4</t>
        </is>
      </c>
      <c r="AD443" t="inlineStr">
        <is>
          <t>NzUzMjAzNDQ5ODk2NDY2ODQ0NDo2NjYyNDBiOC1jNTllLTRjODktOTdmYi1jMGYxNDQ4MjI1YzQ6ODFiYTg3NTNkYjM4YzA2MTc5NDljZGE5YmRhZTNiMGY6MQ==</t>
        </is>
      </c>
      <c r="AE443">
        <v>4</v>
      </c>
    </row>
    <row r="444" ht="25.5" customHeight="1">
      <c r="A444" s="2" t="str">
        <f>=HYPERLINK("https://applink.feishu.cn/client/todo/detail?guid=f93775ef-98c3-42ad-a519-a0d64ec6170f&amp;suite_entity_num=t101062", "绘制电磁弩线稿 &lt; https://dikpa4hrtn9.feishu.cn/wiki/HqAOwpqMEiXjYjkdDjic89CZnmb插图")</f>
        <v>绘制电磁弩线稿 &lt; https://dikpa4hrtn9.feishu.cn/wiki/HqAOwpqMEiXjYjkdDjic89CZnmb插图</v>
      </c>
      <c r="B444"/>
      <c r="C444" t="inlineStr">
        <is>
          <t>默认分组</t>
        </is>
      </c>
      <c r="D444" t="inlineStr">
        <is>
          <t>1</t>
        </is>
      </c>
      <c r="E444" t="inlineStr">
        <is>
          <t>或签任务</t>
        </is>
      </c>
      <c r="F444"/>
      <c r="G444" t="inlineStr">
        <is>
          <t>0</t>
        </is>
      </c>
      <c r="H444"/>
      <c r="I444" t="inlineStr">
        <is>
          <t>瞿敬雄</t>
        </is>
      </c>
      <c r="J444" t="inlineStr">
        <is>
          <t>瞿敬雄,龚政涛</t>
        </is>
      </c>
      <c r="K444" t="inlineStr">
        <is>
          <t>龚政涛</t>
        </is>
      </c>
      <c r="L444" s="3">
        <v>45895.47850694445</v>
      </c>
      <c r="M444" s="3">
        <v>45895.333333333336</v>
      </c>
      <c r="N444" s="3">
        <v>45897.97483796296</v>
      </c>
      <c r="O444" s="3">
        <v>45896.333333333336</v>
      </c>
      <c r="P444" s="3">
        <v>45897.97483796296</v>
      </c>
      <c r="Q444" s="2" t="str">
        <f>=HYPERLINK("https://applink.feishu.cn/client/todo/task_list?guid=4d92b9af-66d1-4cd7-95d1-4b753a64ca6b", "跃入迷城")</f>
        <v>跃入迷城</v>
      </c>
      <c r="R444" t="inlineStr">
        <is>
          <t>4d92b9af-66d1-4cd7-95d1-4b753a64ca6b</t>
        </is>
      </c>
      <c r="S444" t="inlineStr">
        <is>
          <t>f93775ef-98c3-42ad-a519-a0d64ec6170f</t>
        </is>
      </c>
      <c r="T444">
        <v>0</v>
      </c>
      <c r="U444">
        <v>0</v>
      </c>
      <c r="V444" t="inlineStr">
        <is>
          <t>0.0.5</t>
        </is>
      </c>
      <c r="W444" t="inlineStr">
        <is>
          <t>已完成</t>
        </is>
      </c>
      <c r="X444" t="inlineStr">
        <is>
          <t>🎨艺术</t>
        </is>
      </c>
      <c r="Y444" t="inlineStr">
        <is>
          <t>平面美术</t>
        </is>
      </c>
      <c r="Z444"/>
      <c r="AA444"/>
      <c r="AB444"/>
      <c r="AC444" t="inlineStr">
        <is>
          <t>e3d69f11-f540-4c21-b086-7537e7292dc4</t>
        </is>
      </c>
      <c r="AD444" t="inlineStr">
        <is>
          <t>NzUzMjAzNDQ5ODk2NDY2ODQ0NDpmOTM3NzVlZi05OGMzLTQyYWQtYTUxOS1hMGQ2NGVjNjE3MGY6MDJlMzI2ZDIzZGY5NmZmNjk1NTU4MzNmMGE3MzM5MWY6MQ==</t>
        </is>
      </c>
      <c r="AE444">
        <v>4</v>
      </c>
    </row>
    <row r="445" ht="25.5" customHeight="1">
      <c r="A445" s="2" t="str">
        <f>=HYPERLINK("https://applink.feishu.cn/client/todo/detail?guid=431a4afd-fc5f-46d4-896b-22b992d1dc02&amp;suite_entity_num=t101063", "绘制P3 &lt; https://dikpa4hrtn9.feishu.cn/wiki/HqAOwpqMEiXjYjkdDjic89CZnmb插图")</f>
        <v>绘制P3 &lt; https://dikpa4hrtn9.feishu.cn/wiki/HqAOwpqMEiXjYjkdDjic89CZnmb插图</v>
      </c>
      <c r="B445"/>
      <c r="C445" t="inlineStr">
        <is>
          <t>默认分组</t>
        </is>
      </c>
      <c r="D445" t="inlineStr">
        <is>
          <t>1</t>
        </is>
      </c>
      <c r="E445" t="inlineStr">
        <is>
          <t>或签任务</t>
        </is>
      </c>
      <c r="F445"/>
      <c r="G445" t="inlineStr">
        <is>
          <t>0</t>
        </is>
      </c>
      <c r="H445"/>
      <c r="I445" t="inlineStr">
        <is>
          <t>瞿敬雄</t>
        </is>
      </c>
      <c r="J445" t="inlineStr">
        <is>
          <t>龚政涛,瞿敬雄</t>
        </is>
      </c>
      <c r="K445" t="inlineStr">
        <is>
          <t>龚政涛</t>
        </is>
      </c>
      <c r="L445" s="3">
        <v>45895.47887731482</v>
      </c>
      <c r="M445" s="3">
        <v>45895.333333333336</v>
      </c>
      <c r="N445" s="3">
        <v>45904.90920138889</v>
      </c>
      <c r="O445" s="3">
        <v>45897.333333333336</v>
      </c>
      <c r="P445" s="3">
        <v>45904.90920138889</v>
      </c>
      <c r="Q445" s="2" t="str">
        <f>=HYPERLINK("https://applink.feishu.cn/client/todo/task_list?guid=4d92b9af-66d1-4cd7-95d1-4b753a64ca6b", "跃入迷城")</f>
        <v>跃入迷城</v>
      </c>
      <c r="R445" t="inlineStr">
        <is>
          <t>4d92b9af-66d1-4cd7-95d1-4b753a64ca6b</t>
        </is>
      </c>
      <c r="S445" t="inlineStr">
        <is>
          <t>431a4afd-fc5f-46d4-896b-22b992d1dc02</t>
        </is>
      </c>
      <c r="T445">
        <v>0</v>
      </c>
      <c r="U445">
        <v>2</v>
      </c>
      <c r="V445" t="inlineStr">
        <is>
          <t>0.0.5</t>
        </is>
      </c>
      <c r="W445" t="inlineStr">
        <is>
          <t>已废弃</t>
        </is>
      </c>
      <c r="X445" t="inlineStr">
        <is>
          <t>🎨艺术</t>
        </is>
      </c>
      <c r="Y445" t="inlineStr">
        <is>
          <t>平面美术</t>
        </is>
      </c>
      <c r="Z445"/>
      <c r="AA445"/>
      <c r="AB445"/>
      <c r="AC445" t="inlineStr">
        <is>
          <t>e3d69f11-f540-4c21-b086-7537e7292dc4</t>
        </is>
      </c>
      <c r="AD445" t="inlineStr">
        <is>
          <t>NzUzMjAzNDQ5ODk2NDY2ODQ0NDo0MzFhNGFmZC1mYzVmLTQ2ZDQtODk2Yi0yMmI5OTJkMWRjMDI6ZWVhYjRiYWVkZmJlNzFmYzVkY2U5MWZlNDFlNWU1OTc6MQ==</t>
        </is>
      </c>
      <c r="AE445">
        <v>4</v>
      </c>
    </row>
    <row r="446" ht="25.5" customHeight="1">
      <c xml:space="preserve" r="A446" s="2" t="str">
        <f>=HYPERLINK("https://applink.feishu.cn/client/todo/detail?guid=ec9c1736-841a-4c8f-835c-3b81dc0827f2&amp;suite_entity_num=t101072", "电梯模型 &lt; ✨新增：墙壁、地面、门、窗、电梯制作了定制模型，以更好的呈现正式版本的视觉风格 ")</f>
        <v>电梯模型 &lt; ✨新增：墙壁、地面、门、窗、电梯制作了定制模型，以更好的呈现正式版本的视觉风格 </v>
      </c>
      <c r="B446"/>
      <c r="C446" t="inlineStr">
        <is>
          <t>默认分组</t>
        </is>
      </c>
      <c r="D446" t="inlineStr">
        <is>
          <t>0</t>
        </is>
      </c>
      <c r="E446" t="inlineStr">
        <is>
          <t>或签任务</t>
        </is>
      </c>
      <c r="F446"/>
      <c r="G446" t="inlineStr">
        <is>
          <t>0</t>
        </is>
      </c>
      <c r="H446">
        <v>1</v>
      </c>
      <c r="I446" t="inlineStr">
        <is>
          <t>陈吉瑞</t>
        </is>
      </c>
      <c r="J446" t="inlineStr">
        <is>
          <t>龚政涛,陈吉瑞</t>
        </is>
      </c>
      <c r="K446" t="inlineStr">
        <is>
          <t>龚政涛</t>
        </is>
      </c>
      <c r="L446" s="3">
        <v>45895.487175925926</v>
      </c>
      <c r="M446" s="3"/>
      <c r="N446" s="3"/>
      <c r="O446" s="3"/>
      <c r="P446" s="3">
        <v>45895.48847222222</v>
      </c>
      <c r="Q446" s="2" t="str">
        <f>=HYPERLINK("https://applink.feishu.cn/client/todo/task_list?guid=4d92b9af-66d1-4cd7-95d1-4b753a64ca6b", "跃入迷城")</f>
        <v>跃入迷城</v>
      </c>
      <c r="R446" t="inlineStr">
        <is>
          <t>4d92b9af-66d1-4cd7-95d1-4b753a64ca6b</t>
        </is>
      </c>
      <c r="S446" t="inlineStr">
        <is>
          <t>ec9c1736-841a-4c8f-835c-3b81dc0827f2</t>
        </is>
      </c>
      <c r="T446">
        <v>2</v>
      </c>
      <c r="U446">
        <v>0</v>
      </c>
      <c r="V446" t="inlineStr">
        <is>
          <t>0.0.5</t>
        </is>
      </c>
      <c r="W446" t="inlineStr">
        <is>
          <t>已拆分</t>
        </is>
      </c>
      <c r="X446" t="inlineStr">
        <is>
          <t>🎨艺术</t>
        </is>
      </c>
      <c r="Y446" t="inlineStr">
        <is>
          <t>模型</t>
        </is>
      </c>
      <c r="Z446"/>
      <c r="AA446"/>
      <c r="AB446"/>
      <c r="AC446" t="inlineStr">
        <is>
          <t>b5b3cf09-e2af-4f6b-885e-c3afc23421c1</t>
        </is>
      </c>
      <c r="AD446" t="inlineStr">
        <is>
          <t>NzUzMjAzNDQ5ODk2NDY2ODQ0NDplYzljMTczNi04NDFhLTRjOGYtODM1Yy0zYjgxZGMwODI3ZjI6OGFlYTlmMzVkZTM3NjU4YTM1NDYzMDVmNzE5NTI4ZDM6MQ==</t>
        </is>
      </c>
      <c r="AE446"/>
    </row>
    <row r="447" ht="25.5" customHeight="1">
      <c r="A447" s="2" t="str">
        <f>=HYPERLINK("https://applink.feishu.cn/client/todo/detail?guid=5177bc0c-61b5-463e-bef4-414bbe9e91d3&amp;suite_entity_num=t101073", "模型 &lt; 电梯模型")</f>
        <v>模型 &lt; 电梯模型</v>
      </c>
      <c r="B447"/>
      <c r="C447" t="inlineStr">
        <is>
          <t>默认分组</t>
        </is>
      </c>
      <c r="D447" t="inlineStr">
        <is>
          <t>1</t>
        </is>
      </c>
      <c r="E447" t="inlineStr">
        <is>
          <t>或签任务</t>
        </is>
      </c>
      <c r="F447"/>
      <c r="G447" t="inlineStr">
        <is>
          <t>0</t>
        </is>
      </c>
      <c r="H447"/>
      <c r="I447" t="inlineStr">
        <is>
          <t>陈吉瑞</t>
        </is>
      </c>
      <c r="J447" t="inlineStr">
        <is>
          <t>龚政涛,陈吉瑞</t>
        </is>
      </c>
      <c r="K447" t="inlineStr">
        <is>
          <t>龚政涛</t>
        </is>
      </c>
      <c r="L447" s="3">
        <v>45895.48740740741</v>
      </c>
      <c r="M447" s="3">
        <v>45895.333333333336</v>
      </c>
      <c r="N447" s="3">
        <v>45896.51274305556</v>
      </c>
      <c r="O447" s="3">
        <v>45895.333333333336</v>
      </c>
      <c r="P447" s="3">
        <v>45896.51275462963</v>
      </c>
      <c r="Q447" s="2" t="str">
        <f>=HYPERLINK("https://applink.feishu.cn/client/todo/task_list?guid=4d92b9af-66d1-4cd7-95d1-4b753a64ca6b", "跃入迷城")</f>
        <v>跃入迷城</v>
      </c>
      <c r="R447" t="inlineStr">
        <is>
          <t>4d92b9af-66d1-4cd7-95d1-4b753a64ca6b</t>
        </is>
      </c>
      <c r="S447" t="inlineStr">
        <is>
          <t>5177bc0c-61b5-463e-bef4-414bbe9e91d3</t>
        </is>
      </c>
      <c r="T447">
        <v>0</v>
      </c>
      <c r="U447">
        <v>0</v>
      </c>
      <c r="V447" t="inlineStr">
        <is>
          <t>0.0.5</t>
        </is>
      </c>
      <c r="W447" t="inlineStr">
        <is>
          <t>已完成</t>
        </is>
      </c>
      <c r="X447" t="inlineStr">
        <is>
          <t>🎨艺术</t>
        </is>
      </c>
      <c r="Y447" t="inlineStr">
        <is>
          <t>模型</t>
        </is>
      </c>
      <c r="Z447"/>
      <c r="AA447"/>
      <c r="AB447"/>
      <c r="AC447" t="inlineStr">
        <is>
          <t>ec9c1736-841a-4c8f-835c-3b81dc0827f2</t>
        </is>
      </c>
      <c r="AD447" t="inlineStr">
        <is>
          <t>NzUzMjAzNDQ5ODk2NDY2ODQ0NDo1MTc3YmMwYy02MWI1LTQ2M2UtYmVmNC00MTRiYmU5ZTkxZDM6OThmNjU4ZTI0MWViZWMwYTIyOTY2Yzc2MWExNTcyOGQ6MQ==</t>
        </is>
      </c>
      <c r="AE447">
        <v>2</v>
      </c>
    </row>
    <row r="448" ht="25.5" customHeight="1">
      <c r="A448" s="2" t="str">
        <f>=HYPERLINK("https://applink.feishu.cn/client/todo/detail?guid=54fd40ec-19a9-4c94-bd9c-21128f0e469a&amp;suite_entity_num=t101069", "贴图B &lt; 墙面模型")</f>
        <v>贴图B &lt; 墙面模型</v>
      </c>
      <c r="B448"/>
      <c r="C448" t="inlineStr">
        <is>
          <t>默认分组</t>
        </is>
      </c>
      <c r="D448" t="inlineStr">
        <is>
          <t>1</t>
        </is>
      </c>
      <c r="E448" t="inlineStr">
        <is>
          <t>或签任务</t>
        </is>
      </c>
      <c r="F448"/>
      <c r="G448" t="inlineStr">
        <is>
          <t>0</t>
        </is>
      </c>
      <c r="H448"/>
      <c r="I448" t="inlineStr">
        <is>
          <t>陈吉瑞</t>
        </is>
      </c>
      <c r="J448" t="inlineStr">
        <is>
          <t>陈吉瑞,龚政涛</t>
        </is>
      </c>
      <c r="K448" t="inlineStr">
        <is>
          <t>龚政涛</t>
        </is>
      </c>
      <c r="L448" s="3">
        <v>45895.48349537037</v>
      </c>
      <c r="M448" s="3">
        <v>45895.333333333336</v>
      </c>
      <c r="N448" s="3">
        <v>45896.51289351852</v>
      </c>
      <c r="O448" s="3">
        <v>45895.333333333336</v>
      </c>
      <c r="P448" s="3">
        <v>45896.51290509259</v>
      </c>
      <c r="Q448" s="2" t="str">
        <f>=HYPERLINK("https://applink.feishu.cn/client/todo/task_list?guid=4d92b9af-66d1-4cd7-95d1-4b753a64ca6b", "跃入迷城")</f>
        <v>跃入迷城</v>
      </c>
      <c r="R448" t="inlineStr">
        <is>
          <t>4d92b9af-66d1-4cd7-95d1-4b753a64ca6b</t>
        </is>
      </c>
      <c r="S448" t="inlineStr">
        <is>
          <t>54fd40ec-19a9-4c94-bd9c-21128f0e469a</t>
        </is>
      </c>
      <c r="T448">
        <v>0</v>
      </c>
      <c r="U448">
        <v>0</v>
      </c>
      <c r="V448" t="inlineStr">
        <is>
          <t>0.0.5</t>
        </is>
      </c>
      <c r="W448" t="inlineStr">
        <is>
          <t>已完成</t>
        </is>
      </c>
      <c r="X448" t="inlineStr">
        <is>
          <t>🎨艺术</t>
        </is>
      </c>
      <c r="Y448" t="inlineStr">
        <is>
          <t>模型</t>
        </is>
      </c>
      <c r="Z448"/>
      <c r="AA448"/>
      <c r="AB448"/>
      <c r="AC448" t="inlineStr">
        <is>
          <t>601c8e2a-259f-48ef-9a90-be92531e9aa1</t>
        </is>
      </c>
      <c r="AD448" t="inlineStr">
        <is>
          <t>NzUzMjAzNDQ5ODk2NDY2ODQ0NDo1NGZkNDBlYy0xOWE5LTRjOTQtYmQ5Yy0yMTEyOGYwZTQ2OWE6NDU4NGMwZDJmYWIzZTBmNGFiNzExN2VjZWExOTBlZjE6MQ==</t>
        </is>
      </c>
      <c r="AE448">
        <v>2</v>
      </c>
    </row>
    <row r="449" ht="25.5" customHeight="1">
      <c r="A449" s="2" t="str">
        <f>=HYPERLINK("https://applink.feishu.cn/client/todo/detail?guid=f1819784-3bce-408e-97e5-f52a01b778d2&amp;suite_entity_num=t101071", "贴图A &lt; 地面模型")</f>
        <v>贴图A &lt; 地面模型</v>
      </c>
      <c r="B449"/>
      <c r="C449" t="inlineStr">
        <is>
          <t>默认分组</t>
        </is>
      </c>
      <c r="D449" t="inlineStr">
        <is>
          <t>1</t>
        </is>
      </c>
      <c r="E449" t="inlineStr">
        <is>
          <t>或签任务</t>
        </is>
      </c>
      <c r="F449"/>
      <c r="G449" t="inlineStr">
        <is>
          <t>0</t>
        </is>
      </c>
      <c r="H449"/>
      <c r="I449" t="inlineStr">
        <is>
          <t>陈吉瑞</t>
        </is>
      </c>
      <c r="J449" t="inlineStr">
        <is>
          <t>陈吉瑞,龚政涛</t>
        </is>
      </c>
      <c r="K449" t="inlineStr">
        <is>
          <t>龚政涛</t>
        </is>
      </c>
      <c r="L449" s="3">
        <v>45895.48386574074</v>
      </c>
      <c r="M449" s="3">
        <v>45895.333333333336</v>
      </c>
      <c r="N449" s="3">
        <v>45904.90894675926</v>
      </c>
      <c r="O449" s="3">
        <v>45897.333333333336</v>
      </c>
      <c r="P449" s="3">
        <v>45904.90894675926</v>
      </c>
      <c r="Q449" s="2" t="str">
        <f>=HYPERLINK("https://applink.feishu.cn/client/todo/task_list?guid=4d92b9af-66d1-4cd7-95d1-4b753a64ca6b", "跃入迷城")</f>
        <v>跃入迷城</v>
      </c>
      <c r="R449" t="inlineStr">
        <is>
          <t>4d92b9af-66d1-4cd7-95d1-4b753a64ca6b</t>
        </is>
      </c>
      <c r="S449" t="inlineStr">
        <is>
          <t>f1819784-3bce-408e-97e5-f52a01b778d2</t>
        </is>
      </c>
      <c r="T449">
        <v>0</v>
      </c>
      <c r="U449">
        <v>0</v>
      </c>
      <c r="V449" t="inlineStr">
        <is>
          <t>0.0.5</t>
        </is>
      </c>
      <c r="W449" t="inlineStr">
        <is>
          <t>工作中</t>
        </is>
      </c>
      <c r="X449" t="inlineStr">
        <is>
          <t>🎨艺术</t>
        </is>
      </c>
      <c r="Y449" t="inlineStr">
        <is>
          <t>模型</t>
        </is>
      </c>
      <c r="Z449" t="inlineStr">
        <is>
          <t>P1 - Bigger the Better</t>
        </is>
      </c>
      <c r="AA449"/>
      <c r="AB449"/>
      <c r="AC449" t="inlineStr">
        <is>
          <t>70ba16f2-4136-4dbe-b044-6918afe6bf89</t>
        </is>
      </c>
      <c r="AD449" t="inlineStr">
        <is>
          <t>NzUzMjAzNDQ5ODk2NDY2ODQ0NDpmMTgxOTc4NC0zYmNlLTQwOGUtOTdlNS1mNTJhMDFiNzc4ZDI6NzYwZjUyNGEyNzA5NTMwMGMzMDI4ZDRmNWYxMGExODU6MQ==</t>
        </is>
      </c>
      <c r="AE449">
        <v>2</v>
      </c>
    </row>
    <row r="450" ht="25.5" customHeight="1">
      <c r="A450" s="2" t="str">
        <f>=HYPERLINK("https://applink.feishu.cn/client/todo/detail?guid=7481ae3d-88e3-4d51-8e19-4cd445ec8941&amp;suite_entity_num=t101085", "增加总武器等级/义体数量/走私金额信息 &lt; 仓库 - 安全屋")</f>
        <v>增加总武器等级/义体数量/走私金额信息 &lt; 仓库 - 安全屋</v>
      </c>
      <c r="B450"/>
      <c r="C450" t="inlineStr">
        <is>
          <t>默认分组</t>
        </is>
      </c>
      <c r="D450" t="inlineStr">
        <is>
          <t>1</t>
        </is>
      </c>
      <c r="E450" t="inlineStr">
        <is>
          <t>或签任务</t>
        </is>
      </c>
      <c r="F450"/>
      <c r="G450" t="inlineStr">
        <is>
          <t>0</t>
        </is>
      </c>
      <c r="H450"/>
      <c r="I450" t="inlineStr">
        <is>
          <t>郭斯已</t>
        </is>
      </c>
      <c r="J450" t="inlineStr">
        <is>
          <t>龚政涛,郭斯已</t>
        </is>
      </c>
      <c r="K450" t="inlineStr">
        <is>
          <t>龚政涛</t>
        </is>
      </c>
      <c r="L450" s="3">
        <v>45895.49899305555</v>
      </c>
      <c r="M450" s="3">
        <v>45895.333333333336</v>
      </c>
      <c r="N450" s="3">
        <v>45896.507152777776</v>
      </c>
      <c r="O450" s="3">
        <v>45895.333333333336</v>
      </c>
      <c r="P450" s="3">
        <v>45896.50716435185</v>
      </c>
      <c r="Q450" s="2" t="str">
        <f>=HYPERLINK("https://applink.feishu.cn/client/todo/task_list?guid=4d92b9af-66d1-4cd7-95d1-4b753a64ca6b", "跃入迷城")</f>
        <v>跃入迷城</v>
      </c>
      <c r="R450" t="inlineStr">
        <is>
          <t>4d92b9af-66d1-4cd7-95d1-4b753a64ca6b</t>
        </is>
      </c>
      <c r="S450" t="inlineStr">
        <is>
          <t>7481ae3d-88e3-4d51-8e19-4cd445ec8941</t>
        </is>
      </c>
      <c r="T450">
        <v>0</v>
      </c>
      <c r="U450">
        <v>0</v>
      </c>
      <c r="V450" t="inlineStr">
        <is>
          <t>0.0.5</t>
        </is>
      </c>
      <c r="W450" t="inlineStr">
        <is>
          <t>已完成</t>
        </is>
      </c>
      <c r="X450" t="inlineStr">
        <is>
          <t>🎨艺术</t>
        </is>
      </c>
      <c r="Y450" t="inlineStr">
        <is>
          <t>UIUX</t>
        </is>
      </c>
      <c r="Z450"/>
      <c r="AA450"/>
      <c r="AB450"/>
      <c r="AC450" t="inlineStr">
        <is>
          <t>a050c946-a0d1-45ed-a03b-aa9e62bbfddc</t>
        </is>
      </c>
      <c r="AD450" t="inlineStr">
        <is>
          <t>NzUzMjAzNDQ5ODk2NDY2ODQ0NDo3NDgxYWUzZC04OGUzLTRkNTEtOGUxOS00Y2Q0NDVlYzg5NDE6N2E2OTI0NTYyYTUxZmZjOWI2YTNhNjNiMjRjZGE4YmM6MQ==</t>
        </is>
      </c>
      <c r="AE450">
        <v>1</v>
      </c>
    </row>
    <row r="451" ht="25.5" customHeight="1">
      <c r="A451" s="2" t="str">
        <f>=HYPERLINK("https://applink.feishu.cn/client/todo/detail?guid=a5913a7e-1ee8-4ffe-bf36-f543fea3895f&amp;suite_entity_num=t101083", "武器Hover卡片：需要整理左侧布局；增加对比布局 &lt; 仓库 - 安全屋")</f>
        <v>武器Hover卡片：需要整理左侧布局；增加对比布局 &lt; 仓库 - 安全屋</v>
      </c>
      <c r="B451"/>
      <c r="C451" t="inlineStr">
        <is>
          <t>默认分组</t>
        </is>
      </c>
      <c r="D451" t="inlineStr">
        <is>
          <t>1</t>
        </is>
      </c>
      <c r="E451" t="inlineStr">
        <is>
          <t>或签任务</t>
        </is>
      </c>
      <c r="F451"/>
      <c r="G451" t="inlineStr">
        <is>
          <t>0</t>
        </is>
      </c>
      <c r="H451"/>
      <c r="I451" t="inlineStr">
        <is>
          <t>郭斯已</t>
        </is>
      </c>
      <c r="J451" t="inlineStr">
        <is>
          <t>龚政涛,郭斯已</t>
        </is>
      </c>
      <c r="K451" t="inlineStr">
        <is>
          <t>龚政涛</t>
        </is>
      </c>
      <c r="L451" s="3">
        <v>45895.49888888889</v>
      </c>
      <c r="M451" s="3">
        <v>45895.333333333336</v>
      </c>
      <c r="N451" s="3">
        <v>45896.507743055554</v>
      </c>
      <c r="O451" s="3">
        <v>45895.333333333336</v>
      </c>
      <c r="P451" s="3">
        <v>45896.50775462963</v>
      </c>
      <c r="Q451" s="2" t="str">
        <f>=HYPERLINK("https://applink.feishu.cn/client/todo/task_list?guid=4d92b9af-66d1-4cd7-95d1-4b753a64ca6b", "跃入迷城")</f>
        <v>跃入迷城</v>
      </c>
      <c r="R451" t="inlineStr">
        <is>
          <t>4d92b9af-66d1-4cd7-95d1-4b753a64ca6b</t>
        </is>
      </c>
      <c r="S451" t="inlineStr">
        <is>
          <t>a5913a7e-1ee8-4ffe-bf36-f543fea3895f</t>
        </is>
      </c>
      <c r="T451">
        <v>0</v>
      </c>
      <c r="U451">
        <v>0</v>
      </c>
      <c r="V451" t="inlineStr">
        <is>
          <t>0.0.5</t>
        </is>
      </c>
      <c r="W451" t="inlineStr">
        <is>
          <t>已完成</t>
        </is>
      </c>
      <c r="X451" t="inlineStr">
        <is>
          <t>🎨艺术</t>
        </is>
      </c>
      <c r="Y451" t="inlineStr">
        <is>
          <t>UIUX</t>
        </is>
      </c>
      <c r="Z451"/>
      <c r="AA451"/>
      <c r="AB451"/>
      <c r="AC451" t="inlineStr">
        <is>
          <t>a050c946-a0d1-45ed-a03b-aa9e62bbfddc</t>
        </is>
      </c>
      <c r="AD451" t="inlineStr">
        <is>
          <t>NzUzMjAzNDQ5ODk2NDY2ODQ0NDphNTkxM2E3ZS0xZWU4LTRmZmUtYmYzNi1mNTQzZmVhMzg5NWY6YzU2MDcxYmYzNWM5ZTk2MzI3YzZhZTU2YjUzNGJkODI6MQ==</t>
        </is>
      </c>
      <c r="AE451">
        <v>1</v>
      </c>
    </row>
    <row r="452" ht="25.5" customHeight="1">
      <c r="A452" s="2" t="str">
        <f>=HYPERLINK("https://applink.feishu.cn/client/todo/detail?guid=96580d8d-47aa-44d5-b1c9-785b06f8bb18&amp;suite_entity_num=t101081", "初版 &lt; 仓库 - 安全屋")</f>
        <v>初版 &lt; 仓库 - 安全屋</v>
      </c>
      <c r="B452"/>
      <c r="C452" t="inlineStr">
        <is>
          <t>默认分组</t>
        </is>
      </c>
      <c r="D452" t="inlineStr">
        <is>
          <t>1</t>
        </is>
      </c>
      <c r="E452" t="inlineStr">
        <is>
          <t>或签任务</t>
        </is>
      </c>
      <c r="F452"/>
      <c r="G452" t="inlineStr">
        <is>
          <t>0</t>
        </is>
      </c>
      <c r="H452"/>
      <c r="I452" t="inlineStr">
        <is>
          <t>郭斯已</t>
        </is>
      </c>
      <c r="J452" t="inlineStr">
        <is>
          <t>龚政涛,郭斯已</t>
        </is>
      </c>
      <c r="K452" t="inlineStr">
        <is>
          <t>龚政涛</t>
        </is>
      </c>
      <c r="L452" s="3">
        <v>45895.49873842593</v>
      </c>
      <c r="M452" s="3"/>
      <c r="N452" s="3">
        <v>45895.49922453704</v>
      </c>
      <c r="O452" s="3"/>
      <c r="P452" s="3">
        <v>45895.500451388885</v>
      </c>
      <c r="Q452" s="2" t="str">
        <f>=HYPERLINK("https://applink.feishu.cn/client/todo/task_list?guid=4d92b9af-66d1-4cd7-95d1-4b753a64ca6b", "跃入迷城")</f>
        <v>跃入迷城</v>
      </c>
      <c r="R452" t="inlineStr">
        <is>
          <t>4d92b9af-66d1-4cd7-95d1-4b753a64ca6b</t>
        </is>
      </c>
      <c r="S452" t="inlineStr">
        <is>
          <t>96580d8d-47aa-44d5-b1c9-785b06f8bb18</t>
        </is>
      </c>
      <c r="T452">
        <v>0</v>
      </c>
      <c r="U452">
        <v>0</v>
      </c>
      <c r="V452" t="inlineStr">
        <is>
          <t>0.0.5</t>
        </is>
      </c>
      <c r="W452" t="inlineStr">
        <is>
          <t>已完成</t>
        </is>
      </c>
      <c r="X452" t="inlineStr">
        <is>
          <t>🎨艺术</t>
        </is>
      </c>
      <c r="Y452" t="inlineStr">
        <is>
          <t>UIUX</t>
        </is>
      </c>
      <c r="Z452"/>
      <c r="AA452"/>
      <c r="AB452"/>
      <c r="AC452" t="inlineStr">
        <is>
          <t>a050c946-a0d1-45ed-a03b-aa9e62bbfddc</t>
        </is>
      </c>
      <c r="AD452" t="inlineStr">
        <is>
          <t>NzUzMjAzNDQ5ODk2NDY2ODQ0NDo5NjU4MGQ4ZC00N2FhLTQ0ZDUtYjFjOS03ODViMDZmOGJiMTg6ZWNlZjcyNmUzZDg3ZGU3OGE3NDQ1NGQ4OWYwZWFlMmI6MQ==</t>
        </is>
      </c>
      <c r="AE452">
        <v>2</v>
      </c>
    </row>
    <row r="453" ht="25.5" customHeight="1">
      <c r="A453" s="2" t="str">
        <f>=HYPERLINK("https://applink.feishu.cn/client/todo/detail?guid=4394f782-c2a4-412a-934a-818673ea1144&amp;suite_entity_num=t101082", "Hover卡片：需要添加技能详情 &lt; 仓库 - 安全屋")</f>
        <v>Hover卡片：需要添加技能详情 &lt; 仓库 - 安全屋</v>
      </c>
      <c r="B453"/>
      <c r="C453" t="inlineStr">
        <is>
          <t>默认分组</t>
        </is>
      </c>
      <c r="D453" t="inlineStr">
        <is>
          <t>1</t>
        </is>
      </c>
      <c r="E453" t="inlineStr">
        <is>
          <t>或签任务</t>
        </is>
      </c>
      <c r="F453"/>
      <c r="G453" t="inlineStr">
        <is>
          <t>0</t>
        </is>
      </c>
      <c r="H453"/>
      <c r="I453" t="inlineStr">
        <is>
          <t>郭斯已</t>
        </is>
      </c>
      <c r="J453" t="inlineStr">
        <is>
          <t>郭斯已,龚政涛</t>
        </is>
      </c>
      <c r="K453" t="inlineStr">
        <is>
          <t>龚政涛</t>
        </is>
      </c>
      <c r="L453" s="3">
        <v>45895.498761574076</v>
      </c>
      <c r="M453" s="3">
        <v>45895.333333333336</v>
      </c>
      <c r="N453" s="3">
        <v>45896.51259259259</v>
      </c>
      <c r="O453" s="3">
        <v>45895.333333333336</v>
      </c>
      <c r="P453" s="3">
        <v>45896.512604166666</v>
      </c>
      <c r="Q453" s="2" t="str">
        <f>=HYPERLINK("https://applink.feishu.cn/client/todo/task_list?guid=4d92b9af-66d1-4cd7-95d1-4b753a64ca6b", "跃入迷城")</f>
        <v>跃入迷城</v>
      </c>
      <c r="R453" t="inlineStr">
        <is>
          <t>4d92b9af-66d1-4cd7-95d1-4b753a64ca6b</t>
        </is>
      </c>
      <c r="S453" t="inlineStr">
        <is>
          <t>4394f782-c2a4-412a-934a-818673ea1144</t>
        </is>
      </c>
      <c r="T453">
        <v>0</v>
      </c>
      <c r="U453">
        <v>0</v>
      </c>
      <c r="V453" t="inlineStr">
        <is>
          <t>0.0.5</t>
        </is>
      </c>
      <c r="W453" t="inlineStr">
        <is>
          <t>已完成</t>
        </is>
      </c>
      <c r="X453" t="inlineStr">
        <is>
          <t>🎨艺术</t>
        </is>
      </c>
      <c r="Y453" t="inlineStr">
        <is>
          <t>UIUX</t>
        </is>
      </c>
      <c r="Z453"/>
      <c r="AA453"/>
      <c r="AB453"/>
      <c r="AC453" t="inlineStr">
        <is>
          <t>a050c946-a0d1-45ed-a03b-aa9e62bbfddc</t>
        </is>
      </c>
      <c r="AD453" t="inlineStr">
        <is>
          <t>NzUzMjAzNDQ5ODk2NDY2ODQ0NDo0Mzk0Zjc4Mi1jMmE0LTQxMmEtOTM0YS04MTg2NzNlYTExNDQ6ZmE2Y2JkNDE4OThkZTFhMzFlNDUyMDI5ZTBlMjdjNjY6MQ==</t>
        </is>
      </c>
      <c r="AE453">
        <v>1</v>
      </c>
    </row>
    <row r="454" ht="25.5" customHeight="1">
      <c r="A454" s="2" t="str">
        <f>=HYPERLINK("https://applink.feishu.cn/client/todo/detail?guid=d7ccf90c-8d50-4196-b003-afd288007c78&amp;suite_entity_num=t101084", "调整选中特效 &lt; 仓库 - 安全屋")</f>
        <v>调整选中特效 &lt; 仓库 - 安全屋</v>
      </c>
      <c r="B454"/>
      <c r="C454" t="inlineStr">
        <is>
          <t>默认分组</t>
        </is>
      </c>
      <c r="D454" t="inlineStr">
        <is>
          <t>1</t>
        </is>
      </c>
      <c r="E454" t="inlineStr">
        <is>
          <t>或签任务</t>
        </is>
      </c>
      <c r="F454"/>
      <c r="G454" t="inlineStr">
        <is>
          <t>0</t>
        </is>
      </c>
      <c r="H454"/>
      <c r="I454" t="inlineStr">
        <is>
          <t>郭斯已</t>
        </is>
      </c>
      <c r="J454" t="inlineStr">
        <is>
          <t>龚政涛,郭斯已</t>
        </is>
      </c>
      <c r="K454" t="inlineStr">
        <is>
          <t>龚政涛</t>
        </is>
      </c>
      <c r="L454" s="3">
        <v>45895.49894675926</v>
      </c>
      <c r="M454" s="3">
        <v>45895.333333333336</v>
      </c>
      <c r="N454" s="3">
        <v>45896.507199074076</v>
      </c>
      <c r="O454" s="3">
        <v>45895.333333333336</v>
      </c>
      <c r="P454" s="3">
        <v>45896.507210648146</v>
      </c>
      <c r="Q454" s="2" t="str">
        <f>=HYPERLINK("https://applink.feishu.cn/client/todo/task_list?guid=4d92b9af-66d1-4cd7-95d1-4b753a64ca6b", "跃入迷城")</f>
        <v>跃入迷城</v>
      </c>
      <c r="R454" t="inlineStr">
        <is>
          <t>4d92b9af-66d1-4cd7-95d1-4b753a64ca6b</t>
        </is>
      </c>
      <c r="S454" t="inlineStr">
        <is>
          <t>d7ccf90c-8d50-4196-b003-afd288007c78</t>
        </is>
      </c>
      <c r="T454">
        <v>0</v>
      </c>
      <c r="U454">
        <v>0</v>
      </c>
      <c r="V454" t="inlineStr">
        <is>
          <t>0.0.5</t>
        </is>
      </c>
      <c r="W454" t="inlineStr">
        <is>
          <t>已完成</t>
        </is>
      </c>
      <c r="X454" t="inlineStr">
        <is>
          <t>🎨艺术</t>
        </is>
      </c>
      <c r="Y454" t="inlineStr">
        <is>
          <t>UIUX</t>
        </is>
      </c>
      <c r="Z454"/>
      <c r="AA454"/>
      <c r="AB454"/>
      <c r="AC454" t="inlineStr">
        <is>
          <t>a050c946-a0d1-45ed-a03b-aa9e62bbfddc</t>
        </is>
      </c>
      <c r="AD454" t="inlineStr">
        <is>
          <t>NzUzMjAzNDQ5ODk2NDY2ODQ0NDpkN2NjZjkwYy04ZDUwLTQxOTYtYjAwMy1hZmQyODgwMDdjNzg6NDljZGQ4MmM4OTYzNjczY2M3N2VhNzg1ZmE3NzRiNjc6MQ==</t>
        </is>
      </c>
      <c r="AE454">
        <v>1</v>
      </c>
    </row>
    <row r="455" ht="25.5" customHeight="1">
      <c r="A455" s="2" t="str">
        <f>=HYPERLINK("https://applink.feishu.cn/client/todo/detail?guid=ce3a8695-51dc-4954-a6fd-9c8561ff8b47&amp;suite_entity_num=t101086", "义体：移除圆点标线，改为横线，左侧尝试做上、下对齐,大、小指示改为2版本 &lt; 仓库 - 安全屋")</f>
        <v>义体：移除圆点标线，改为横线，左侧尝试做上、下对齐,大、小指示改为2版本 &lt; 仓库 - 安全屋</v>
      </c>
      <c r="B455"/>
      <c r="C455" t="inlineStr">
        <is>
          <t>默认分组</t>
        </is>
      </c>
      <c r="D455" t="inlineStr">
        <is>
          <t>1</t>
        </is>
      </c>
      <c r="E455" t="inlineStr">
        <is>
          <t>或签任务</t>
        </is>
      </c>
      <c r="F455"/>
      <c r="G455" t="inlineStr">
        <is>
          <t>0</t>
        </is>
      </c>
      <c r="H455"/>
      <c r="I455" t="inlineStr">
        <is>
          <t>郭斯已</t>
        </is>
      </c>
      <c r="J455" t="inlineStr">
        <is>
          <t>郭斯已,龚政涛</t>
        </is>
      </c>
      <c r="K455" t="inlineStr">
        <is>
          <t>龚政涛</t>
        </is>
      </c>
      <c r="L455" s="3">
        <v>45895.499548611115</v>
      </c>
      <c r="M455" s="3">
        <v>45895.333333333336</v>
      </c>
      <c r="N455" s="3">
        <v>45896.500925925924</v>
      </c>
      <c r="O455" s="3">
        <v>45895.333333333336</v>
      </c>
      <c r="P455" s="3">
        <v>45896.5009375</v>
      </c>
      <c r="Q455" s="2" t="str">
        <f>=HYPERLINK("https://applink.feishu.cn/client/todo/task_list?guid=4d92b9af-66d1-4cd7-95d1-4b753a64ca6b", "跃入迷城")</f>
        <v>跃入迷城</v>
      </c>
      <c r="R455" t="inlineStr">
        <is>
          <t>4d92b9af-66d1-4cd7-95d1-4b753a64ca6b</t>
        </is>
      </c>
      <c r="S455" t="inlineStr">
        <is>
          <t>ce3a8695-51dc-4954-a6fd-9c8561ff8b47</t>
        </is>
      </c>
      <c r="T455">
        <v>0</v>
      </c>
      <c r="U455">
        <v>0</v>
      </c>
      <c r="V455" t="inlineStr">
        <is>
          <t>0.0.5</t>
        </is>
      </c>
      <c r="W455" t="inlineStr">
        <is>
          <t>已完成</t>
        </is>
      </c>
      <c r="X455" t="inlineStr">
        <is>
          <t>🎨艺术</t>
        </is>
      </c>
      <c r="Y455" t="inlineStr">
        <is>
          <t>UIUX</t>
        </is>
      </c>
      <c r="Z455"/>
      <c r="AA455"/>
      <c r="AB455"/>
      <c r="AC455" t="inlineStr">
        <is>
          <t>a050c946-a0d1-45ed-a03b-aa9e62bbfddc</t>
        </is>
      </c>
      <c r="AD455" t="inlineStr">
        <is>
          <t>NzUzMjAzNDQ5ODk2NDY2ODQ0NDpjZTNhODY5NS01MWRjLTQ5NTQtYTZmZC05Yzg1NjFmZjhiNDc6ZTRmNjE1MmY0N2Y4Mjc3YThlMTU1NDEyYjBjOTQzMDM6MQ==</t>
        </is>
      </c>
      <c r="AE455">
        <v>1</v>
      </c>
    </row>
    <row r="456" ht="25.5" customHeight="1">
      <c r="A456" s="2" t="str">
        <f>=HYPERLINK("https://applink.feishu.cn/client/todo/detail?guid=514cf73b-bde5-4000-80df-a25a2a7a2a66&amp;suite_entity_num=t101078", "初版 &lt; TAB选单")</f>
        <v>初版 &lt; TAB选单</v>
      </c>
      <c r="B456"/>
      <c r="C456"/>
      <c r="D456" t="inlineStr">
        <is>
          <t>1</t>
        </is>
      </c>
      <c r="E456" t="inlineStr">
        <is>
          <t>或签任务</t>
        </is>
      </c>
      <c r="F456"/>
      <c r="G456" t="inlineStr">
        <is>
          <t>0</t>
        </is>
      </c>
      <c r="H456"/>
      <c r="I456"/>
      <c r="J456" t="inlineStr">
        <is>
          <t>龚政涛</t>
        </is>
      </c>
      <c r="K456" t="inlineStr">
        <is>
          <t>龚政涛</t>
        </is>
      </c>
      <c r="L456" s="3">
        <v>45895.49721064815</v>
      </c>
      <c r="M456" s="3">
        <v>45889.333333333336</v>
      </c>
      <c r="N456" s="3">
        <v>45895.497766203705</v>
      </c>
      <c r="O456" s="3">
        <v>45890.333333333336</v>
      </c>
      <c r="P456" s="3">
        <v>45895.497777777775</v>
      </c>
      <c r="Q456" s="2" t="str">
        <f>=HYPERLINK("https://applink.feishu.cn/client/todo/task_list?guid=4d92b9af-66d1-4cd7-95d1-4b753a64ca6b", "跃入迷城")</f>
        <v>跃入迷城</v>
      </c>
      <c r="R456" t="inlineStr">
        <is>
          <t>4d92b9af-66d1-4cd7-95d1-4b753a64ca6b</t>
        </is>
      </c>
      <c r="S456" t="inlineStr">
        <is>
          <t>514cf73b-bde5-4000-80df-a25a2a7a2a66</t>
        </is>
      </c>
      <c r="T456">
        <v>0</v>
      </c>
      <c r="U456">
        <v>0</v>
      </c>
      <c r="V456" t="inlineStr">
        <is>
          <t>0.0.5</t>
        </is>
      </c>
      <c r="W456" t="inlineStr">
        <is>
          <t>已完成</t>
        </is>
      </c>
      <c r="X456"/>
      <c r="Y456" t="inlineStr">
        <is>
          <t>UIUX</t>
        </is>
      </c>
      <c r="Z456"/>
      <c r="AA456"/>
      <c r="AB456"/>
      <c r="AC456" t="inlineStr">
        <is>
          <t>0d3b856b-3e13-4a6a-9f86-79f74024f696</t>
        </is>
      </c>
      <c r="AD456" t="inlineStr">
        <is>
          <t>NzUzMjAzNDQ5ODk2NDY2ODQ0NDo1MTRjZjczYi1iZGU1LTQwMDAtODBkZi1hMjVhMmE3YTJhNjY6ZDhjN2E4ZGEyMmM2Zjk4NjlkOGZhNDM4N2M3MWQwZTk6MQ==</t>
        </is>
      </c>
      <c r="AE456">
        <v>4</v>
      </c>
    </row>
    <row r="457" ht="25.5" customHeight="1">
      <c r="A457" s="2" t="str">
        <f>=HYPERLINK("https://applink.feishu.cn/client/todo/detail?guid=9404f3b3-bb03-405c-bf30-6d0d88378d21&amp;suite_entity_num=t101079", "初版 &lt; 无人机回寄")</f>
        <v>初版 &lt; 无人机回寄</v>
      </c>
      <c r="B457"/>
      <c r="C457" t="inlineStr">
        <is>
          <t>默认分组</t>
        </is>
      </c>
      <c r="D457" t="inlineStr">
        <is>
          <t>1</t>
        </is>
      </c>
      <c r="E457" t="inlineStr">
        <is>
          <t>或签任务</t>
        </is>
      </c>
      <c r="F457"/>
      <c r="G457" t="inlineStr">
        <is>
          <t>0</t>
        </is>
      </c>
      <c r="H457"/>
      <c r="I457" t="inlineStr">
        <is>
          <t>郭斯已</t>
        </is>
      </c>
      <c r="J457" t="inlineStr">
        <is>
          <t>龚政涛,郭斯已</t>
        </is>
      </c>
      <c r="K457" t="inlineStr">
        <is>
          <t>龚政涛</t>
        </is>
      </c>
      <c r="L457" s="3">
        <v>45895.49831018518</v>
      </c>
      <c r="M457" s="3">
        <v>45890.333333333336</v>
      </c>
      <c r="N457" s="3">
        <v>45895.501076388886</v>
      </c>
      <c r="O457" s="3">
        <v>45890.333333333336</v>
      </c>
      <c r="P457" s="3">
        <v>45895.50108796296</v>
      </c>
      <c r="Q457" s="2" t="str">
        <f>=HYPERLINK("https://applink.feishu.cn/client/todo/task_list?guid=4d92b9af-66d1-4cd7-95d1-4b753a64ca6b", "跃入迷城")</f>
        <v>跃入迷城</v>
      </c>
      <c r="R457" t="inlineStr">
        <is>
          <t>4d92b9af-66d1-4cd7-95d1-4b753a64ca6b</t>
        </is>
      </c>
      <c r="S457" t="inlineStr">
        <is>
          <t>9404f3b3-bb03-405c-bf30-6d0d88378d21</t>
        </is>
      </c>
      <c r="T457">
        <v>0</v>
      </c>
      <c r="U457">
        <v>0</v>
      </c>
      <c r="V457" t="inlineStr">
        <is>
          <t>0.0.5</t>
        </is>
      </c>
      <c r="W457" t="inlineStr">
        <is>
          <t>已完成</t>
        </is>
      </c>
      <c r="X457" t="inlineStr">
        <is>
          <t>🎨艺术</t>
        </is>
      </c>
      <c r="Y457" t="inlineStr">
        <is>
          <t>UIUX</t>
        </is>
      </c>
      <c r="Z457"/>
      <c r="AA457"/>
      <c r="AB457"/>
      <c r="AC457" t="inlineStr">
        <is>
          <t>3461e793-c350-4474-8700-e2b34acb841d</t>
        </is>
      </c>
      <c r="AD457" t="inlineStr">
        <is>
          <t>NzUzMjAzNDQ5ODk2NDY2ODQ0NDo5NDA0ZjNiMy1iYjAzLTQwNWMtYmYzMC02ZDBkODgzNzhkMjE6ZTNhODljYjBlMDUwMTA0ODg5NGNmMThhMDg5OWM4MzU6MQ==</t>
        </is>
      </c>
      <c r="AE457">
        <v>1</v>
      </c>
    </row>
    <row r="458" ht="25.5" customHeight="1">
      <c r="A458" s="2" t="str">
        <f>=HYPERLINK("https://applink.feishu.cn/client/todo/detail?guid=c7335483-8a44-4fa8-995e-ebf875d7a435&amp;suite_entity_num=t101080", "需要添加无人机已占用状态 &lt; 无人机回寄")</f>
        <v>需要添加无人机已占用状态 &lt; 无人机回寄</v>
      </c>
      <c r="B458"/>
      <c r="C458" t="inlineStr">
        <is>
          <t>默认分组</t>
        </is>
      </c>
      <c r="D458" t="inlineStr">
        <is>
          <t>1</t>
        </is>
      </c>
      <c r="E458" t="inlineStr">
        <is>
          <t>或签任务</t>
        </is>
      </c>
      <c r="F458"/>
      <c r="G458" t="inlineStr">
        <is>
          <t>0</t>
        </is>
      </c>
      <c r="H458"/>
      <c r="I458" t="inlineStr">
        <is>
          <t>郭斯已</t>
        </is>
      </c>
      <c r="J458" t="inlineStr">
        <is>
          <t>龚政涛,郭斯已</t>
        </is>
      </c>
      <c r="K458" t="inlineStr">
        <is>
          <t>龚政涛</t>
        </is>
      </c>
      <c r="L458" s="3">
        <v>45895.498449074075</v>
      </c>
      <c r="M458" s="3">
        <v>45895.333333333336</v>
      </c>
      <c r="N458" s="3">
        <v>45896.51262731481</v>
      </c>
      <c r="O458" s="3">
        <v>45895.333333333336</v>
      </c>
      <c r="P458" s="3">
        <v>45896.51263888889</v>
      </c>
      <c r="Q458" s="2" t="str">
        <f>=HYPERLINK("https://applink.feishu.cn/client/todo/task_list?guid=4d92b9af-66d1-4cd7-95d1-4b753a64ca6b", "跃入迷城")</f>
        <v>跃入迷城</v>
      </c>
      <c r="R458" t="inlineStr">
        <is>
          <t>4d92b9af-66d1-4cd7-95d1-4b753a64ca6b</t>
        </is>
      </c>
      <c r="S458" t="inlineStr">
        <is>
          <t>c7335483-8a44-4fa8-995e-ebf875d7a435</t>
        </is>
      </c>
      <c r="T458">
        <v>0</v>
      </c>
      <c r="U458">
        <v>0</v>
      </c>
      <c r="V458" t="inlineStr">
        <is>
          <t>0.0.5</t>
        </is>
      </c>
      <c r="W458" t="inlineStr">
        <is>
          <t>已完成</t>
        </is>
      </c>
      <c r="X458" t="inlineStr">
        <is>
          <t>🎨艺术</t>
        </is>
      </c>
      <c r="Y458" t="inlineStr">
        <is>
          <t>UIUX</t>
        </is>
      </c>
      <c r="Z458"/>
      <c r="AA458"/>
      <c r="AB458"/>
      <c r="AC458" t="inlineStr">
        <is>
          <t>3461e793-c350-4474-8700-e2b34acb841d</t>
        </is>
      </c>
      <c r="AD458" t="inlineStr">
        <is>
          <t>NzUzMjAzNDQ5ODk2NDY2ODQ0NDpjNzMzNTQ4My04YTQ0LTRmYTgtOTk1ZS1lYmY4NzVkN2E0MzU6NTA5Nzg0MmNhNmE5MGM0YjE0YzEyOTBiZDE1YWZlMWM6MQ==</t>
        </is>
      </c>
      <c r="AE458">
        <v>1</v>
      </c>
    </row>
    <row r="459" ht="25.5" customHeight="1">
      <c r="A459" s="2" t="str">
        <f>=HYPERLINK("https://applink.feishu.cn/client/todo/detail?guid=33ca38d5-3e70-4758-a2bf-ec5042ad3cda&amp;suite_entity_num=t101087", "模型 &lt; 六边柱模型")</f>
        <v>模型 &lt; 六边柱模型</v>
      </c>
      <c r="B459"/>
      <c r="C459" t="inlineStr">
        <is>
          <t>默认分组</t>
        </is>
      </c>
      <c r="D459" t="inlineStr">
        <is>
          <t>1</t>
        </is>
      </c>
      <c r="E459" t="inlineStr">
        <is>
          <t>或签任务</t>
        </is>
      </c>
      <c r="F459"/>
      <c r="G459" t="inlineStr">
        <is>
          <t>0</t>
        </is>
      </c>
      <c r="H459"/>
      <c r="I459" t="inlineStr">
        <is>
          <t>陈吉瑞</t>
        </is>
      </c>
      <c r="J459" t="inlineStr">
        <is>
          <t>龚政涛,陈吉瑞</t>
        </is>
      </c>
      <c r="K459" t="inlineStr">
        <is>
          <t>龚政涛</t>
        </is>
      </c>
      <c r="L459" s="3">
        <v>45897.97515046296</v>
      </c>
      <c r="M459" s="3"/>
      <c r="N459" s="3">
        <v>45950.41511574074</v>
      </c>
      <c r="O459" s="3"/>
      <c r="P459" s="3">
        <v>45950.41511574074</v>
      </c>
      <c r="Q459" s="2" t="str">
        <f>=HYPERLINK("https://applink.feishu.cn/client/todo/task_list?guid=4d92b9af-66d1-4cd7-95d1-4b753a64ca6b", "跃入迷城")</f>
        <v>跃入迷城</v>
      </c>
      <c r="R459" t="inlineStr">
        <is>
          <t>4d92b9af-66d1-4cd7-95d1-4b753a64ca6b</t>
        </is>
      </c>
      <c r="S459" t="inlineStr">
        <is>
          <t>33ca38d5-3e70-4758-a2bf-ec5042ad3cda</t>
        </is>
      </c>
      <c r="T459">
        <v>0</v>
      </c>
      <c r="U459">
        <v>0</v>
      </c>
      <c r="V459"/>
      <c r="W459" t="inlineStr">
        <is>
          <t>已完成</t>
        </is>
      </c>
      <c r="X459"/>
      <c r="Y459"/>
      <c r="Z459"/>
      <c r="AA459"/>
      <c r="AB459"/>
      <c r="AC459" t="inlineStr">
        <is>
          <t>9298b963-95f4-4c7c-ac2e-f4e4d6775a3f</t>
        </is>
      </c>
      <c r="AD459" t="inlineStr">
        <is>
          <t>NzUzMjAzNDQ5ODk2NDY2ODQ0NDozM2NhMzhkNS0zZTcwLTQ3NTgtYTJiZi1lYzUwNDJhZDNjZGE6YjZhOGI0NjgwM2ZkOGEyNGE2MmEzMDQ4NmZjYTBlYTE6MQ==</t>
        </is>
      </c>
      <c r="AE459"/>
    </row>
    <row r="460" ht="25.5" customHeight="1">
      <c r="A460" s="2" t="str">
        <f>=HYPERLINK("https://applink.feishu.cn/client/todo/detail?guid=8511facc-1a85-4c0a-bdc0-db9c10b0fc63&amp;suite_entity_num=t101088", "贴图 &lt; 六边柱模型")</f>
        <v>贴图 &lt; 六边柱模型</v>
      </c>
      <c r="B460"/>
      <c r="C460"/>
      <c r="D460" t="inlineStr">
        <is>
          <t>1</t>
        </is>
      </c>
      <c r="E460" t="inlineStr">
        <is>
          <t>或签任务</t>
        </is>
      </c>
      <c r="F460"/>
      <c r="G460" t="inlineStr">
        <is>
          <t>0</t>
        </is>
      </c>
      <c r="H460"/>
      <c r="I460" t="inlineStr">
        <is>
          <t>陈吉瑞</t>
        </is>
      </c>
      <c r="J460" t="inlineStr">
        <is>
          <t>龚政涛,陈吉瑞</t>
        </is>
      </c>
      <c r="K460" t="inlineStr">
        <is>
          <t>龚政涛</t>
        </is>
      </c>
      <c r="L460" s="3">
        <v>45897.97521990741</v>
      </c>
      <c r="M460" s="3"/>
      <c r="N460" s="3">
        <v>45950.41509259259</v>
      </c>
      <c r="O460" s="3"/>
      <c r="P460" s="3">
        <v>45950.41510416667</v>
      </c>
      <c r="Q460" s="2" t="str">
        <f>=HYPERLINK("https://applink.feishu.cn/client/todo/task_list?guid=4d92b9af-66d1-4cd7-95d1-4b753a64ca6b", "跃入迷城")</f>
        <v>跃入迷城</v>
      </c>
      <c r="R460" t="inlineStr">
        <is>
          <t>4d92b9af-66d1-4cd7-95d1-4b753a64ca6b</t>
        </is>
      </c>
      <c r="S460" t="inlineStr">
        <is>
          <t>8511facc-1a85-4c0a-bdc0-db9c10b0fc63</t>
        </is>
      </c>
      <c r="T460">
        <v>0</v>
      </c>
      <c r="U460">
        <v>0</v>
      </c>
      <c r="V460"/>
      <c r="W460" t="inlineStr">
        <is>
          <t>已完成</t>
        </is>
      </c>
      <c r="X460"/>
      <c r="Y460"/>
      <c r="Z460"/>
      <c r="AA460"/>
      <c r="AB460"/>
      <c r="AC460" t="inlineStr">
        <is>
          <t>9298b963-95f4-4c7c-ac2e-f4e4d6775a3f</t>
        </is>
      </c>
      <c r="AD460" t="inlineStr">
        <is>
          <t>NzUzMjAzNDQ5ODk2NDY2ODQ0NDo4NTExZmFjYy0xYTg1LTRjMGEtYmRjMC1kYjljMTBiMGZjNjM6MjlmMDVhMjkyOTNlNzhkZDNmMmRlMzNkYjZjY2I4Mzk6MQ==</t>
        </is>
      </c>
      <c r="AE460"/>
    </row>
    <row r="461" ht="25.5" customHeight="1">
      <c r="A461" s="2" t="str">
        <f>=HYPERLINK("https://applink.feishu.cn/client/todo/detail?guid=7a8e856b-6fb0-490a-a8e2-1209ba195a4c&amp;suite_entity_num=t101098", "P1：动作线稿 &lt; 插图：https://dikpa4hrtn9.feishu.cn/wiki/TVHDwqiUziiOeYkaluvcE9rdnJf")</f>
        <v>P1：动作线稿 &lt; 插图：https://dikpa4hrtn9.feishu.cn/wiki/TVHDwqiUziiOeYkaluvcE9rdnJf</v>
      </c>
      <c r="B461"/>
      <c r="C461" t="inlineStr">
        <is>
          <t>默认分组</t>
        </is>
      </c>
      <c r="D461" t="inlineStr">
        <is>
          <t>0</t>
        </is>
      </c>
      <c r="E461" t="inlineStr">
        <is>
          <t>或签任务</t>
        </is>
      </c>
      <c r="F461"/>
      <c r="G461" t="inlineStr">
        <is>
          <t>0</t>
        </is>
      </c>
      <c r="H461"/>
      <c r="I461" t="inlineStr">
        <is>
          <t>李贺</t>
        </is>
      </c>
      <c r="J461" t="inlineStr">
        <is>
          <t>龚政涛,Ke Huang,李贺</t>
        </is>
      </c>
      <c r="K461" t="inlineStr">
        <is>
          <t>龚政涛</t>
        </is>
      </c>
      <c r="L461" s="3">
        <v>45901.51464120371</v>
      </c>
      <c r="M461" s="3"/>
      <c r="N461" s="3"/>
      <c r="O461" s="3"/>
      <c r="P461" s="3">
        <v>45950.57581018518</v>
      </c>
      <c r="Q461" s="2" t="str">
        <f>=HYPERLINK("https://applink.feishu.cn/client/todo/task_list?guid=4d92b9af-66d1-4cd7-95d1-4b753a64ca6b", "跃入迷城")</f>
        <v>跃入迷城</v>
      </c>
      <c r="R461" t="inlineStr">
        <is>
          <t>4d92b9af-66d1-4cd7-95d1-4b753a64ca6b</t>
        </is>
      </c>
      <c r="S461" t="inlineStr">
        <is>
          <t>7a8e856b-6fb0-490a-a8e2-1209ba195a4c</t>
        </is>
      </c>
      <c r="T461">
        <v>0</v>
      </c>
      <c r="U461">
        <v>0</v>
      </c>
      <c r="V461" t="inlineStr">
        <is>
          <t>0.0.5</t>
        </is>
      </c>
      <c r="W461"/>
      <c r="X461" t="inlineStr">
        <is>
          <t>🎨艺术</t>
        </is>
      </c>
      <c r="Y461" t="inlineStr">
        <is>
          <t>平面美术</t>
        </is>
      </c>
      <c r="Z461" t="inlineStr">
        <is>
          <t>P1 - Bigger the Better</t>
        </is>
      </c>
      <c r="AA461"/>
      <c r="AB461"/>
      <c r="AC461" t="inlineStr">
        <is>
          <t>937c8266-1696-4061-9943-ed0c5e2912bf</t>
        </is>
      </c>
      <c r="AD461" t="inlineStr">
        <is>
          <t>NzUzMjAzNDQ5ODk2NDY2ODQ0NDo3YThlODU2Yi02ZmIwLTQ5MGEtYThlMi0xMjA5YmExOTVhNGM6MmVjYjA0YjkzNzdkMDE3YzM2ZDY5NmFiMDEyODhhYWM6MQ==</t>
        </is>
      </c>
      <c r="AE461">
        <v>8</v>
      </c>
    </row>
    <row r="462" ht="25.5" customHeight="1">
      <c r="A462" s="2" t="str">
        <f>=HYPERLINK("https://applink.feishu.cn/client/todo/detail?guid=c125cfa9-30f1-421a-a621-864a325da88c&amp;suite_entity_num=t101099", "P2：形象线稿 &lt; 插图：https://dikpa4hrtn9.feishu.cn/wiki/TVHDwqiUziiOeYkaluvcE9rdnJf")</f>
        <v>P2：形象线稿 &lt; 插图：https://dikpa4hrtn9.feishu.cn/wiki/TVHDwqiUziiOeYkaluvcE9rdnJf</v>
      </c>
      <c r="B462"/>
      <c r="C462"/>
      <c r="D462" t="inlineStr">
        <is>
          <t>0</t>
        </is>
      </c>
      <c r="E462" t="inlineStr">
        <is>
          <t>或签任务</t>
        </is>
      </c>
      <c r="F462"/>
      <c r="G462" t="inlineStr">
        <is>
          <t>0</t>
        </is>
      </c>
      <c r="H462"/>
      <c r="I462" t="inlineStr">
        <is>
          <t>Ke Huang</t>
        </is>
      </c>
      <c r="J462" t="inlineStr">
        <is>
          <t>龚政涛,Ke Huang</t>
        </is>
      </c>
      <c r="K462" t="inlineStr">
        <is>
          <t>龚政涛</t>
        </is>
      </c>
      <c r="L462" s="3">
        <v>45901.51541666667</v>
      </c>
      <c r="M462" s="3"/>
      <c r="N462" s="3"/>
      <c r="O462" s="3">
        <v>45902.333333333336</v>
      </c>
      <c r="P462" s="3">
        <v>45901.52328703704</v>
      </c>
      <c r="Q462" s="2" t="str">
        <f>=HYPERLINK("https://applink.feishu.cn/client/todo/task_list?guid=4d92b9af-66d1-4cd7-95d1-4b753a64ca6b", "跃入迷城")</f>
        <v>跃入迷城</v>
      </c>
      <c r="R462" t="inlineStr">
        <is>
          <t>4d92b9af-66d1-4cd7-95d1-4b753a64ca6b</t>
        </is>
      </c>
      <c r="S462" t="inlineStr">
        <is>
          <t>c125cfa9-30f1-421a-a621-864a325da88c</t>
        </is>
      </c>
      <c r="T462">
        <v>0</v>
      </c>
      <c r="U462">
        <v>0</v>
      </c>
      <c r="V462"/>
      <c r="W462"/>
      <c r="X462"/>
      <c r="Y462"/>
      <c r="Z462"/>
      <c r="AA462"/>
      <c r="AB462"/>
      <c r="AC462" t="inlineStr">
        <is>
          <t>937c8266-1696-4061-9943-ed0c5e2912bf</t>
        </is>
      </c>
      <c r="AD462" t="inlineStr">
        <is>
          <t>NzUzMjAzNDQ5ODk2NDY2ODQ0NDpjMTI1Y2ZhOS0zMGYxLTQyMWEtYTYyMS04NjRhMzI1ZGE4OGM6MjQ4MjQ5NjkzMGM0NTgxZjdhNDk4ZmE0M2E5MTA2MjY6MQ==</t>
        </is>
      </c>
      <c r="AE462"/>
    </row>
    <row r="463" ht="25.5" customHeight="1">
      <c r="A463" s="2" t="str">
        <f>=HYPERLINK("https://applink.feishu.cn/client/todo/detail?guid=44efa35b-b775-45d1-8653-c0ee7f0ab516&amp;suite_entity_num=t101100", "P3 &lt; 插图：https://dikpa4hrtn9.feishu.cn/wiki/TVHDwqiUziiOeYkaluvcE9rdnJf")</f>
        <v>P3 &lt; 插图：https://dikpa4hrtn9.feishu.cn/wiki/TVHDwqiUziiOeYkaluvcE9rdnJf</v>
      </c>
      <c r="B463"/>
      <c r="C463"/>
      <c r="D463" t="inlineStr">
        <is>
          <t>0</t>
        </is>
      </c>
      <c r="E463" t="inlineStr">
        <is>
          <t>或签任务</t>
        </is>
      </c>
      <c r="F463"/>
      <c r="G463" t="inlineStr">
        <is>
          <t>0</t>
        </is>
      </c>
      <c r="H463"/>
      <c r="I463" t="inlineStr">
        <is>
          <t>Ke Huang</t>
        </is>
      </c>
      <c r="J463" t="inlineStr">
        <is>
          <t>龚政涛,Ke Huang</t>
        </is>
      </c>
      <c r="K463" t="inlineStr">
        <is>
          <t>龚政涛</t>
        </is>
      </c>
      <c r="L463" s="3">
        <v>45901.515439814815</v>
      </c>
      <c r="M463" s="3"/>
      <c r="N463" s="3"/>
      <c r="O463" s="3">
        <v>45903.333333333336</v>
      </c>
      <c r="P463" s="3">
        <v>45901.518171296295</v>
      </c>
      <c r="Q463" s="2" t="str">
        <f>=HYPERLINK("https://applink.feishu.cn/client/todo/task_list?guid=4d92b9af-66d1-4cd7-95d1-4b753a64ca6b", "跃入迷城")</f>
        <v>跃入迷城</v>
      </c>
      <c r="R463" t="inlineStr">
        <is>
          <t>4d92b9af-66d1-4cd7-95d1-4b753a64ca6b</t>
        </is>
      </c>
      <c r="S463" t="inlineStr">
        <is>
          <t>44efa35b-b775-45d1-8653-c0ee7f0ab516</t>
        </is>
      </c>
      <c r="T463">
        <v>0</v>
      </c>
      <c r="U463">
        <v>0</v>
      </c>
      <c r="V463"/>
      <c r="W463"/>
      <c r="X463"/>
      <c r="Y463"/>
      <c r="Z463"/>
      <c r="AA463"/>
      <c r="AB463"/>
      <c r="AC463" t="inlineStr">
        <is>
          <t>937c8266-1696-4061-9943-ed0c5e2912bf</t>
        </is>
      </c>
      <c r="AD463" t="inlineStr">
        <is>
          <t>NzUzMjAzNDQ5ODk2NDY2ODQ0NDo0NGVmYTM1Yi1iNzc1LTQ1ZDEtODY1My1jMGVlN2YwYWI1MTY6YTQ2NGVhODFkYTUyZjA3ZDYzOWQwZGE5Y2IwMzFlMGE6MQ==</t>
        </is>
      </c>
      <c r="AE463"/>
    </row>
    <row r="464" ht="25.5" customHeight="1">
      <c r="A464" s="2" t="str">
        <f>=HYPERLINK("https://applink.feishu.cn/client/todo/detail?guid=e6c6ac48-9a29-4e74-adc1-84cd8694e7be&amp;suite_entity_num=t101101", "P4 &lt; 插图：https://dikpa4hrtn9.feishu.cn/wiki/TVHDwqiUziiOeYkaluvcE9rdnJf")</f>
        <v>P4 &lt; 插图：https://dikpa4hrtn9.feishu.cn/wiki/TVHDwqiUziiOeYkaluvcE9rdnJf</v>
      </c>
      <c r="B464"/>
      <c r="C464"/>
      <c r="D464" t="inlineStr">
        <is>
          <t>0</t>
        </is>
      </c>
      <c r="E464" t="inlineStr">
        <is>
          <t>或签任务</t>
        </is>
      </c>
      <c r="F464"/>
      <c r="G464" t="inlineStr">
        <is>
          <t>0</t>
        </is>
      </c>
      <c r="H464"/>
      <c r="I464" t="inlineStr">
        <is>
          <t>Ke Huang</t>
        </is>
      </c>
      <c r="J464" t="inlineStr">
        <is>
          <t>龚政涛,Ke Huang</t>
        </is>
      </c>
      <c r="K464" t="inlineStr">
        <is>
          <t>龚政涛</t>
        </is>
      </c>
      <c r="L464" s="3">
        <v>45901.515439814815</v>
      </c>
      <c r="M464" s="3"/>
      <c r="N464" s="3"/>
      <c r="O464" s="3">
        <v>45904.333333333336</v>
      </c>
      <c r="P464" s="3">
        <v>45901.51819444444</v>
      </c>
      <c r="Q464" s="2" t="str">
        <f>=HYPERLINK("https://applink.feishu.cn/client/todo/task_list?guid=4d92b9af-66d1-4cd7-95d1-4b753a64ca6b", "跃入迷城")</f>
        <v>跃入迷城</v>
      </c>
      <c r="R464" t="inlineStr">
        <is>
          <t>4d92b9af-66d1-4cd7-95d1-4b753a64ca6b</t>
        </is>
      </c>
      <c r="S464" t="inlineStr">
        <is>
          <t>e6c6ac48-9a29-4e74-adc1-84cd8694e7be</t>
        </is>
      </c>
      <c r="T464">
        <v>0</v>
      </c>
      <c r="U464">
        <v>0</v>
      </c>
      <c r="V464"/>
      <c r="W464"/>
      <c r="X464"/>
      <c r="Y464"/>
      <c r="Z464"/>
      <c r="AA464"/>
      <c r="AB464"/>
      <c r="AC464" t="inlineStr">
        <is>
          <t>937c8266-1696-4061-9943-ed0c5e2912bf</t>
        </is>
      </c>
      <c r="AD464" t="inlineStr">
        <is>
          <t>NzUzMjAzNDQ5ODk2NDY2ODQ0NDplNmM2YWM0OC05YTI5LTRlNzQtYWRjMS04NGNkODY5NGU3YmU6OGJlZDZhMDA2ZTAwNzk2NzFlMGRiMjg2Y2MyODcxYTY6MQ==</t>
        </is>
      </c>
      <c r="AE464"/>
    </row>
    <row r="465" ht="25.5" customHeight="1">
      <c r="A465" s="2" t="str">
        <f>=HYPERLINK("https://applink.feishu.cn/client/todo/detail?guid=0a5a43b8-4210-49a6-bc0c-ed11a95ca474&amp;suite_entity_num=t101102", "P5 &lt; 插图：https://dikpa4hrtn9.feishu.cn/wiki/TVHDwqiUziiOeYkaluvcE9rdnJf")</f>
        <v>P5 &lt; 插图：https://dikpa4hrtn9.feishu.cn/wiki/TVHDwqiUziiOeYkaluvcE9rdnJf</v>
      </c>
      <c r="B465"/>
      <c r="C465"/>
      <c r="D465" t="inlineStr">
        <is>
          <t>0</t>
        </is>
      </c>
      <c r="E465" t="inlineStr">
        <is>
          <t>或签任务</t>
        </is>
      </c>
      <c r="F465"/>
      <c r="G465" t="inlineStr">
        <is>
          <t>0</t>
        </is>
      </c>
      <c r="H465"/>
      <c r="I465" t="inlineStr">
        <is>
          <t>Ke Huang</t>
        </is>
      </c>
      <c r="J465" t="inlineStr">
        <is>
          <t>龚政涛,Ke Huang</t>
        </is>
      </c>
      <c r="K465" t="inlineStr">
        <is>
          <t>龚政涛</t>
        </is>
      </c>
      <c r="L465" s="3">
        <v>45901.51545138889</v>
      </c>
      <c r="M465" s="3"/>
      <c r="N465" s="3"/>
      <c r="O465" s="3">
        <v>45904.333333333336</v>
      </c>
      <c r="P465" s="3">
        <v>45901.51820601852</v>
      </c>
      <c r="Q465" s="2" t="str">
        <f>=HYPERLINK("https://applink.feishu.cn/client/todo/task_list?guid=4d92b9af-66d1-4cd7-95d1-4b753a64ca6b", "跃入迷城")</f>
        <v>跃入迷城</v>
      </c>
      <c r="R465" t="inlineStr">
        <is>
          <t>4d92b9af-66d1-4cd7-95d1-4b753a64ca6b</t>
        </is>
      </c>
      <c r="S465" t="inlineStr">
        <is>
          <t>0a5a43b8-4210-49a6-bc0c-ed11a95ca474</t>
        </is>
      </c>
      <c r="T465">
        <v>0</v>
      </c>
      <c r="U465">
        <v>0</v>
      </c>
      <c r="V465"/>
      <c r="W465"/>
      <c r="X465"/>
      <c r="Y465"/>
      <c r="Z465"/>
      <c r="AA465"/>
      <c r="AB465"/>
      <c r="AC465" t="inlineStr">
        <is>
          <t>937c8266-1696-4061-9943-ed0c5e2912bf</t>
        </is>
      </c>
      <c r="AD465" t="inlineStr">
        <is>
          <t>NzUzMjAzNDQ5ODk2NDY2ODQ0NDowYTVhNDNiOC00MjEwLTQ5YTYtYmMwYy1lZDExYTk1Y2E0NzQ6NmUyZTRmOWJiODAwMDQ3NmU1MTExMWRlZjM1OTk2YWE6MQ==</t>
        </is>
      </c>
      <c r="AE465"/>
    </row>
    <row r="466" ht="25.5" customHeight="1">
      <c r="A466" s="2" t="str">
        <f>=HYPERLINK("https://applink.feishu.cn/client/todo/detail?guid=2c50087a-e777-410b-96f0-35e5f24de58d&amp;suite_entity_num=t101103", "P6 &lt; 插图：https://dikpa4hrtn9.feishu.cn/wiki/TVHDwqiUziiOeYkaluvcE9rdnJf")</f>
        <v>P6 &lt; 插图：https://dikpa4hrtn9.feishu.cn/wiki/TVHDwqiUziiOeYkaluvcE9rdnJf</v>
      </c>
      <c r="B466"/>
      <c r="C466"/>
      <c r="D466" t="inlineStr">
        <is>
          <t>0</t>
        </is>
      </c>
      <c r="E466" t="inlineStr">
        <is>
          <t>或签任务</t>
        </is>
      </c>
      <c r="F466"/>
      <c r="G466" t="inlineStr">
        <is>
          <t>0</t>
        </is>
      </c>
      <c r="H466"/>
      <c r="I466" t="inlineStr">
        <is>
          <t>Ke Huang</t>
        </is>
      </c>
      <c r="J466" t="inlineStr">
        <is>
          <t>龚政涛,Ke Huang</t>
        </is>
      </c>
      <c r="K466" t="inlineStr">
        <is>
          <t>龚政涛</t>
        </is>
      </c>
      <c r="L466" s="3">
        <v>45901.51546296296</v>
      </c>
      <c r="M466" s="3"/>
      <c r="N466" s="3"/>
      <c r="O466" s="3">
        <v>45906.333333333336</v>
      </c>
      <c r="P466" s="3">
        <v>45901.51824074074</v>
      </c>
      <c r="Q466" s="2" t="str">
        <f>=HYPERLINK("https://applink.feishu.cn/client/todo/task_list?guid=4d92b9af-66d1-4cd7-95d1-4b753a64ca6b", "跃入迷城")</f>
        <v>跃入迷城</v>
      </c>
      <c r="R466" t="inlineStr">
        <is>
          <t>4d92b9af-66d1-4cd7-95d1-4b753a64ca6b</t>
        </is>
      </c>
      <c r="S466" t="inlineStr">
        <is>
          <t>2c50087a-e777-410b-96f0-35e5f24de58d</t>
        </is>
      </c>
      <c r="T466">
        <v>0</v>
      </c>
      <c r="U466">
        <v>0</v>
      </c>
      <c r="V466"/>
      <c r="W466"/>
      <c r="X466"/>
      <c r="Y466"/>
      <c r="Z466"/>
      <c r="AA466"/>
      <c r="AB466"/>
      <c r="AC466" t="inlineStr">
        <is>
          <t>937c8266-1696-4061-9943-ed0c5e2912bf</t>
        </is>
      </c>
      <c r="AD466" t="inlineStr">
        <is>
          <t>NzUzMjAzNDQ5ODk2NDY2ODQ0NDoyYzUwMDg3YS1lNzc3LTQxMGItOTZmMC0zNWU1ZjI0ZGU1OGQ6YmZkZjg3YmM3N2I4MjZmNzg4MThmZGFlY2QyY2M5M2M6MQ==</t>
        </is>
      </c>
      <c r="AE466"/>
    </row>
    <row r="467" ht="25.5" customHeight="1">
      <c r="A467" s="2" t="str">
        <f>=HYPERLINK("https://applink.feishu.cn/client/todo/detail?guid=b7f468eb-ef19-4084-95f4-0178261d4fb3&amp;suite_entity_num=t101104", "P7 &lt; 插图：https://dikpa4hrtn9.feishu.cn/wiki/TVHDwqiUziiOeYkaluvcE9rdnJf")</f>
        <v>P7 &lt; 插图：https://dikpa4hrtn9.feishu.cn/wiki/TVHDwqiUziiOeYkaluvcE9rdnJf</v>
      </c>
      <c r="B467"/>
      <c r="C467"/>
      <c r="D467" t="inlineStr">
        <is>
          <t>0</t>
        </is>
      </c>
      <c r="E467" t="inlineStr">
        <is>
          <t>或签任务</t>
        </is>
      </c>
      <c r="F467"/>
      <c r="G467" t="inlineStr">
        <is>
          <t>0</t>
        </is>
      </c>
      <c r="H467"/>
      <c r="I467" t="inlineStr">
        <is>
          <t>Ke Huang</t>
        </is>
      </c>
      <c r="J467" t="inlineStr">
        <is>
          <t>龚政涛,Ke Huang</t>
        </is>
      </c>
      <c r="K467" t="inlineStr">
        <is>
          <t>龚政涛</t>
        </is>
      </c>
      <c r="L467" s="3">
        <v>45901.51547453704</v>
      </c>
      <c r="M467" s="3"/>
      <c r="N467" s="3"/>
      <c r="O467" s="3">
        <v>45906.333333333336</v>
      </c>
      <c r="P467" s="3">
        <v>45901.51828703703</v>
      </c>
      <c r="Q467" s="2" t="str">
        <f>=HYPERLINK("https://applink.feishu.cn/client/todo/task_list?guid=4d92b9af-66d1-4cd7-95d1-4b753a64ca6b", "跃入迷城")</f>
        <v>跃入迷城</v>
      </c>
      <c r="R467" t="inlineStr">
        <is>
          <t>4d92b9af-66d1-4cd7-95d1-4b753a64ca6b</t>
        </is>
      </c>
      <c r="S467" t="inlineStr">
        <is>
          <t>b7f468eb-ef19-4084-95f4-0178261d4fb3</t>
        </is>
      </c>
      <c r="T467">
        <v>0</v>
      </c>
      <c r="U467">
        <v>0</v>
      </c>
      <c r="V467"/>
      <c r="W467"/>
      <c r="X467"/>
      <c r="Y467"/>
      <c r="Z467"/>
      <c r="AA467"/>
      <c r="AB467"/>
      <c r="AC467" t="inlineStr">
        <is>
          <t>937c8266-1696-4061-9943-ed0c5e2912bf</t>
        </is>
      </c>
      <c r="AD467" t="inlineStr">
        <is>
          <t>NzUzMjAzNDQ5ODk2NDY2ODQ0NDpiN2Y0NjhlYi1lZjE5LTQwODQtOTVmNC0wMTc4MjYxZDRmYjM6ZWUxMGJhZjA3N2M4ZTI0OGRjMjU5M2Q0MDAxMDdlNDc6MQ==</t>
        </is>
      </c>
      <c r="AE467"/>
    </row>
    <row r="468" ht="25.5" customHeight="1">
      <c r="A468" s="2" t="str">
        <f>=HYPERLINK("https://applink.feishu.cn/client/todo/detail?guid=6a66690e-50d5-4e27-bdfd-f7d0af4e8173&amp;suite_entity_num=t101105", "P8 &lt; 插图：https://dikpa4hrtn9.feishu.cn/wiki/TVHDwqiUziiOeYkaluvcE9rdnJf")</f>
        <v>P8 &lt; 插图：https://dikpa4hrtn9.feishu.cn/wiki/TVHDwqiUziiOeYkaluvcE9rdnJf</v>
      </c>
      <c r="B468"/>
      <c r="C468"/>
      <c r="D468" t="inlineStr">
        <is>
          <t>0</t>
        </is>
      </c>
      <c r="E468" t="inlineStr">
        <is>
          <t>或签任务</t>
        </is>
      </c>
      <c r="F468"/>
      <c r="G468" t="inlineStr">
        <is>
          <t>0</t>
        </is>
      </c>
      <c r="H468"/>
      <c r="I468" t="inlineStr">
        <is>
          <t>Ke Huang</t>
        </is>
      </c>
      <c r="J468" t="inlineStr">
        <is>
          <t>龚政涛,Ke Huang</t>
        </is>
      </c>
      <c r="K468" t="inlineStr">
        <is>
          <t>龚政涛</t>
        </is>
      </c>
      <c r="L468" s="3">
        <v>45901.51548611111</v>
      </c>
      <c r="M468" s="3"/>
      <c r="N468" s="3"/>
      <c r="O468" s="3">
        <v>45907.333333333336</v>
      </c>
      <c r="P468" s="3">
        <v>45901.51831018519</v>
      </c>
      <c r="Q468" s="2" t="str">
        <f>=HYPERLINK("https://applink.feishu.cn/client/todo/task_list?guid=4d92b9af-66d1-4cd7-95d1-4b753a64ca6b", "跃入迷城")</f>
        <v>跃入迷城</v>
      </c>
      <c r="R468" t="inlineStr">
        <is>
          <t>4d92b9af-66d1-4cd7-95d1-4b753a64ca6b</t>
        </is>
      </c>
      <c r="S468" t="inlineStr">
        <is>
          <t>6a66690e-50d5-4e27-bdfd-f7d0af4e8173</t>
        </is>
      </c>
      <c r="T468">
        <v>0</v>
      </c>
      <c r="U468">
        <v>0</v>
      </c>
      <c r="V468"/>
      <c r="W468"/>
      <c r="X468"/>
      <c r="Y468"/>
      <c r="Z468"/>
      <c r="AA468"/>
      <c r="AB468"/>
      <c r="AC468" t="inlineStr">
        <is>
          <t>937c8266-1696-4061-9943-ed0c5e2912bf</t>
        </is>
      </c>
      <c r="AD468" t="inlineStr">
        <is>
          <t>NzUzMjAzNDQ5ODk2NDY2ODQ0NDo2YTY2NjkwZS01MGQ1LTRlMjctYmRmZC1mN2QwYWY0ZTgxNzM6NWJkN2IyNTJjN2Q2ZWY5MDYyNTc5NzdmMmY5YTYzMmE6MQ==</t>
        </is>
      </c>
      <c r="AE468"/>
    </row>
    <row r="469" ht="25.5" customHeight="1">
      <c r="A469" s="2" t="str">
        <f>=HYPERLINK("https://applink.feishu.cn/client/todo/detail?guid=cabcd0b1-a232-480b-a5b1-9d3b6a309fda&amp;suite_entity_num=t101106", "P9 &lt; 插图：https://dikpa4hrtn9.feishu.cn/wiki/TVHDwqiUziiOeYkaluvcE9rdnJf")</f>
        <v>P9 &lt; 插图：https://dikpa4hrtn9.feishu.cn/wiki/TVHDwqiUziiOeYkaluvcE9rdnJf</v>
      </c>
      <c r="B469"/>
      <c r="C469"/>
      <c r="D469" t="inlineStr">
        <is>
          <t>0</t>
        </is>
      </c>
      <c r="E469" t="inlineStr">
        <is>
          <t>或签任务</t>
        </is>
      </c>
      <c r="F469"/>
      <c r="G469" t="inlineStr">
        <is>
          <t>0</t>
        </is>
      </c>
      <c r="H469"/>
      <c r="I469" t="inlineStr">
        <is>
          <t>Ke Huang</t>
        </is>
      </c>
      <c r="J469" t="inlineStr">
        <is>
          <t>龚政涛,Ke Huang</t>
        </is>
      </c>
      <c r="K469" t="inlineStr">
        <is>
          <t>龚政涛</t>
        </is>
      </c>
      <c r="L469" s="3">
        <v>45901.51550925926</v>
      </c>
      <c r="M469" s="3"/>
      <c r="N469" s="3"/>
      <c r="O469" s="3">
        <v>45907.333333333336</v>
      </c>
      <c r="P469" s="3">
        <v>45901.51833333333</v>
      </c>
      <c r="Q469" s="2" t="str">
        <f>=HYPERLINK("https://applink.feishu.cn/client/todo/task_list?guid=4d92b9af-66d1-4cd7-95d1-4b753a64ca6b", "跃入迷城")</f>
        <v>跃入迷城</v>
      </c>
      <c r="R469" t="inlineStr">
        <is>
          <t>4d92b9af-66d1-4cd7-95d1-4b753a64ca6b</t>
        </is>
      </c>
      <c r="S469" t="inlineStr">
        <is>
          <t>cabcd0b1-a232-480b-a5b1-9d3b6a309fda</t>
        </is>
      </c>
      <c r="T469">
        <v>0</v>
      </c>
      <c r="U469">
        <v>0</v>
      </c>
      <c r="V469"/>
      <c r="W469"/>
      <c r="X469"/>
      <c r="Y469"/>
      <c r="Z469"/>
      <c r="AA469"/>
      <c r="AB469"/>
      <c r="AC469" t="inlineStr">
        <is>
          <t>937c8266-1696-4061-9943-ed0c5e2912bf</t>
        </is>
      </c>
      <c r="AD469" t="inlineStr">
        <is>
          <t>NzUzMjAzNDQ5ODk2NDY2ODQ0NDpjYWJjZDBiMS1hMjMyLTQ4MGItYTViMS05ZDNiNmEzMDlmZGE6NDg4MzMwMzQ0MjcyYzAzMjdmNDRhNDE5YTNiMTU5MzI6MQ==</t>
        </is>
      </c>
      <c r="AE469"/>
    </row>
    <row r="470" ht="25.5" customHeight="1">
      <c r="A470" s="2" t="str">
        <f>=HYPERLINK("https://applink.feishu.cn/client/todo/detail?guid=5c1b6f43-1f9d-46e6-ba85-dd53ca76e25c&amp;suite_entity_num=t101107", "P10：概念稿 &lt; 插图：https://dikpa4hrtn9.feishu.cn/wiki/TVHDwqiUziiOeYkaluvcE9rdnJf")</f>
        <v>P10：概念稿 &lt; 插图：https://dikpa4hrtn9.feishu.cn/wiki/TVHDwqiUziiOeYkaluvcE9rdnJf</v>
      </c>
      <c r="B470"/>
      <c r="C470"/>
      <c r="D470" t="inlineStr">
        <is>
          <t>0</t>
        </is>
      </c>
      <c r="E470" t="inlineStr">
        <is>
          <t>或签任务</t>
        </is>
      </c>
      <c r="F470"/>
      <c r="G470" t="inlineStr">
        <is>
          <t>0</t>
        </is>
      </c>
      <c r="H470"/>
      <c r="I470"/>
      <c r="J470" t="inlineStr">
        <is>
          <t>龚政涛</t>
        </is>
      </c>
      <c r="K470" t="inlineStr">
        <is>
          <t>龚政涛</t>
        </is>
      </c>
      <c r="L470" s="3">
        <v>45901.51850694444</v>
      </c>
      <c r="M470" s="3"/>
      <c r="N470" s="3"/>
      <c r="O470" s="3"/>
      <c r="P470" s="3">
        <v>45901.51850694444</v>
      </c>
      <c r="Q470" s="2" t="str">
        <f>=HYPERLINK("https://applink.feishu.cn/client/todo/task_list?guid=4d92b9af-66d1-4cd7-95d1-4b753a64ca6b", "跃入迷城")</f>
        <v>跃入迷城</v>
      </c>
      <c r="R470" t="inlineStr">
        <is>
          <t>4d92b9af-66d1-4cd7-95d1-4b753a64ca6b</t>
        </is>
      </c>
      <c r="S470" t="inlineStr">
        <is>
          <t>5c1b6f43-1f9d-46e6-ba85-dd53ca76e25c</t>
        </is>
      </c>
      <c r="T470">
        <v>0</v>
      </c>
      <c r="U470">
        <v>0</v>
      </c>
      <c r="V470"/>
      <c r="W470"/>
      <c r="X470"/>
      <c r="Y470"/>
      <c r="Z470"/>
      <c r="AA470"/>
      <c r="AB470"/>
      <c r="AC470" t="inlineStr">
        <is>
          <t>937c8266-1696-4061-9943-ed0c5e2912bf</t>
        </is>
      </c>
      <c r="AD470" t="inlineStr">
        <is>
          <t>NzUzMjAzNDQ5ODk2NDY2ODQ0NDo1YzFiNmY0My0xZjlkLTQ2ZTYtYmE4NS1kZDUzY2E3NmUyNWM6YjMyZDBkYjdiM2M3YjM3NzY0N2NiOWNlOGZlYTE5ODU6MQ==</t>
        </is>
      </c>
      <c r="AE470"/>
    </row>
    <row r="471" ht="25.5" customHeight="1">
      <c r="A471" s="2" t="str">
        <f>=HYPERLINK("https://applink.feishu.cn/client/todo/detail?guid=d5bd5bf6-3416-4d24-8a04-2b7e506aba38&amp;suite_entity_num=t101116", "门设计稿")</f>
        <v>门设计稿</v>
      </c>
      <c r="B471"/>
      <c r="C471" t="inlineStr">
        <is>
          <t>默认分组</t>
        </is>
      </c>
      <c r="D471" t="inlineStr">
        <is>
          <t>1</t>
        </is>
      </c>
      <c r="E471" t="inlineStr">
        <is>
          <t>或签任务</t>
        </is>
      </c>
      <c r="F471"/>
      <c r="G471" t="inlineStr">
        <is>
          <t>0</t>
        </is>
      </c>
      <c r="H471"/>
      <c r="I471" t="inlineStr">
        <is>
          <t>瞿敬雄</t>
        </is>
      </c>
      <c r="J471" t="inlineStr">
        <is>
          <t>龚政涛,瞿敬雄</t>
        </is>
      </c>
      <c r="K471" t="inlineStr">
        <is>
          <t>龚政涛</t>
        </is>
      </c>
      <c r="L471" s="3">
        <v>45904.99244212963</v>
      </c>
      <c r="M471" s="3"/>
      <c r="N471" s="3">
        <v>45908.412199074075</v>
      </c>
      <c r="O471" s="3">
        <v>45905.333333333336</v>
      </c>
      <c r="P471" s="3">
        <v>45908.412199074075</v>
      </c>
      <c r="Q471" s="2" t="str">
        <f>=HYPERLINK("https://applink.feishu.cn/client/todo/task_list?guid=4d92b9af-66d1-4cd7-95d1-4b753a64ca6b", "跃入迷城")</f>
        <v>跃入迷城</v>
      </c>
      <c r="R471" t="inlineStr">
        <is>
          <t>4d92b9af-66d1-4cd7-95d1-4b753a64ca6b</t>
        </is>
      </c>
      <c r="S471" t="inlineStr">
        <is>
          <t>d5bd5bf6-3416-4d24-8a04-2b7e506aba38</t>
        </is>
      </c>
      <c r="T471">
        <v>0</v>
      </c>
      <c r="U471">
        <v>0</v>
      </c>
      <c r="V471" t="inlineStr">
        <is>
          <t>0.0.5</t>
        </is>
      </c>
      <c r="W471" t="inlineStr">
        <is>
          <t>已完成</t>
        </is>
      </c>
      <c r="X471" t="inlineStr">
        <is>
          <t>🎨艺术</t>
        </is>
      </c>
      <c r="Y471" t="inlineStr">
        <is>
          <t>模型</t>
        </is>
      </c>
      <c r="Z471" t="inlineStr">
        <is>
          <t>P1 - Bigger the Better</t>
        </is>
      </c>
      <c r="AA471"/>
      <c r="AB471"/>
      <c r="AC471"/>
      <c r="AD471" t="inlineStr">
        <is>
          <t>NzUzMjAzNDQ5ODk2NDY2ODQ0NDpkNWJkNWJmNi0zNDE2LTRkMjQtOGEwNC0yYjdlNTA2YWJhMzg6OThlNTljYjI2OTRiMzUzMzUwZTBmYTRhMTRmYTg3ZDc6MQ==</t>
        </is>
      </c>
      <c r="AE471">
        <v>4</v>
      </c>
    </row>
    <row r="472" ht="25.5" customHeight="1">
      <c r="A472" s="2" t="str">
        <f>=HYPERLINK("https://applink.feishu.cn/client/todo/detail?guid=5756b6db-619a-4e34-a543-4e51d9ee7497&amp;suite_entity_num=t101115", "墙壁设计稿")</f>
        <v>墙壁设计稿</v>
      </c>
      <c r="B472"/>
      <c r="C472" t="inlineStr">
        <is>
          <t>默认分组</t>
        </is>
      </c>
      <c r="D472" t="inlineStr">
        <is>
          <t>1</t>
        </is>
      </c>
      <c r="E472" t="inlineStr">
        <is>
          <t>或签任务</t>
        </is>
      </c>
      <c r="F472"/>
      <c r="G472" t="inlineStr">
        <is>
          <t>0</t>
        </is>
      </c>
      <c r="H472"/>
      <c r="I472" t="inlineStr">
        <is>
          <t>瞿敬雄</t>
        </is>
      </c>
      <c r="J472" t="inlineStr">
        <is>
          <t>龚政涛,瞿敬雄</t>
        </is>
      </c>
      <c r="K472" t="inlineStr">
        <is>
          <t>龚政涛</t>
        </is>
      </c>
      <c r="L472" s="3">
        <v>45904.99238425926</v>
      </c>
      <c r="M472" s="3"/>
      <c r="N472" s="3">
        <v>45915.46040509259</v>
      </c>
      <c r="O472" s="3">
        <v>45911.333333333336</v>
      </c>
      <c r="P472" s="3">
        <v>45915.46041666667</v>
      </c>
      <c r="Q472" s="2" t="str">
        <f>=HYPERLINK("https://applink.feishu.cn/client/todo/task_list?guid=4d92b9af-66d1-4cd7-95d1-4b753a64ca6b", "跃入迷城")</f>
        <v>跃入迷城</v>
      </c>
      <c r="R472" t="inlineStr">
        <is>
          <t>4d92b9af-66d1-4cd7-95d1-4b753a64ca6b</t>
        </is>
      </c>
      <c r="S472" t="inlineStr">
        <is>
          <t>5756b6db-619a-4e34-a543-4e51d9ee7497</t>
        </is>
      </c>
      <c r="T472">
        <v>0</v>
      </c>
      <c r="U472">
        <v>0</v>
      </c>
      <c r="V472" t="inlineStr">
        <is>
          <t>0.0.5</t>
        </is>
      </c>
      <c r="W472" t="inlineStr">
        <is>
          <t>已完成</t>
        </is>
      </c>
      <c r="X472" t="inlineStr">
        <is>
          <t>🎨艺术</t>
        </is>
      </c>
      <c r="Y472" t="inlineStr">
        <is>
          <t>模型</t>
        </is>
      </c>
      <c r="Z472" t="inlineStr">
        <is>
          <t>P2 - Nice to Have</t>
        </is>
      </c>
      <c r="AA472"/>
      <c r="AB472"/>
      <c r="AC472"/>
      <c r="AD472" t="inlineStr">
        <is>
          <t>NzUzMjAzNDQ5ODk2NDY2ODQ0NDo1NzU2YjZkYi02MTlhLTRlMzQtYTU0My00ZTUxZDllZTc0OTc6MGUxNzJhYzE4ZTUzOWRhNzQzOWU1NWJkZTg0MmYzOTE6MQ==</t>
        </is>
      </c>
      <c r="AE472">
        <v>2</v>
      </c>
    </row>
    <row r="473" ht="25.5" customHeight="1">
      <c r="A473" s="2" t="str">
        <f>=HYPERLINK("https://applink.feishu.cn/client/todo/detail?guid=a3bf6678-89b4-4426-b115-67b31100ea9e&amp;suite_entity_num=t101113", "地板模型 &lt; 劳旅_矩形地板")</f>
        <v>地板模型 &lt; 劳旅_矩形地板</v>
      </c>
      <c r="B473"/>
      <c r="C473" t="inlineStr">
        <is>
          <t>默认分组</t>
        </is>
      </c>
      <c r="D473" t="inlineStr">
        <is>
          <t>1</t>
        </is>
      </c>
      <c r="E473" t="inlineStr">
        <is>
          <t>或签任务</t>
        </is>
      </c>
      <c r="F473"/>
      <c r="G473" t="inlineStr">
        <is>
          <t>0</t>
        </is>
      </c>
      <c r="H473"/>
      <c r="I473" t="inlineStr">
        <is>
          <t>陈吉瑞</t>
        </is>
      </c>
      <c r="J473" t="inlineStr">
        <is>
          <t>陈吉瑞,龚政涛</t>
        </is>
      </c>
      <c r="K473" t="inlineStr">
        <is>
          <t>龚政涛</t>
        </is>
      </c>
      <c r="L473" s="3">
        <v>45904.99228009259</v>
      </c>
      <c r="M473" s="3"/>
      <c r="N473" s="3">
        <v>45905.60021990741</v>
      </c>
      <c r="O473" s="3">
        <v>45905.333333333336</v>
      </c>
      <c r="P473" s="3">
        <v>45905.60023148148</v>
      </c>
      <c r="Q473" s="2" t="str">
        <f>=HYPERLINK("https://applink.feishu.cn/client/todo/task_list?guid=4d92b9af-66d1-4cd7-95d1-4b753a64ca6b", "跃入迷城")</f>
        <v>跃入迷城</v>
      </c>
      <c r="R473" t="inlineStr">
        <is>
          <t>4d92b9af-66d1-4cd7-95d1-4b753a64ca6b</t>
        </is>
      </c>
      <c r="S473" t="inlineStr">
        <is>
          <t>a3bf6678-89b4-4426-b115-67b31100ea9e</t>
        </is>
      </c>
      <c r="T473">
        <v>0</v>
      </c>
      <c r="U473">
        <v>0</v>
      </c>
      <c r="V473" t="inlineStr">
        <is>
          <t>0.0.5</t>
        </is>
      </c>
      <c r="W473" t="inlineStr">
        <is>
          <t>已完成</t>
        </is>
      </c>
      <c r="X473" t="inlineStr">
        <is>
          <t>🎨艺术</t>
        </is>
      </c>
      <c r="Y473" t="inlineStr">
        <is>
          <t>模型</t>
        </is>
      </c>
      <c r="Z473" t="inlineStr">
        <is>
          <t>P0 - Must (not) Have</t>
        </is>
      </c>
      <c r="AA473"/>
      <c r="AB473"/>
      <c r="AC473" t="inlineStr">
        <is>
          <t>f0050e9b-0699-4751-8535-d930e5722cad</t>
        </is>
      </c>
      <c r="AD473" t="inlineStr">
        <is>
          <t>NzUzMjAzNDQ5ODk2NDY2ODQ0NDphM2JmNjY3OC04OWI0LTQ0MjYtYjExNS02N2IzMTEwMGVhOWU6ZmIwNTYxYTcyNWRkMmY1M2RhZGJjNGYxODE3M2FkZWQ6MQ==</t>
        </is>
      </c>
      <c r="AE473">
        <v>2</v>
      </c>
    </row>
    <row r="474" ht="25.5" customHeight="1">
      <c r="A474" s="2" t="str">
        <f>=HYPERLINK("https://applink.feishu.cn/client/todo/detail?guid=4b1101f5-c9f8-43b5-be26-ab4d8e250c79&amp;suite_entity_num=t101114", "窗模型 &lt; 劳旅_带窗墙壁")</f>
        <v>窗模型 &lt; 劳旅_带窗墙壁</v>
      </c>
      <c r="B474"/>
      <c r="C474" t="inlineStr">
        <is>
          <t>默认分组</t>
        </is>
      </c>
      <c r="D474" t="inlineStr">
        <is>
          <t>1</t>
        </is>
      </c>
      <c r="E474" t="inlineStr">
        <is>
          <t>或签任务</t>
        </is>
      </c>
      <c r="F474"/>
      <c r="G474" t="inlineStr">
        <is>
          <t>0</t>
        </is>
      </c>
      <c r="H474"/>
      <c r="I474" t="inlineStr">
        <is>
          <t>陈吉瑞</t>
        </is>
      </c>
      <c r="J474" t="inlineStr">
        <is>
          <t>龚政涛,陈吉瑞</t>
        </is>
      </c>
      <c r="K474" t="inlineStr">
        <is>
          <t>龚政涛</t>
        </is>
      </c>
      <c r="L474" s="3">
        <v>45904.99232638889</v>
      </c>
      <c r="M474" s="3"/>
      <c r="N474" s="3">
        <v>45905.59407407408</v>
      </c>
      <c r="O474" s="3">
        <v>45905.333333333336</v>
      </c>
      <c r="P474" s="3">
        <v>45905.59408564815</v>
      </c>
      <c r="Q474" s="2" t="str">
        <f>=HYPERLINK("https://applink.feishu.cn/client/todo/task_list?guid=4d92b9af-66d1-4cd7-95d1-4b753a64ca6b", "跃入迷城")</f>
        <v>跃入迷城</v>
      </c>
      <c r="R474" t="inlineStr">
        <is>
          <t>4d92b9af-66d1-4cd7-95d1-4b753a64ca6b</t>
        </is>
      </c>
      <c r="S474" t="inlineStr">
        <is>
          <t>4b1101f5-c9f8-43b5-be26-ab4d8e250c79</t>
        </is>
      </c>
      <c r="T474">
        <v>0</v>
      </c>
      <c r="U474">
        <v>0</v>
      </c>
      <c r="V474" t="inlineStr">
        <is>
          <t>0.0.5</t>
        </is>
      </c>
      <c r="W474" t="inlineStr">
        <is>
          <t>已完成</t>
        </is>
      </c>
      <c r="X474" t="inlineStr">
        <is>
          <t>🎨艺术</t>
        </is>
      </c>
      <c r="Y474" t="inlineStr">
        <is>
          <t>模型</t>
        </is>
      </c>
      <c r="Z474" t="inlineStr">
        <is>
          <t>P1 - Bigger the Better</t>
        </is>
      </c>
      <c r="AA474"/>
      <c r="AB474"/>
      <c r="AC474" t="inlineStr">
        <is>
          <t>84d195c5-25f8-49ea-8eed-cfe773681f4f</t>
        </is>
      </c>
      <c r="AD474" t="inlineStr">
        <is>
          <t>NzUzMjAzNDQ5ODk2NDY2ODQ0NDo0YjExMDFmNS1jOWY4LTQzYjUtYmUyNi1hYjRkOGUyNTBjNzk6ZmRkMGJmMzlkYjUwNWRlMjk4Y2MzN2NmN2UxNzc5YzU6MQ==</t>
        </is>
      </c>
      <c r="AE474">
        <v>4</v>
      </c>
    </row>
    <row r="475" ht="25.5" customHeight="1">
      <c r="A475" s="2" t="str">
        <f>=HYPERLINK("https://applink.feishu.cn/client/todo/detail?guid=ae0e44a4-43d0-4e1c-bf3e-e6c8eca93804&amp;suite_entity_num=t101122", "地板贴图 &lt; 劳旅_矩形地板")</f>
        <v>地板贴图 &lt; 劳旅_矩形地板</v>
      </c>
      <c r="B475"/>
      <c r="C475" t="inlineStr">
        <is>
          <t>默认分组</t>
        </is>
      </c>
      <c r="D475" t="inlineStr">
        <is>
          <t>0</t>
        </is>
      </c>
      <c r="E475" t="inlineStr">
        <is>
          <t>或签任务</t>
        </is>
      </c>
      <c r="F475"/>
      <c r="G475" t="inlineStr">
        <is>
          <t>0</t>
        </is>
      </c>
      <c r="H475"/>
      <c r="I475" t="inlineStr">
        <is>
          <t>陈吉瑞</t>
        </is>
      </c>
      <c r="J475" t="inlineStr">
        <is>
          <t>龚政涛,陈吉瑞</t>
        </is>
      </c>
      <c r="K475" t="inlineStr">
        <is>
          <t>龚政涛</t>
        </is>
      </c>
      <c r="L475" s="3">
        <v>45905.59887731481</v>
      </c>
      <c r="M475" s="3">
        <v>45905.333333333336</v>
      </c>
      <c r="N475" s="3"/>
      <c r="O475" s="3">
        <v>45918.333333333336</v>
      </c>
      <c r="P475" s="3">
        <v>45918.43966435185</v>
      </c>
      <c r="Q475" s="2" t="str">
        <f>=HYPERLINK("https://applink.feishu.cn/client/todo/task_list?guid=4d92b9af-66d1-4cd7-95d1-4b753a64ca6b", "跃入迷城")</f>
        <v>跃入迷城</v>
      </c>
      <c r="R475" t="inlineStr">
        <is>
          <t>4d92b9af-66d1-4cd7-95d1-4b753a64ca6b</t>
        </is>
      </c>
      <c r="S475" t="inlineStr">
        <is>
          <t>ae0e44a4-43d0-4e1c-bf3e-e6c8eca93804</t>
        </is>
      </c>
      <c r="T475">
        <v>0</v>
      </c>
      <c r="U475">
        <v>0</v>
      </c>
      <c r="V475" t="inlineStr">
        <is>
          <t>0.0.5</t>
        </is>
      </c>
      <c r="W475" t="inlineStr">
        <is>
          <t>工作中</t>
        </is>
      </c>
      <c r="X475" t="inlineStr">
        <is>
          <t>🎨艺术</t>
        </is>
      </c>
      <c r="Y475" t="inlineStr">
        <is>
          <t>模型</t>
        </is>
      </c>
      <c r="Z475" t="inlineStr">
        <is>
          <t>P1 - Bigger the Better</t>
        </is>
      </c>
      <c r="AA475"/>
      <c r="AB475"/>
      <c r="AC475" t="inlineStr">
        <is>
          <t>f0050e9b-0699-4751-8535-d930e5722cad</t>
        </is>
      </c>
      <c r="AD475" t="inlineStr">
        <is>
          <t>NzUzMjAzNDQ5ODk2NDY2ODQ0NDphZTBlNDRhNC00M2QwLTRlMWMtYmYzZS1lNmM4ZWNhOTM4MDQ6YTgzNWFhMzgxY2E0ZjlhOTU0MTY4YzBhYzY2NTg4NDg6MQ==</t>
        </is>
      </c>
      <c r="AE475">
        <v>4</v>
      </c>
    </row>
    <row r="476" ht="25.5" customHeight="1">
      <c r="A476" s="2" t="str">
        <f>=HYPERLINK("https://applink.feishu.cn/client/todo/detail?guid=d4791e47-7d7c-46ac-bb46-edfe062aea5a&amp;suite_entity_num=t101120", "窗贴图 &lt; 劳旅_带窗墙壁")</f>
        <v>窗贴图 &lt; 劳旅_带窗墙壁</v>
      </c>
      <c r="B476"/>
      <c r="C476" t="inlineStr">
        <is>
          <t>默认分组</t>
        </is>
      </c>
      <c r="D476" t="inlineStr">
        <is>
          <t>1</t>
        </is>
      </c>
      <c r="E476" t="inlineStr">
        <is>
          <t>或签任务</t>
        </is>
      </c>
      <c r="F476"/>
      <c r="G476" t="inlineStr">
        <is>
          <t>0</t>
        </is>
      </c>
      <c r="H476"/>
      <c r="I476" t="inlineStr">
        <is>
          <t>陈吉瑞</t>
        </is>
      </c>
      <c r="J476" t="inlineStr">
        <is>
          <t>陈吉瑞,龚政涛</t>
        </is>
      </c>
      <c r="K476" t="inlineStr">
        <is>
          <t>龚政涛</t>
        </is>
      </c>
      <c r="L476" s="3">
        <v>45905.59364583333</v>
      </c>
      <c r="M476" s="3">
        <v>45905.333333333336</v>
      </c>
      <c r="N476" s="3">
        <v>45915.46042824074</v>
      </c>
      <c r="O476" s="3">
        <v>45911.333333333336</v>
      </c>
      <c r="P476" s="3">
        <v>45915.460439814815</v>
      </c>
      <c r="Q476" s="2" t="str">
        <f>=HYPERLINK("https://applink.feishu.cn/client/todo/task_list?guid=4d92b9af-66d1-4cd7-95d1-4b753a64ca6b", "跃入迷城")</f>
        <v>跃入迷城</v>
      </c>
      <c r="R476" t="inlineStr">
        <is>
          <t>4d92b9af-66d1-4cd7-95d1-4b753a64ca6b</t>
        </is>
      </c>
      <c r="S476" t="inlineStr">
        <is>
          <t>d4791e47-7d7c-46ac-bb46-edfe062aea5a</t>
        </is>
      </c>
      <c r="T476">
        <v>0</v>
      </c>
      <c r="U476">
        <v>0</v>
      </c>
      <c r="V476" t="inlineStr">
        <is>
          <t>0.0.5</t>
        </is>
      </c>
      <c r="W476" t="inlineStr">
        <is>
          <t>已完成</t>
        </is>
      </c>
      <c r="X476" t="inlineStr">
        <is>
          <t>🎨艺术</t>
        </is>
      </c>
      <c r="Y476" t="inlineStr">
        <is>
          <t>模型</t>
        </is>
      </c>
      <c r="Z476" t="inlineStr">
        <is>
          <t>P1 - Bigger the Better</t>
        </is>
      </c>
      <c r="AA476"/>
      <c r="AB476"/>
      <c r="AC476" t="inlineStr">
        <is>
          <t>84d195c5-25f8-49ea-8eed-cfe773681f4f</t>
        </is>
      </c>
      <c r="AD476" t="inlineStr">
        <is>
          <t>NzUzMjAzNDQ5ODk2NDY2ODQ0NDpkNDc5MWU0Ny03ZDdjLTQ2YWMtYmI0Ni1lZGZlMDYyYWVhNWE6MzYyNGRiZTJhZDM5OWI2NjIwMWY4MjJlZGM2MjVmMWM6MQ==</t>
        </is>
      </c>
      <c r="AE476">
        <v>4</v>
      </c>
    </row>
    <row r="477" ht="25.5" customHeight="1">
      <c r="A477" s="2" t="str">
        <f>=HYPERLINK("https://applink.feishu.cn/client/todo/detail?guid=acad6b57-18bf-4865-87c1-9fad5495acb9&amp;suite_entity_num=t101121", "三角形地板模型")</f>
        <v>三角形地板模型</v>
      </c>
      <c r="B477"/>
      <c r="C477" t="inlineStr">
        <is>
          <t>默认分组</t>
        </is>
      </c>
      <c r="D477" t="inlineStr">
        <is>
          <t>0</t>
        </is>
      </c>
      <c r="E477" t="inlineStr">
        <is>
          <t>或签任务</t>
        </is>
      </c>
      <c r="F477"/>
      <c r="G477" t="inlineStr">
        <is>
          <t>0</t>
        </is>
      </c>
      <c r="H477"/>
      <c r="I477" t="inlineStr">
        <is>
          <t>陈吉瑞</t>
        </is>
      </c>
      <c r="J477" t="inlineStr">
        <is>
          <t>陈吉瑞,龚政涛</t>
        </is>
      </c>
      <c r="K477" t="inlineStr">
        <is>
          <t>龚政涛</t>
        </is>
      </c>
      <c r="L477" s="3">
        <v>45905.59788194444</v>
      </c>
      <c r="M477" s="3">
        <v>45905.333333333336</v>
      </c>
      <c r="N477" s="3"/>
      <c r="O477" s="3">
        <v>45918.333333333336</v>
      </c>
      <c r="P477" s="3">
        <v>45918.4396412037</v>
      </c>
      <c r="Q477" s="2" t="str">
        <f>=HYPERLINK("https://applink.feishu.cn/client/todo/task_list?guid=4d92b9af-66d1-4cd7-95d1-4b753a64ca6b", "跃入迷城")</f>
        <v>跃入迷城</v>
      </c>
      <c r="R477" t="inlineStr">
        <is>
          <t>4d92b9af-66d1-4cd7-95d1-4b753a64ca6b</t>
        </is>
      </c>
      <c r="S477" t="inlineStr">
        <is>
          <t>acad6b57-18bf-4865-87c1-9fad5495acb9</t>
        </is>
      </c>
      <c r="T477">
        <v>0</v>
      </c>
      <c r="U477">
        <v>0</v>
      </c>
      <c r="V477" t="inlineStr">
        <is>
          <t>0.0.5</t>
        </is>
      </c>
      <c r="W477" t="inlineStr">
        <is>
          <t>工作中</t>
        </is>
      </c>
      <c r="X477" t="inlineStr">
        <is>
          <t>🎨艺术</t>
        </is>
      </c>
      <c r="Y477" t="inlineStr">
        <is>
          <t>模型</t>
        </is>
      </c>
      <c r="Z477" t="inlineStr">
        <is>
          <t>P1 - Bigger the Better</t>
        </is>
      </c>
      <c r="AA477"/>
      <c r="AB477"/>
      <c r="AC477"/>
      <c r="AD477" t="inlineStr">
        <is>
          <t>NzUzMjAzNDQ5ODk2NDY2ODQ0NDphY2FkNmI1Ny0xOGJmLTQ4NjUtODdjMS05ZmFkNTQ5NWFjYjk6ZmIxODlkZTZkZGY0NTM4ODRkMzBiY2U3MmQ5NGI3NGY6MQ==</t>
        </is>
      </c>
      <c r="AE477">
        <v>4</v>
      </c>
    </row>
    <row r="478" ht="25.5" customHeight="1">
      <c r="A478" s="2" t="str">
        <f>=HYPERLINK("https://applink.feishu.cn/client/todo/detail?guid=d24713d4-f7d8-4abd-b570-08cbd93b95fa&amp;suite_entity_num=t101123", "8角柱贴图")</f>
        <v>8角柱贴图</v>
      </c>
      <c r="B478"/>
      <c r="C478" t="inlineStr">
        <is>
          <t>默认分组</t>
        </is>
      </c>
      <c r="D478" t="inlineStr">
        <is>
          <t>1</t>
        </is>
      </c>
      <c r="E478" t="inlineStr">
        <is>
          <t>或签任务</t>
        </is>
      </c>
      <c r="F478"/>
      <c r="G478" t="inlineStr">
        <is>
          <t>0</t>
        </is>
      </c>
      <c r="H478"/>
      <c r="I478" t="inlineStr">
        <is>
          <t>陈吉瑞</t>
        </is>
      </c>
      <c r="J478" t="inlineStr">
        <is>
          <t>陈吉瑞,龚政涛</t>
        </is>
      </c>
      <c r="K478" t="inlineStr">
        <is>
          <t>龚政涛</t>
        </is>
      </c>
      <c r="L478" s="3">
        <v>45905.600381944445</v>
      </c>
      <c r="M478" s="3">
        <v>45905.333333333336</v>
      </c>
      <c r="N478" s="3">
        <v>45911.41106481481</v>
      </c>
      <c r="O478" s="3">
        <v>45908.333333333336</v>
      </c>
      <c r="P478" s="3">
        <v>45911.411087962966</v>
      </c>
      <c r="Q478" s="2" t="str">
        <f>=HYPERLINK("https://applink.feishu.cn/client/todo/task_list?guid=4d92b9af-66d1-4cd7-95d1-4b753a64ca6b", "跃入迷城")</f>
        <v>跃入迷城</v>
      </c>
      <c r="R478" t="inlineStr">
        <is>
          <t>4d92b9af-66d1-4cd7-95d1-4b753a64ca6b</t>
        </is>
      </c>
      <c r="S478" t="inlineStr">
        <is>
          <t>d24713d4-f7d8-4abd-b570-08cbd93b95fa</t>
        </is>
      </c>
      <c r="T478">
        <v>0</v>
      </c>
      <c r="U478">
        <v>0</v>
      </c>
      <c r="V478" t="inlineStr">
        <is>
          <t>0.0.5</t>
        </is>
      </c>
      <c r="W478" t="inlineStr">
        <is>
          <t>已完成</t>
        </is>
      </c>
      <c r="X478" t="inlineStr">
        <is>
          <t>🎨艺术</t>
        </is>
      </c>
      <c r="Y478" t="inlineStr">
        <is>
          <t>模型</t>
        </is>
      </c>
      <c r="Z478" t="inlineStr">
        <is>
          <t>P1 - Bigger the Better</t>
        </is>
      </c>
      <c r="AA478"/>
      <c r="AB478"/>
      <c r="AC478"/>
      <c r="AD478" t="inlineStr">
        <is>
          <t>NzUzMjAzNDQ5ODk2NDY2ODQ0NDpkMjQ3MTNkNC1mN2Q4LTRhYmQtYjU3MC0wOGNiZDkzYjk1ZmE6MjcwMDE2YzFiY2M0OGJmMmMxZDYwZDY5Mzk2Njg4ODU6MQ==</t>
        </is>
      </c>
      <c r="AE478">
        <v>1</v>
      </c>
    </row>
    <row r="479" ht="25.5" customHeight="1">
      <c r="A479" s="2" t="str">
        <f>=HYPERLINK("https://applink.feishu.cn/client/todo/detail?guid=24a39844-56a1-4106-a93f-ad77219a95ab&amp;suite_entity_num=t101127", "更多门设计稿")</f>
        <v>更多门设计稿</v>
      </c>
      <c r="B479"/>
      <c r="C479" t="inlineStr">
        <is>
          <t>默认分组</t>
        </is>
      </c>
      <c r="D479" t="inlineStr">
        <is>
          <t>1</t>
        </is>
      </c>
      <c r="E479" t="inlineStr">
        <is>
          <t>或签任务</t>
        </is>
      </c>
      <c r="F479"/>
      <c r="G479" t="inlineStr">
        <is>
          <t>0</t>
        </is>
      </c>
      <c r="H479"/>
      <c r="I479" t="inlineStr">
        <is>
          <t>瞿敬雄</t>
        </is>
      </c>
      <c r="J479" t="inlineStr">
        <is>
          <t>瞿敬雄,龚政涛</t>
        </is>
      </c>
      <c r="K479" t="inlineStr">
        <is>
          <t>龚政涛</t>
        </is>
      </c>
      <c r="L479" s="3">
        <v>45908.412407407406</v>
      </c>
      <c r="M479" s="3">
        <v>45912.333333333336</v>
      </c>
      <c r="N479" s="3">
        <v>45930.576875</v>
      </c>
      <c r="O479" s="3">
        <v>45915.333333333336</v>
      </c>
      <c r="P479" s="3">
        <v>45930.576886574076</v>
      </c>
      <c r="Q479" s="2" t="str">
        <f>=HYPERLINK("https://applink.feishu.cn/client/todo/task_list?guid=4d92b9af-66d1-4cd7-95d1-4b753a64ca6b", "跃入迷城")</f>
        <v>跃入迷城</v>
      </c>
      <c r="R479" t="inlineStr">
        <is>
          <t>4d92b9af-66d1-4cd7-95d1-4b753a64ca6b</t>
        </is>
      </c>
      <c r="S479" t="inlineStr">
        <is>
          <t>24a39844-56a1-4106-a93f-ad77219a95ab</t>
        </is>
      </c>
      <c r="T479">
        <v>0</v>
      </c>
      <c r="U479">
        <v>0</v>
      </c>
      <c r="V479" t="inlineStr">
        <is>
          <t>0.0.5</t>
        </is>
      </c>
      <c r="W479" t="inlineStr">
        <is>
          <t>工作中</t>
        </is>
      </c>
      <c r="X479" t="inlineStr">
        <is>
          <t>🎨艺术</t>
        </is>
      </c>
      <c r="Y479" t="inlineStr">
        <is>
          <t>模型</t>
        </is>
      </c>
      <c r="Z479" t="inlineStr">
        <is>
          <t>P2 - Nice to Have</t>
        </is>
      </c>
      <c r="AA479"/>
      <c r="AB479"/>
      <c r="AC479"/>
      <c r="AD479" t="inlineStr">
        <is>
          <t>NzUzMjAzNDQ5ODk2NDY2ODQ0NDoyNGEzOTg0NC01NmExLTQxMDYtYTkzZi1hZDc3MjE5YTk1YWI6MGQyODIxZmUxMDU3YTExMGZmMjExZGMxM2Y5Y2U1OGY6MQ==</t>
        </is>
      </c>
      <c r="AE479">
        <v>2</v>
      </c>
    </row>
    <row r="480" ht="25.5" customHeight="1">
      <c r="A480" s="2" t="str">
        <f>=HYPERLINK("https://applink.feishu.cn/client/todo/detail?guid=26645d1d-6c07-40c7-93b0-2a08c660d2ca&amp;suite_entity_num=t101128", "电梯设计稿")</f>
        <v>电梯设计稿</v>
      </c>
      <c r="B480"/>
      <c r="C480" t="inlineStr">
        <is>
          <t>默认分组</t>
        </is>
      </c>
      <c r="D480" t="inlineStr">
        <is>
          <t>1</t>
        </is>
      </c>
      <c r="E480" t="inlineStr">
        <is>
          <t>或签任务</t>
        </is>
      </c>
      <c r="F480"/>
      <c r="G480" t="inlineStr">
        <is>
          <t>0</t>
        </is>
      </c>
      <c r="H480"/>
      <c r="I480" t="inlineStr">
        <is>
          <t>瞿敬雄</t>
        </is>
      </c>
      <c r="J480" t="inlineStr">
        <is>
          <t>瞿敬雄,龚政涛</t>
        </is>
      </c>
      <c r="K480" t="inlineStr">
        <is>
          <t>龚政涛</t>
        </is>
      </c>
      <c r="L480" s="3">
        <v>45908.41247685185</v>
      </c>
      <c r="M480" s="3">
        <v>45911.333333333336</v>
      </c>
      <c r="N480" s="3">
        <v>45925.63162037037</v>
      </c>
      <c r="O480" s="3">
        <v>45915.333333333336</v>
      </c>
      <c r="P480" s="3">
        <v>45925.63162037037</v>
      </c>
      <c r="Q480" s="2" t="str">
        <f>=HYPERLINK("https://applink.feishu.cn/client/todo/task_list?guid=4d92b9af-66d1-4cd7-95d1-4b753a64ca6b", "跃入迷城")</f>
        <v>跃入迷城</v>
      </c>
      <c r="R480" t="inlineStr">
        <is>
          <t>4d92b9af-66d1-4cd7-95d1-4b753a64ca6b</t>
        </is>
      </c>
      <c r="S480" t="inlineStr">
        <is>
          <t>26645d1d-6c07-40c7-93b0-2a08c660d2ca</t>
        </is>
      </c>
      <c r="T480">
        <v>0</v>
      </c>
      <c r="U480">
        <v>0</v>
      </c>
      <c r="V480" t="inlineStr">
        <is>
          <t>0.0.5</t>
        </is>
      </c>
      <c r="W480" t="inlineStr">
        <is>
          <t>工作中</t>
        </is>
      </c>
      <c r="X480" t="inlineStr">
        <is>
          <t>🎨艺术</t>
        </is>
      </c>
      <c r="Y480" t="inlineStr">
        <is>
          <t>模型</t>
        </is>
      </c>
      <c r="Z480" t="inlineStr">
        <is>
          <t>P1 - Bigger the Better</t>
        </is>
      </c>
      <c r="AA480"/>
      <c r="AB480"/>
      <c r="AC480"/>
      <c r="AD480" t="inlineStr">
        <is>
          <t>NzUzMjAzNDQ5ODk2NDY2ODQ0NDoyNjY0NWQxZC02YzA3LTQwYzctOTNiMC0yYTA4YzY2MGQyY2E6MWMxOTRlMjljY2Y3MmIwOTEzYTNlNTNiZTk2ZWQ1NmQ6MQ==</t>
        </is>
      </c>
      <c r="AE480">
        <v>6</v>
      </c>
    </row>
    <row r="481" ht="25.5" customHeight="1">
      <c r="A481" s="2" t="str">
        <f>=HYPERLINK("https://applink.feishu.cn/client/todo/detail?guid=a1c7f7eb-03e3-4bb3-a2ce-577b3370bf6f&amp;suite_entity_num=t101126", "义体LOGO模板")</f>
        <v>义体LOGO模板</v>
      </c>
      <c r="B481"/>
      <c r="C481" t="inlineStr">
        <is>
          <t>默认分组</t>
        </is>
      </c>
      <c r="D481" t="inlineStr">
        <is>
          <t>1</t>
        </is>
      </c>
      <c r="E481" t="inlineStr">
        <is>
          <t>或签任务</t>
        </is>
      </c>
      <c r="F481"/>
      <c r="G481" t="inlineStr">
        <is>
          <t>0</t>
        </is>
      </c>
      <c r="H481"/>
      <c r="I481" t="inlineStr">
        <is>
          <t>郭斯已</t>
        </is>
      </c>
      <c r="J481" t="inlineStr">
        <is>
          <t>郭斯已,龚政涛</t>
        </is>
      </c>
      <c r="K481" t="inlineStr">
        <is>
          <t>龚政涛</t>
        </is>
      </c>
      <c r="L481" s="3">
        <v>45908.41204861111</v>
      </c>
      <c r="M481" s="3"/>
      <c r="N481" s="3">
        <v>45917.45070601852</v>
      </c>
      <c r="O481" s="3">
        <v>45911.333333333336</v>
      </c>
      <c r="P481" s="3">
        <v>45917.45070601852</v>
      </c>
      <c r="Q481" s="2" t="str">
        <f>=HYPERLINK("https://applink.feishu.cn/client/todo/task_list?guid=4d92b9af-66d1-4cd7-95d1-4b753a64ca6b", "跃入迷城")</f>
        <v>跃入迷城</v>
      </c>
      <c r="R481" t="inlineStr">
        <is>
          <t>4d92b9af-66d1-4cd7-95d1-4b753a64ca6b</t>
        </is>
      </c>
      <c r="S481" t="inlineStr">
        <is>
          <t>a1c7f7eb-03e3-4bb3-a2ce-577b3370bf6f</t>
        </is>
      </c>
      <c r="T481">
        <v>0</v>
      </c>
      <c r="U481">
        <v>0</v>
      </c>
      <c r="V481" t="inlineStr">
        <is>
          <t>0.0.5</t>
        </is>
      </c>
      <c r="W481" t="inlineStr">
        <is>
          <t>已完成</t>
        </is>
      </c>
      <c r="X481" t="inlineStr">
        <is>
          <t>🎨艺术</t>
        </is>
      </c>
      <c r="Y481" t="inlineStr">
        <is>
          <t>UIUX</t>
        </is>
      </c>
      <c r="Z481" t="inlineStr">
        <is>
          <t>P2 - Nice to Have</t>
        </is>
      </c>
      <c r="AA481"/>
      <c r="AB481"/>
      <c r="AC481"/>
      <c r="AD481" t="inlineStr">
        <is>
          <t>NzUzMjAzNDQ5ODk2NDY2ODQ0NDphMWM3ZjdlYi0wM2UzLTRiYjMtYTJjZS01NzdiMzM3MGJmNmY6OTA4N2U4NDA0ZmNlMGVmYWQ4YWYyNTRkZTVmMWFmZmQ6MQ==</t>
        </is>
      </c>
      <c r="AE481">
        <v>4</v>
      </c>
    </row>
    <row r="482" ht="25.5" customHeight="1">
      <c r="A482" s="2" t="str">
        <f>=HYPERLINK("https://applink.feishu.cn/client/todo/detail?guid=7fa9a1ef-f018-41c5-b067-a3189217150b&amp;suite_entity_num=t101125", "阵营LOGO")</f>
        <v>阵营LOGO</v>
      </c>
      <c r="B482"/>
      <c r="C482" t="inlineStr">
        <is>
          <t>默认分组</t>
        </is>
      </c>
      <c r="D482" t="inlineStr">
        <is>
          <t>1</t>
        </is>
      </c>
      <c r="E482" t="inlineStr">
        <is>
          <t>或签任务</t>
        </is>
      </c>
      <c r="F482"/>
      <c r="G482" t="inlineStr">
        <is>
          <t>0</t>
        </is>
      </c>
      <c r="H482"/>
      <c r="I482" t="inlineStr">
        <is>
          <t>郭斯已</t>
        </is>
      </c>
      <c r="J482" t="inlineStr">
        <is>
          <t>龚政涛,郭斯已</t>
        </is>
      </c>
      <c r="K482" t="inlineStr">
        <is>
          <t>龚政涛</t>
        </is>
      </c>
      <c r="L482" s="3">
        <v>45908.411631944444</v>
      </c>
      <c r="M482" s="3"/>
      <c r="N482" s="3">
        <v>45917.45060185185</v>
      </c>
      <c r="O482" s="3">
        <v>45911.333333333336</v>
      </c>
      <c r="P482" s="3">
        <v>45917.45061342593</v>
      </c>
      <c r="Q482" s="2" t="str">
        <f>=HYPERLINK("https://applink.feishu.cn/client/todo/task_list?guid=4d92b9af-66d1-4cd7-95d1-4b753a64ca6b", "跃入迷城")</f>
        <v>跃入迷城</v>
      </c>
      <c r="R482" t="inlineStr">
        <is>
          <t>4d92b9af-66d1-4cd7-95d1-4b753a64ca6b</t>
        </is>
      </c>
      <c r="S482" t="inlineStr">
        <is>
          <t>7fa9a1ef-f018-41c5-b067-a3189217150b</t>
        </is>
      </c>
      <c r="T482">
        <v>0</v>
      </c>
      <c r="U482">
        <v>0</v>
      </c>
      <c r="V482" t="inlineStr">
        <is>
          <t>0.0.5</t>
        </is>
      </c>
      <c r="W482" t="inlineStr">
        <is>
          <t>已完成</t>
        </is>
      </c>
      <c r="X482" t="inlineStr">
        <is>
          <t>🎨艺术</t>
        </is>
      </c>
      <c r="Y482" t="inlineStr">
        <is>
          <t>UIUX</t>
        </is>
      </c>
      <c r="Z482" t="inlineStr">
        <is>
          <t>P2 - Nice to Have</t>
        </is>
      </c>
      <c r="AA482"/>
      <c r="AB482"/>
      <c r="AC482"/>
      <c r="AD482" t="inlineStr">
        <is>
          <t>NzUzMjAzNDQ5ODk2NDY2ODQ0NDo3ZmE5YTFlZi1mMDE4LTQxYzUtYjA2Ny1hMzE4OTIxNzE1MGI6ODE2MGQ0YmY4MGFlN2M1YzZhMjNmOTE0ZmRmZjU0ZjQ6MQ==</t>
        </is>
      </c>
      <c r="AE482">
        <v>4</v>
      </c>
    </row>
    <row r="483" ht="25.5" customHeight="1">
      <c r="A483" s="2" t="str">
        <f>=HYPERLINK("https://applink.feishu.cn/client/todo/detail?guid=4371b973-848c-4971-b699-2fda57003b3f&amp;suite_entity_num=t101130", "把门放到墙壁上出一个设计稿")</f>
        <v>把门放到墙壁上出一个设计稿</v>
      </c>
      <c r="B483"/>
      <c r="C483" t="inlineStr">
        <is>
          <t>默认分组</t>
        </is>
      </c>
      <c r="D483" t="inlineStr">
        <is>
          <t>1</t>
        </is>
      </c>
      <c r="E483" t="inlineStr">
        <is>
          <t>或签任务</t>
        </is>
      </c>
      <c r="F483"/>
      <c r="G483" t="inlineStr">
        <is>
          <t>0</t>
        </is>
      </c>
      <c r="H483"/>
      <c r="I483" t="inlineStr">
        <is>
          <t>瞿敬雄</t>
        </is>
      </c>
      <c r="J483" t="inlineStr">
        <is>
          <t>龚政涛,瞿敬雄</t>
        </is>
      </c>
      <c r="K483" t="inlineStr">
        <is>
          <t>龚政涛</t>
        </is>
      </c>
      <c r="L483" s="3">
        <v>45908.46491898148</v>
      </c>
      <c r="M483" s="3"/>
      <c r="N483" s="3">
        <v>45930.576898148145</v>
      </c>
      <c r="O483" s="3"/>
      <c r="P483" s="3">
        <v>45930.576898148145</v>
      </c>
      <c r="Q483" s="2" t="str">
        <f>=HYPERLINK("https://applink.feishu.cn/client/todo/task_list?guid=4d92b9af-66d1-4cd7-95d1-4b753a64ca6b", "跃入迷城")</f>
        <v>跃入迷城</v>
      </c>
      <c r="R483" t="inlineStr">
        <is>
          <t>4d92b9af-66d1-4cd7-95d1-4b753a64ca6b</t>
        </is>
      </c>
      <c r="S483" t="inlineStr">
        <is>
          <t>4371b973-848c-4971-b699-2fda57003b3f</t>
        </is>
      </c>
      <c r="T483">
        <v>0</v>
      </c>
      <c r="U483">
        <v>0</v>
      </c>
      <c r="V483"/>
      <c r="W483"/>
      <c r="X483"/>
      <c r="Y483"/>
      <c r="Z483"/>
      <c r="AA483"/>
      <c r="AB483"/>
      <c r="AC483"/>
      <c r="AD483" t="inlineStr">
        <is>
          <t>NzUzMjAzNDQ5ODk2NDY2ODQ0NDo0MzcxYjk3My04NDhjLTQ5NzEtYjY5OS0yZmRhNTcwMDNiM2Y6Y2E1ZThiMGNjZTVhYTNmN2E0YjYxMTI0MzUwYWE3NTQ6MQ==</t>
        </is>
      </c>
      <c r="AE483"/>
    </row>
    <row r="484" ht="25.5" customHeight="1">
      <c r="A484" s="2" t="str">
        <f>=HYPERLINK("https://applink.feishu.cn/client/todo/detail?guid=c098baad-cdcb-4f07-9726-4cf5378e74c7&amp;suite_entity_num=t101131", "把门放到墙壁上出一个设计稿")</f>
        <v>把门放到墙壁上出一个设计稿</v>
      </c>
      <c r="B484"/>
      <c r="C484" t="inlineStr">
        <is>
          <t>默认分组</t>
        </is>
      </c>
      <c r="D484" t="inlineStr">
        <is>
          <t>1</t>
        </is>
      </c>
      <c r="E484" t="inlineStr">
        <is>
          <t>或签任务</t>
        </is>
      </c>
      <c r="F484"/>
      <c r="G484" t="inlineStr">
        <is>
          <t>0</t>
        </is>
      </c>
      <c r="H484"/>
      <c r="I484" t="inlineStr">
        <is>
          <t>瞿敬雄</t>
        </is>
      </c>
      <c r="J484" t="inlineStr">
        <is>
          <t>瞿敬雄,龚政涛</t>
        </is>
      </c>
      <c r="K484" t="inlineStr">
        <is>
          <t>龚政涛</t>
        </is>
      </c>
      <c r="L484" s="3">
        <v>45908.465104166666</v>
      </c>
      <c r="M484" s="3"/>
      <c r="N484" s="3">
        <v>45915.457824074074</v>
      </c>
      <c r="O484" s="3">
        <v>45911.333333333336</v>
      </c>
      <c r="P484" s="3">
        <v>45915.457824074074</v>
      </c>
      <c r="Q484" s="2" t="str">
        <f>=HYPERLINK("https://applink.feishu.cn/client/todo/task_list?guid=4d92b9af-66d1-4cd7-95d1-4b753a64ca6b", "跃入迷城")</f>
        <v>跃入迷城</v>
      </c>
      <c r="R484" t="inlineStr">
        <is>
          <t>4d92b9af-66d1-4cd7-95d1-4b753a64ca6b</t>
        </is>
      </c>
      <c r="S484" t="inlineStr">
        <is>
          <t>c098baad-cdcb-4f07-9726-4cf5378e74c7</t>
        </is>
      </c>
      <c r="T484">
        <v>0</v>
      </c>
      <c r="U484">
        <v>0</v>
      </c>
      <c r="V484" t="inlineStr">
        <is>
          <t>0.0.5</t>
        </is>
      </c>
      <c r="W484" t="inlineStr">
        <is>
          <t>已完成</t>
        </is>
      </c>
      <c r="X484" t="inlineStr">
        <is>
          <t>🎨艺术</t>
        </is>
      </c>
      <c r="Y484" t="inlineStr">
        <is>
          <t>模型</t>
        </is>
      </c>
      <c r="Z484" t="inlineStr">
        <is>
          <t>P0 - Must (not) Have</t>
        </is>
      </c>
      <c r="AA484"/>
      <c r="AB484"/>
      <c r="AC484"/>
      <c r="AD484" t="inlineStr">
        <is>
          <t>NzUzMjAzNDQ5ODk2NDY2ODQ0NDpjMDk4YmFhZC1jZGNiLTRmMDctOTcyNi00Y2Y1Mzc4ZTc0Yzc6OTliMzliZThlMGJkNzM1YWM0NDQ2NmZhNDE1OTc5M2Q6MQ==</t>
        </is>
      </c>
      <c r="AE484">
        <v>2</v>
      </c>
    </row>
    <row r="485" ht="25.5" customHeight="1">
      <c r="A485" s="2" t="str">
        <f>=HYPERLINK("https://applink.feishu.cn/client/todo/detail?guid=7fd4a172-09f6-4495-81cd-c254e78738a0&amp;suite_entity_num=t101129", "技能和行为芯片的基础LOGO")</f>
        <v>技能和行为芯片的基础LOGO</v>
      </c>
      <c r="B485"/>
      <c r="C485" t="inlineStr">
        <is>
          <t>默认分组</t>
        </is>
      </c>
      <c r="D485" t="inlineStr">
        <is>
          <t>1</t>
        </is>
      </c>
      <c r="E485" t="inlineStr">
        <is>
          <t>或签任务</t>
        </is>
      </c>
      <c r="F485"/>
      <c r="G485" t="inlineStr">
        <is>
          <t>0</t>
        </is>
      </c>
      <c r="H485"/>
      <c r="I485" t="inlineStr">
        <is>
          <t>郭斯已</t>
        </is>
      </c>
      <c r="J485" t="inlineStr">
        <is>
          <t>郭斯已,龚政涛</t>
        </is>
      </c>
      <c r="K485" t="inlineStr">
        <is>
          <t>龚政涛</t>
        </is>
      </c>
      <c r="L485" s="3">
        <v>45908.461909722224</v>
      </c>
      <c r="M485" s="3"/>
      <c r="N485" s="3">
        <v>45916.58028935185</v>
      </c>
      <c r="O485" s="3">
        <v>45916.333333333336</v>
      </c>
      <c r="P485" s="3">
        <v>45916.580300925925</v>
      </c>
      <c r="Q485" s="2" t="str">
        <f>=HYPERLINK("https://applink.feishu.cn/client/todo/task_list?guid=4d92b9af-66d1-4cd7-95d1-4b753a64ca6b", "跃入迷城")</f>
        <v>跃入迷城</v>
      </c>
      <c r="R485" t="inlineStr">
        <is>
          <t>4d92b9af-66d1-4cd7-95d1-4b753a64ca6b</t>
        </is>
      </c>
      <c r="S485" t="inlineStr">
        <is>
          <t>7fd4a172-09f6-4495-81cd-c254e78738a0</t>
        </is>
      </c>
      <c r="T485">
        <v>0</v>
      </c>
      <c r="U485">
        <v>0</v>
      </c>
      <c r="V485" t="inlineStr">
        <is>
          <t>0.0.5</t>
        </is>
      </c>
      <c r="W485" t="inlineStr">
        <is>
          <t>已完成</t>
        </is>
      </c>
      <c r="X485" t="inlineStr">
        <is>
          <t>🎨艺术</t>
        </is>
      </c>
      <c r="Y485" t="inlineStr">
        <is>
          <t>UIUX</t>
        </is>
      </c>
      <c r="Z485" t="inlineStr">
        <is>
          <t>P1 - Bigger the Better</t>
        </is>
      </c>
      <c r="AA485"/>
      <c r="AB485"/>
      <c r="AC485"/>
      <c r="AD485" t="inlineStr">
        <is>
          <t>NzUzMjAzNDQ5ODk2NDY2ODQ0NDo3ZmQ0YTE3Mi0wOWY2LTQ0OTUtODFjZC1jMjU0ZTc4NzM4YTA6NWVjNGRmNzRmOTQ5ZDIwNjNkODc3NzdhOTk2YmI3Nzc6MQ==</t>
        </is>
      </c>
      <c r="AE485">
        <v>4</v>
      </c>
    </row>
    <row r="486" ht="25.5" customHeight="1">
      <c r="A486" s="2" t="str">
        <f>=HYPERLINK("https://applink.feishu.cn/client/todo/detail?guid=d6d30f4e-f6e0-4e57-a866-fbc65f7f00b1&amp;suite_entity_num=t101135", "门模型")</f>
        <v>门模型</v>
      </c>
      <c r="B486"/>
      <c r="C486" t="inlineStr">
        <is>
          <t>默认分组</t>
        </is>
      </c>
      <c r="D486" t="inlineStr">
        <is>
          <t>0</t>
        </is>
      </c>
      <c r="E486" t="inlineStr">
        <is>
          <t>或签任务</t>
        </is>
      </c>
      <c r="F486"/>
      <c r="G486" t="inlineStr">
        <is>
          <t>0</t>
        </is>
      </c>
      <c r="H486"/>
      <c r="I486" t="inlineStr">
        <is>
          <t>陈吉瑞</t>
        </is>
      </c>
      <c r="J486" t="inlineStr">
        <is>
          <t>龚政涛,陈吉瑞</t>
        </is>
      </c>
      <c r="K486" t="inlineStr">
        <is>
          <t>龚政涛</t>
        </is>
      </c>
      <c r="L486" s="3">
        <v>45915.46115740741</v>
      </c>
      <c r="M486" s="3">
        <v>45915.333333333336</v>
      </c>
      <c r="N486" s="3"/>
      <c r="O486" s="3">
        <v>45918.333333333336</v>
      </c>
      <c r="P486" s="3">
        <v>45918.439571759256</v>
      </c>
      <c r="Q486" s="2" t="str">
        <f>=HYPERLINK("https://applink.feishu.cn/client/todo/task_list?guid=4d92b9af-66d1-4cd7-95d1-4b753a64ca6b", "跃入迷城")</f>
        <v>跃入迷城</v>
      </c>
      <c r="R486" t="inlineStr">
        <is>
          <t>4d92b9af-66d1-4cd7-95d1-4b753a64ca6b</t>
        </is>
      </c>
      <c r="S486" t="inlineStr">
        <is>
          <t>d6d30f4e-f6e0-4e57-a866-fbc65f7f00b1</t>
        </is>
      </c>
      <c r="T486">
        <v>0</v>
      </c>
      <c r="U486">
        <v>0</v>
      </c>
      <c r="V486"/>
      <c r="W486" t="inlineStr">
        <is>
          <t>工作中</t>
        </is>
      </c>
      <c r="X486" t="inlineStr">
        <is>
          <t>🎨艺术</t>
        </is>
      </c>
      <c r="Y486" t="inlineStr">
        <is>
          <t>模型</t>
        </is>
      </c>
      <c r="Z486"/>
      <c r="AA486"/>
      <c r="AB486"/>
      <c r="AC486"/>
      <c r="AD486" t="inlineStr">
        <is>
          <t>NzUzMjAzNDQ5ODk2NDY2ODQ0NDpkNmQzMGY0ZS1mNmUwLTRlNTctYTg2Ni1mYmM2NWY3ZjAwYjE6ZDAzYzE0MjU2ODZlZTg2NzhhNjA0OTdhYmRhMTVkYjM6MQ==</t>
        </is>
      </c>
      <c r="AE486">
        <v>2</v>
      </c>
    </row>
    <row r="487" ht="25.5" customHeight="1">
      <c r="A487" s="2" t="str">
        <f>=HYPERLINK("https://applink.feishu.cn/client/todo/detail?guid=b50d728f-9b7d-40bf-9c54-733c8e6f7020&amp;suite_entity_num=t101138", "制作具体的LOGO")</f>
        <v>制作具体的LOGO</v>
      </c>
      <c r="B487"/>
      <c r="C487" t="inlineStr">
        <is>
          <t>默认分组</t>
        </is>
      </c>
      <c r="D487" t="inlineStr">
        <is>
          <t>0</t>
        </is>
      </c>
      <c r="E487" t="inlineStr">
        <is>
          <t>或签任务</t>
        </is>
      </c>
      <c r="F487"/>
      <c r="G487" t="inlineStr">
        <is>
          <t>0</t>
        </is>
      </c>
      <c r="H487"/>
      <c r="I487" t="inlineStr">
        <is>
          <t>郭斯已</t>
        </is>
      </c>
      <c r="J487" t="inlineStr">
        <is>
          <t>郭斯已,龚政涛</t>
        </is>
      </c>
      <c r="K487" t="inlineStr">
        <is>
          <t>龚政涛</t>
        </is>
      </c>
      <c r="L487" s="3">
        <v>45916.58039351852</v>
      </c>
      <c r="M487" s="3"/>
      <c r="N487" s="3"/>
      <c r="O487" s="3"/>
      <c r="P487" s="3">
        <v>45916.580405092594</v>
      </c>
      <c r="Q487" s="2" t="str">
        <f>=HYPERLINK("https://applink.feishu.cn/client/todo/task_list?guid=4d92b9af-66d1-4cd7-95d1-4b753a64ca6b", "跃入迷城")</f>
        <v>跃入迷城</v>
      </c>
      <c r="R487" t="inlineStr">
        <is>
          <t>4d92b9af-66d1-4cd7-95d1-4b753a64ca6b</t>
        </is>
      </c>
      <c r="S487" t="inlineStr">
        <is>
          <t>b50d728f-9b7d-40bf-9c54-733c8e6f7020</t>
        </is>
      </c>
      <c r="T487">
        <v>0</v>
      </c>
      <c r="U487">
        <v>0</v>
      </c>
      <c r="V487"/>
      <c r="W487"/>
      <c r="X487" t="inlineStr">
        <is>
          <t>🎨艺术</t>
        </is>
      </c>
      <c r="Y487"/>
      <c r="Z487"/>
      <c r="AA487"/>
      <c r="AB487"/>
      <c r="AC487"/>
      <c r="AD487" t="inlineStr">
        <is>
          <t>NzUzMjAzNDQ5ODk2NDY2ODQ0NDpiNTBkNzI4Zi05YjdkLTQwYmYtOWM1NC03MzNjOGU2ZjcwMjA6MGZjY2M1YTE2YTc3ZTZhOTUzMmFlOTZjZDk1MTY1Yzk6MQ==</t>
        </is>
      </c>
      <c r="AE487"/>
    </row>
    <row r="488" ht="25.5" customHeight="1">
      <c r="A488" s="2" t="str">
        <f>=HYPERLINK("https://applink.feishu.cn/client/todo/detail?guid=4187fef3-9241-4051-883d-c333fe8fac55&amp;suite_entity_num=t101140", "义体卡片的icon样式")</f>
        <v>义体卡片的icon样式</v>
      </c>
      <c r="B488"/>
      <c r="C488" t="inlineStr">
        <is>
          <t>默认分组</t>
        </is>
      </c>
      <c r="D488" t="inlineStr">
        <is>
          <t>0</t>
        </is>
      </c>
      <c r="E488" t="inlineStr">
        <is>
          <t>或签任务</t>
        </is>
      </c>
      <c r="F488"/>
      <c r="G488" t="inlineStr">
        <is>
          <t>0</t>
        </is>
      </c>
      <c r="H488"/>
      <c r="I488" t="inlineStr">
        <is>
          <t>郭斯已</t>
        </is>
      </c>
      <c r="J488" t="inlineStr">
        <is>
          <t>龚政涛,郭斯已</t>
        </is>
      </c>
      <c r="K488" t="inlineStr">
        <is>
          <t>龚政涛</t>
        </is>
      </c>
      <c r="L488" s="3">
        <v>45917.44020833333</v>
      </c>
      <c r="M488" s="3"/>
      <c r="N488" s="3"/>
      <c r="O488" s="3"/>
      <c r="P488" s="3">
        <v>45917.44021990741</v>
      </c>
      <c r="Q488" s="2" t="str">
        <f>=HYPERLINK("https://applink.feishu.cn/client/todo/task_list?guid=4d92b9af-66d1-4cd7-95d1-4b753a64ca6b", "跃入迷城")</f>
        <v>跃入迷城</v>
      </c>
      <c r="R488" t="inlineStr">
        <is>
          <t>4d92b9af-66d1-4cd7-95d1-4b753a64ca6b</t>
        </is>
      </c>
      <c r="S488" t="inlineStr">
        <is>
          <t>4187fef3-9241-4051-883d-c333fe8fac55</t>
        </is>
      </c>
      <c r="T488">
        <v>0</v>
      </c>
      <c r="U488">
        <v>0</v>
      </c>
      <c r="V488"/>
      <c r="W488"/>
      <c r="X488"/>
      <c r="Y488"/>
      <c r="Z488"/>
      <c r="AA488"/>
      <c r="AB488"/>
      <c r="AC488"/>
      <c r="AD488" t="inlineStr">
        <is>
          <t>NzUzMjAzNDQ5ODk2NDY2ODQ0NDo0MTg3ZmVmMy05MjQxLTQwNTEtODgzZC1jMzMzZmU4ZmFjNTU6OTEzYzBkZjhmZjVlOTI3YmRlNTg4NjAxYmFiMmFkNzk6MQ==</t>
        </is>
      </c>
      <c r="AE488"/>
    </row>
    <row r="489" ht="25.5" customHeight="1">
      <c r="A489" s="2" t="str">
        <f>=HYPERLINK("https://applink.feishu.cn/client/todo/detail?guid=df5c9430-8fd9-4dba-9ffb-93dd5a23b7b1&amp;suite_entity_num=t101141", "义体卡牌ICON样式")</f>
        <v>义体卡牌ICON样式</v>
      </c>
      <c r="B489"/>
      <c r="C489" t="inlineStr">
        <is>
          <t>默认分组</t>
        </is>
      </c>
      <c r="D489" t="inlineStr">
        <is>
          <t>0</t>
        </is>
      </c>
      <c r="E489" t="inlineStr">
        <is>
          <t>或签任务</t>
        </is>
      </c>
      <c r="F489"/>
      <c r="G489" t="inlineStr">
        <is>
          <t>0</t>
        </is>
      </c>
      <c r="H489"/>
      <c r="I489" t="inlineStr">
        <is>
          <t>郭斯已</t>
        </is>
      </c>
      <c r="J489" t="inlineStr">
        <is>
          <t>郭斯已,龚政涛</t>
        </is>
      </c>
      <c r="K489" t="inlineStr">
        <is>
          <t>龚政涛</t>
        </is>
      </c>
      <c r="L489" s="3">
        <v>45917.44045138889</v>
      </c>
      <c r="M489" s="3"/>
      <c r="N489" s="3"/>
      <c r="O489" s="3">
        <v>45917.333333333336</v>
      </c>
      <c r="P489" s="3">
        <v>45917.448159722226</v>
      </c>
      <c r="Q489" s="2" t="str">
        <f>=HYPERLINK("https://applink.feishu.cn/client/todo/task_list?guid=4d92b9af-66d1-4cd7-95d1-4b753a64ca6b", "跃入迷城")</f>
        <v>跃入迷城</v>
      </c>
      <c r="R489" t="inlineStr">
        <is>
          <t>4d92b9af-66d1-4cd7-95d1-4b753a64ca6b</t>
        </is>
      </c>
      <c r="S489" t="inlineStr">
        <is>
          <t>df5c9430-8fd9-4dba-9ffb-93dd5a23b7b1</t>
        </is>
      </c>
      <c r="T489">
        <v>0</v>
      </c>
      <c r="U489">
        <v>0</v>
      </c>
      <c r="V489"/>
      <c r="W489"/>
      <c r="X489" t="inlineStr">
        <is>
          <t>🎨艺术</t>
        </is>
      </c>
      <c r="Y489" t="inlineStr">
        <is>
          <t>UIUX</t>
        </is>
      </c>
      <c r="Z489" t="inlineStr">
        <is>
          <t>P0 - Must (not) Have</t>
        </is>
      </c>
      <c r="AA489"/>
      <c r="AB489"/>
      <c r="AC489"/>
      <c r="AD489" t="inlineStr">
        <is>
          <t>NzUzMjAzNDQ5ODk2NDY2ODQ0NDpkZjVjOTQzMC04ZmQ5LTRkYmEtOWZmYi05M2RkNWEyM2I3YjE6N2QwMGNhZTEwZTBjOGE0MmViN2Q5MGNhY2FjZTM3YTk6MQ==</t>
        </is>
      </c>
      <c r="AE489"/>
    </row>
    <row r="490" ht="25.5" customHeight="1">
      <c r="A490" s="2" t="str">
        <f>=HYPERLINK("https://applink.feishu.cn/client/todo/detail?guid=6b67d9ff-f7a6-401c-8be5-1988fdb9edf0&amp;suite_entity_num=t101143", "BUFF样式")</f>
        <v>BUFF样式</v>
      </c>
      <c r="B490"/>
      <c r="C490" t="inlineStr">
        <is>
          <t>默认分组</t>
        </is>
      </c>
      <c r="D490" t="inlineStr">
        <is>
          <t>0</t>
        </is>
      </c>
      <c r="E490" t="inlineStr">
        <is>
          <t>或签任务</t>
        </is>
      </c>
      <c r="F490"/>
      <c r="G490" t="inlineStr">
        <is>
          <t>0</t>
        </is>
      </c>
      <c r="H490"/>
      <c r="I490" t="inlineStr">
        <is>
          <t>郭斯已</t>
        </is>
      </c>
      <c r="J490" t="inlineStr">
        <is>
          <t>郭斯已,龚政涛</t>
        </is>
      </c>
      <c r="K490" t="inlineStr">
        <is>
          <t>龚政涛</t>
        </is>
      </c>
      <c r="L490" s="3">
        <v>45917.453784722224</v>
      </c>
      <c r="M490" s="3"/>
      <c r="N490" s="3"/>
      <c r="O490" s="3">
        <v>45917.333333333336</v>
      </c>
      <c r="P490" s="3">
        <v>45917.45379629629</v>
      </c>
      <c r="Q490" s="2" t="str">
        <f>=HYPERLINK("https://applink.feishu.cn/client/todo/task_list?guid=4d92b9af-66d1-4cd7-95d1-4b753a64ca6b", "跃入迷城")</f>
        <v>跃入迷城</v>
      </c>
      <c r="R490" t="inlineStr">
        <is>
          <t>4d92b9af-66d1-4cd7-95d1-4b753a64ca6b</t>
        </is>
      </c>
      <c r="S490" t="inlineStr">
        <is>
          <t>6b67d9ff-f7a6-401c-8be5-1988fdb9edf0</t>
        </is>
      </c>
      <c r="T490">
        <v>0</v>
      </c>
      <c r="U490">
        <v>0</v>
      </c>
      <c r="V490"/>
      <c r="W490"/>
      <c r="X490"/>
      <c r="Y490"/>
      <c r="Z490"/>
      <c r="AA490"/>
      <c r="AB490"/>
      <c r="AC490"/>
      <c r="AD490" t="inlineStr">
        <is>
          <t>NzUzMjAzNDQ5ODk2NDY2ODQ0NDo2YjY3ZDlmZi1mN2E2LTQwMWMtOGJlNS0xOTg4ZmRiOWVkZjA6OTljYTQ0N2ExYmMzMmZiYjkwYzhlMmYyOTBkNWYxNWU6MQ==</t>
        </is>
      </c>
      <c r="AE490"/>
    </row>
    <row r="491" ht="25.5" customHeight="1">
      <c r="A491" s="2" t="str">
        <f>=HYPERLINK("https://applink.feishu.cn/client/todo/detail?guid=1a9332cb-d55c-46d1-9cfa-6c90046256db&amp;suite_entity_num=t101142", "BUFF")</f>
        <v>BUFF</v>
      </c>
      <c r="B491"/>
      <c r="C491" t="inlineStr">
        <is>
          <t>默认分组</t>
        </is>
      </c>
      <c r="D491" t="inlineStr">
        <is>
          <t>0</t>
        </is>
      </c>
      <c r="E491" t="inlineStr">
        <is>
          <t>或签任务</t>
        </is>
      </c>
      <c r="F491"/>
      <c r="G491" t="inlineStr">
        <is>
          <t>0</t>
        </is>
      </c>
      <c r="H491"/>
      <c r="I491" t="inlineStr">
        <is>
          <t>郭斯已</t>
        </is>
      </c>
      <c r="J491" t="inlineStr">
        <is>
          <t>郭斯已,龚政涛</t>
        </is>
      </c>
      <c r="K491" t="inlineStr">
        <is>
          <t>龚政涛</t>
        </is>
      </c>
      <c r="L491" s="3">
        <v>45917.452314814815</v>
      </c>
      <c r="M491" s="3"/>
      <c r="N491" s="3"/>
      <c r="O491" s="3"/>
      <c r="P491" s="3">
        <v>45917.45232638889</v>
      </c>
      <c r="Q491" s="2" t="str">
        <f>=HYPERLINK("https://applink.feishu.cn/client/todo/task_list?guid=4d92b9af-66d1-4cd7-95d1-4b753a64ca6b", "跃入迷城")</f>
        <v>跃入迷城</v>
      </c>
      <c r="R491" t="inlineStr">
        <is>
          <t>4d92b9af-66d1-4cd7-95d1-4b753a64ca6b</t>
        </is>
      </c>
      <c r="S491" t="inlineStr">
        <is>
          <t>1a9332cb-d55c-46d1-9cfa-6c90046256db</t>
        </is>
      </c>
      <c r="T491">
        <v>0</v>
      </c>
      <c r="U491">
        <v>0</v>
      </c>
      <c r="V491"/>
      <c r="W491"/>
      <c r="X491"/>
      <c r="Y491"/>
      <c r="Z491"/>
      <c r="AA491"/>
      <c r="AB491"/>
      <c r="AC491"/>
      <c r="AD491" t="inlineStr">
        <is>
          <t>NzUzMjAzNDQ5ODk2NDY2ODQ0NDoxYTkzMzJjYi1kNTVjLTQ2ZDEtOWNmYS02YzkwMDQ2MjU2ZGI6OGM0Y2U5ZjYwMDRiMWVjZTRlN2YxMmM2MDZkZWQ4OGY6MQ==</t>
        </is>
      </c>
      <c r="AE491"/>
    </row>
    <row r="492" ht="25.5" customHeight="1">
      <c r="A492" s="2" t="str">
        <f>=HYPERLINK("https://applink.feishu.cn/client/todo/detail?guid=657a54c8-115d-4c0a-9c7d-b2fa081ecb62&amp;suite_entity_num=t101144", "义体ICON具体设计 - 劳旅 · 劳工")</f>
        <v>义体ICON具体设计 - 劳旅 · 劳工</v>
      </c>
      <c r="B492"/>
      <c r="C492" t="inlineStr">
        <is>
          <t>默认分组</t>
        </is>
      </c>
      <c r="D492" t="inlineStr">
        <is>
          <t>0</t>
        </is>
      </c>
      <c r="E492" t="inlineStr">
        <is>
          <t>或签任务</t>
        </is>
      </c>
      <c r="F492"/>
      <c r="G492" t="inlineStr">
        <is>
          <t>0</t>
        </is>
      </c>
      <c r="H492"/>
      <c r="I492" t="inlineStr">
        <is>
          <t>郭斯已</t>
        </is>
      </c>
      <c r="J492" t="inlineStr">
        <is>
          <t>郭斯已,龚政涛</t>
        </is>
      </c>
      <c r="K492" t="inlineStr">
        <is>
          <t>龚政涛</t>
        </is>
      </c>
      <c r="L492" s="3">
        <v>45917.454050925924</v>
      </c>
      <c r="M492" s="3"/>
      <c r="N492" s="3"/>
      <c r="O492" s="3">
        <v>45917.333333333336</v>
      </c>
      <c r="P492" s="3">
        <v>45917.4540625</v>
      </c>
      <c r="Q492" s="2" t="str">
        <f>=HYPERLINK("https://applink.feishu.cn/client/todo/task_list?guid=4d92b9af-66d1-4cd7-95d1-4b753a64ca6b", "跃入迷城")</f>
        <v>跃入迷城</v>
      </c>
      <c r="R492" t="inlineStr">
        <is>
          <t>4d92b9af-66d1-4cd7-95d1-4b753a64ca6b</t>
        </is>
      </c>
      <c r="S492" t="inlineStr">
        <is>
          <t>657a54c8-115d-4c0a-9c7d-b2fa081ecb62</t>
        </is>
      </c>
      <c r="T492">
        <v>0</v>
      </c>
      <c r="U492">
        <v>0</v>
      </c>
      <c r="V492"/>
      <c r="W492"/>
      <c r="X492"/>
      <c r="Y492"/>
      <c r="Z492"/>
      <c r="AA492"/>
      <c r="AB492"/>
      <c r="AC492"/>
      <c r="AD492" t="inlineStr">
        <is>
          <t>NzUzMjAzNDQ5ODk2NDY2ODQ0NDo2NTdhNTRjOC0xMTVkLTRjMGEtOWM3ZC1iMmZhMDgxZWNiNjI6ZDE2NmNhMzdkZDY2YjVhNzE0NTYwYjUwZmU1YWViM2Y6MQ==</t>
        </is>
      </c>
      <c r="AE492"/>
    </row>
    <row r="493" ht="25.5" customHeight="1">
      <c r="A493" s="2" t="str">
        <f>=HYPERLINK("https://applink.feishu.cn/client/todo/detail?guid=3a542af8-57c9-4c16-956d-8f733d87064c&amp;suite_entity_num=t101145", "无人机页面样式调整")</f>
        <v>无人机页面样式调整</v>
      </c>
      <c r="B493"/>
      <c r="C493" t="inlineStr">
        <is>
          <t>默认分组</t>
        </is>
      </c>
      <c r="D493" t="inlineStr">
        <is>
          <t>0</t>
        </is>
      </c>
      <c r="E493" t="inlineStr">
        <is>
          <t>或签任务</t>
        </is>
      </c>
      <c r="F493"/>
      <c r="G493" t="inlineStr">
        <is>
          <t>0</t>
        </is>
      </c>
      <c r="H493"/>
      <c r="I493" t="inlineStr">
        <is>
          <t>郭斯已</t>
        </is>
      </c>
      <c r="J493" t="inlineStr">
        <is>
          <t>郭斯已,龚政涛</t>
        </is>
      </c>
      <c r="K493" t="inlineStr">
        <is>
          <t>龚政涛</t>
        </is>
      </c>
      <c r="L493" s="3">
        <v>45917.457141203704</v>
      </c>
      <c r="M493" s="3"/>
      <c r="N493" s="3"/>
      <c r="O493" s="3">
        <v>45917.333333333336</v>
      </c>
      <c r="P493" s="3">
        <v>45917.457141203704</v>
      </c>
      <c r="Q493" s="2" t="str">
        <f>=HYPERLINK("https://applink.feishu.cn/client/todo/task_list?guid=4d92b9af-66d1-4cd7-95d1-4b753a64ca6b", "跃入迷城")</f>
        <v>跃入迷城</v>
      </c>
      <c r="R493" t="inlineStr">
        <is>
          <t>4d92b9af-66d1-4cd7-95d1-4b753a64ca6b</t>
        </is>
      </c>
      <c r="S493" t="inlineStr">
        <is>
          <t>3a542af8-57c9-4c16-956d-8f733d87064c</t>
        </is>
      </c>
      <c r="T493">
        <v>0</v>
      </c>
      <c r="U493">
        <v>0</v>
      </c>
      <c r="V493"/>
      <c r="W493"/>
      <c r="X493"/>
      <c r="Y493"/>
      <c r="Z493"/>
      <c r="AA493"/>
      <c r="AB493"/>
      <c r="AC493"/>
      <c r="AD493" t="inlineStr">
        <is>
          <t>NzUzMjAzNDQ5ODk2NDY2ODQ0NDozYTU0MmFmOC01N2M5LTRjMTYtOTU2ZC04ZjczM2Q4NzA2NGM6NDU1ZjVhZDZlOTgyZDQwMDA1N2Q3MmIzMzc4MDE2Zjc6MQ==</t>
        </is>
      </c>
      <c r="AE493"/>
    </row>
    <row r="494" ht="25.5" customHeight="1">
      <c r="A494" s="2" t="str">
        <f>=HYPERLINK("https://applink.feishu.cn/client/todo/detail?guid=4ec37cbc-fdd2-470a-9d69-531bd43b75a1&amp;suite_entity_num=t101147", "✨新增：增加了对话和任务系统")</f>
        <v>✨新增：增加了对话和任务系统</v>
      </c>
      <c r="B494"/>
      <c r="C494" t="inlineStr">
        <is>
          <t>默认分组</t>
        </is>
      </c>
      <c r="D494" t="inlineStr">
        <is>
          <t>0</t>
        </is>
      </c>
      <c r="E494" t="inlineStr">
        <is>
          <t>或签任务</t>
        </is>
      </c>
      <c r="F494"/>
      <c r="G494" t="inlineStr">
        <is>
          <t>0</t>
        </is>
      </c>
      <c r="H494"/>
      <c r="I494" t="inlineStr">
        <is>
          <t>Decay</t>
        </is>
      </c>
      <c r="J494" t="inlineStr">
        <is>
          <t>Decay,龚政涛</t>
        </is>
      </c>
      <c r="K494" t="inlineStr">
        <is>
          <t>龚政涛</t>
        </is>
      </c>
      <c r="L494" s="3">
        <v>45918.56115740741</v>
      </c>
      <c r="M494" s="3">
        <v>45918.333333333336</v>
      </c>
      <c r="N494" s="3"/>
      <c r="O494" s="3">
        <v>45918.333333333336</v>
      </c>
      <c r="P494" s="3">
        <v>45918.56151620371</v>
      </c>
      <c r="Q494" s="2" t="str">
        <f>=HYPERLINK("https://applink.feishu.cn/client/todo/task_list?guid=4d92b9af-66d1-4cd7-95d1-4b753a64ca6b", "跃入迷城")</f>
        <v>跃入迷城</v>
      </c>
      <c r="R494" t="inlineStr">
        <is>
          <t>4d92b9af-66d1-4cd7-95d1-4b753a64ca6b</t>
        </is>
      </c>
      <c r="S494" t="inlineStr">
        <is>
          <t>4ec37cbc-fdd2-470a-9d69-531bd43b75a1</t>
        </is>
      </c>
      <c r="T494">
        <v>0</v>
      </c>
      <c r="U494">
        <v>0</v>
      </c>
      <c r="V494" t="inlineStr">
        <is>
          <t>0.0.5</t>
        </is>
      </c>
      <c r="W494"/>
      <c r="X494" t="inlineStr">
        <is>
          <t>🛠️技术</t>
        </is>
      </c>
      <c r="Y494" t="inlineStr">
        <is>
          <t>剧本</t>
        </is>
      </c>
      <c r="Z494" t="inlineStr">
        <is>
          <t>P2 - Nice to Have</t>
        </is>
      </c>
      <c r="AA494"/>
      <c r="AB494"/>
      <c r="AC494"/>
      <c r="AD494" t="inlineStr">
        <is>
          <t>NzUzMjAzNDQ5ODk2NDY2ODQ0NDo0ZWMzN2NiYy1mZGQyLTQ3MGEtOWQ2OS01MzFiZDQzYjc1YTE6ZTE1MWJlNDFkMzYzMDBlMzUzYmVkODNlY2MzODBkMzU6MQ==</t>
        </is>
      </c>
      <c r="AE494"/>
    </row>
    <row r="495" ht="25.5" customHeight="1">
      <c xml:space="preserve" r="A495" s="2" t="str">
        <f>=HYPERLINK("https://applink.feishu.cn/client/todo/detail?guid=ff48df6a-75ff-4c88-9643-e54797326fc9&amp;suite_entity_num=t101148", "fade in、fade out隐藏读取关卡的时间 &lt; ✨新增：平级关卡切换的功能：玩家现在可以在同一个游戏强度（Level）下，访问其他地图，进行额外的挑战以获得额外奖励，该访问功能需要消耗特定的局内资源，同样的资源也可以用于刷新奖励 ")</f>
        <v>fade in、fade out隐藏读取关卡的时间 &lt; ✨新增：平级关卡切换的功能：玩家现在可以在同一个游戏强度（Level）下，访问其他地图，进行额外的挑战以获得额外奖励，该访问功能需要消耗特定的局内资源，同样的资源也可以用于刷新奖励 </v>
      </c>
      <c r="B495"/>
      <c r="C495"/>
      <c r="D495" t="inlineStr">
        <is>
          <t>0</t>
        </is>
      </c>
      <c r="E495" t="inlineStr">
        <is>
          <t>或签任务</t>
        </is>
      </c>
      <c r="F495"/>
      <c r="G495" t="inlineStr">
        <is>
          <t>0</t>
        </is>
      </c>
      <c r="H495"/>
      <c r="I495"/>
      <c r="J495" t="inlineStr">
        <is>
          <t>龚政涛</t>
        </is>
      </c>
      <c r="K495" t="inlineStr">
        <is>
          <t>龚政涛</t>
        </is>
      </c>
      <c r="L495" s="3">
        <v>45918.56178240741</v>
      </c>
      <c r="M495" s="3"/>
      <c r="N495" s="3"/>
      <c r="O495" s="3"/>
      <c r="P495" s="3">
        <v>45918.5805787037</v>
      </c>
      <c r="Q495" s="2" t="str">
        <f>=HYPERLINK("https://applink.feishu.cn/client/todo/task_list?guid=4d92b9af-66d1-4cd7-95d1-4b753a64ca6b", "跃入迷城")</f>
        <v>跃入迷城</v>
      </c>
      <c r="R495" t="inlineStr">
        <is>
          <t>4d92b9af-66d1-4cd7-95d1-4b753a64ca6b</t>
        </is>
      </c>
      <c r="S495" t="inlineStr">
        <is>
          <t>ff48df6a-75ff-4c88-9643-e54797326fc9</t>
        </is>
      </c>
      <c r="T495">
        <v>0</v>
      </c>
      <c r="U495">
        <v>0</v>
      </c>
      <c r="V495"/>
      <c r="W495"/>
      <c r="X495"/>
      <c r="Y495"/>
      <c r="Z495"/>
      <c r="AA495"/>
      <c r="AB495"/>
      <c r="AC495" t="inlineStr">
        <is>
          <t>ac428c2f-96e9-4cd8-83aa-b78ec9473ea1</t>
        </is>
      </c>
      <c r="AD495" t="inlineStr">
        <is>
          <t>NzUzMjAzNDQ5ODk2NDY2ODQ0NDpmZjQ4ZGY2YS03NWZmLTRjODgtOTY0My1lNTQ3OTczMjZmYzk6MGQ4NDkxYWVjNjM3Zjk5OGExNzIxMTRkODBjMjJjMTE6MQ==</t>
        </is>
      </c>
      <c r="AE495"/>
    </row>
    <row r="496" ht="25.5" customHeight="1">
      <c r="A496" s="2" t="str">
        <f>=HYPERLINK("https://applink.feishu.cn/client/todo/detail?guid=e49784ae-096b-4259-8035-725a6661d2df&amp;suite_entity_num=t101173", "安全屋概念图")</f>
        <v>安全屋概念图</v>
      </c>
      <c r="B496"/>
      <c r="C496" t="inlineStr">
        <is>
          <t>默认分组</t>
        </is>
      </c>
      <c r="D496" t="inlineStr">
        <is>
          <t>0</t>
        </is>
      </c>
      <c r="E496" t="inlineStr">
        <is>
          <t>或签任务</t>
        </is>
      </c>
      <c r="F496"/>
      <c r="G496" t="inlineStr">
        <is>
          <t>0</t>
        </is>
      </c>
      <c r="H496"/>
      <c r="I496" t="inlineStr">
        <is>
          <t>瞿敬雄</t>
        </is>
      </c>
      <c r="J496" t="inlineStr">
        <is>
          <t>陈吉瑞,龚政涛,瞿敬雄</t>
        </is>
      </c>
      <c r="K496" t="inlineStr">
        <is>
          <t>龚政涛</t>
        </is>
      </c>
      <c r="L496" s="3">
        <v>45950.40692129629</v>
      </c>
      <c r="M496" s="3">
        <v>45950.333333333336</v>
      </c>
      <c r="N496" s="3"/>
      <c r="O496" s="3">
        <v>45954.333333333336</v>
      </c>
      <c r="P496" s="3">
        <v>45950.407685185186</v>
      </c>
      <c r="Q496" s="2" t="str">
        <f>=HYPERLINK("https://applink.feishu.cn/client/todo/task_list?guid=4d92b9af-66d1-4cd7-95d1-4b753a64ca6b", "跃入迷城")</f>
        <v>跃入迷城</v>
      </c>
      <c r="R496" t="inlineStr">
        <is>
          <t>4d92b9af-66d1-4cd7-95d1-4b753a64ca6b</t>
        </is>
      </c>
      <c r="S496" t="inlineStr">
        <is>
          <t>e49784ae-096b-4259-8035-725a6661d2df</t>
        </is>
      </c>
      <c r="T496">
        <v>0</v>
      </c>
      <c r="U496">
        <v>0</v>
      </c>
      <c r="V496" t="inlineStr">
        <is>
          <t>0.0.5</t>
        </is>
      </c>
      <c r="W496" t="inlineStr">
        <is>
          <t>工作中</t>
        </is>
      </c>
      <c r="X496" t="inlineStr">
        <is>
          <t>🎨艺术</t>
        </is>
      </c>
      <c r="Y496" t="inlineStr">
        <is>
          <t>平面美术</t>
        </is>
      </c>
      <c r="Z496"/>
      <c r="AA496"/>
      <c r="AB496"/>
      <c r="AC496"/>
      <c r="AD496" t="inlineStr">
        <is>
          <t>NzUzMjAzNDQ5ODk2NDY2ODQ0NDplNDk3ODRhZS0wOTZiLTQyNTktODAzNS03MjVhNjY2MWQyZGY6ZWVjNDU2Yjk3YjQ2ZmE4MTViMWYyZWUzMGFmODIwODQ6MQ==</t>
        </is>
      </c>
      <c r="AE496">
        <v>8</v>
      </c>
    </row>
    <row r="497" ht="25.5" customHeight="1">
      <c r="A497" s="2" t="str">
        <f>=HYPERLINK("https://applink.feishu.cn/client/todo/detail?guid=49d5ad27-ae9c-4efa-8054-08309526206b&amp;suite_entity_num=t101174", "141长度的墙壁模型")</f>
        <v>141长度的墙壁模型</v>
      </c>
      <c r="B497"/>
      <c r="C497" t="inlineStr">
        <is>
          <t>默认分组</t>
        </is>
      </c>
      <c r="D497" t="inlineStr">
        <is>
          <t>0</t>
        </is>
      </c>
      <c r="E497" t="inlineStr">
        <is>
          <t>或签任务</t>
        </is>
      </c>
      <c r="F497"/>
      <c r="G497" t="inlineStr">
        <is>
          <t>0</t>
        </is>
      </c>
      <c r="H497"/>
      <c r="I497" t="inlineStr">
        <is>
          <t>陈吉瑞</t>
        </is>
      </c>
      <c r="J497" t="inlineStr">
        <is>
          <t>陈吉瑞,龚政涛</t>
        </is>
      </c>
      <c r="K497" t="inlineStr">
        <is>
          <t>龚政涛</t>
        </is>
      </c>
      <c r="L497" s="3">
        <v>45950.41547453704</v>
      </c>
      <c r="M497" s="3">
        <v>45950.333333333336</v>
      </c>
      <c r="N497" s="3"/>
      <c r="O497" s="3">
        <v>45950.333333333336</v>
      </c>
      <c r="P497" s="3">
        <v>45950.415613425925</v>
      </c>
      <c r="Q497" s="2" t="str">
        <f>=HYPERLINK("https://applink.feishu.cn/client/todo/task_list?guid=4d92b9af-66d1-4cd7-95d1-4b753a64ca6b", "跃入迷城")</f>
        <v>跃入迷城</v>
      </c>
      <c r="R497" t="inlineStr">
        <is>
          <t>4d92b9af-66d1-4cd7-95d1-4b753a64ca6b</t>
        </is>
      </c>
      <c r="S497" t="inlineStr">
        <is>
          <t>49d5ad27-ae9c-4efa-8054-08309526206b</t>
        </is>
      </c>
      <c r="T497">
        <v>0</v>
      </c>
      <c r="U497">
        <v>0</v>
      </c>
      <c r="V497" t="inlineStr">
        <is>
          <t>0.0.5</t>
        </is>
      </c>
      <c r="W497" t="inlineStr">
        <is>
          <t>工作中</t>
        </is>
      </c>
      <c r="X497" t="inlineStr">
        <is>
          <t>🎨艺术</t>
        </is>
      </c>
      <c r="Y497" t="inlineStr">
        <is>
          <t>模型</t>
        </is>
      </c>
      <c r="Z497" t="inlineStr">
        <is>
          <t>P0 - Must (not) Have</t>
        </is>
      </c>
      <c r="AA497"/>
      <c r="AB497"/>
      <c r="AC497"/>
      <c r="AD497" t="inlineStr">
        <is>
          <t>NzUzMjAzNDQ5ODk2NDY2ODQ0NDo0OWQ1YWQyNy1hZTljLTRlZmEtODA1NC0wODMwOTUyNjIwNmI6MjA4YTY2NjQyNzM4NWRkNjJhN2UwYzAzNTAzMThjYzA6MQ==</t>
        </is>
      </c>
      <c r="AE497">
        <v>1</v>
      </c>
    </row>
    <row r="498" ht="25.5" customHeight="1">
      <c r="A498" s="2" t="str">
        <f>=HYPERLINK("https://applink.feishu.cn/client/todo/detail?guid=511c427d-f15d-4f3e-888c-561cfa0f7e2f&amp;suite_entity_num=t101175", "https://dikpa4hrtn9.feishu.cn/wiki/BRHnw0C9oiOPrFkrzNkcD9s0nsc设计稿")</f>
        <v>https://dikpa4hrtn9.feishu.cn/wiki/BRHnw0C9oiOPrFkrzNkcD9s0nsc设计稿</v>
      </c>
      <c r="B498"/>
      <c r="C498" t="inlineStr">
        <is>
          <t>默认分组</t>
        </is>
      </c>
      <c r="D498" t="inlineStr">
        <is>
          <t>0</t>
        </is>
      </c>
      <c r="E498" t="inlineStr">
        <is>
          <t>或签任务</t>
        </is>
      </c>
      <c r="F498"/>
      <c r="G498" t="inlineStr">
        <is>
          <t>0</t>
        </is>
      </c>
      <c r="H498"/>
      <c r="I498" t="inlineStr">
        <is>
          <t>李贺</t>
        </is>
      </c>
      <c r="J498" t="inlineStr">
        <is>
          <t>李贺,龚政涛</t>
        </is>
      </c>
      <c r="K498" t="inlineStr">
        <is>
          <t>龚政涛</t>
        </is>
      </c>
      <c r="L498" s="3">
        <v>45950.4359837963</v>
      </c>
      <c r="M498" s="3"/>
      <c r="N498" s="3"/>
      <c r="O498" s="3"/>
      <c r="P498" s="3">
        <v>45950.57577546296</v>
      </c>
      <c r="Q498" s="2" t="str">
        <f>=HYPERLINK("https://applink.feishu.cn/client/todo/task_list?guid=4d92b9af-66d1-4cd7-95d1-4b753a64ca6b", "跃入迷城")</f>
        <v>跃入迷城</v>
      </c>
      <c r="R498" t="inlineStr">
        <is>
          <t>4d92b9af-66d1-4cd7-95d1-4b753a64ca6b</t>
        </is>
      </c>
      <c r="S498" t="inlineStr">
        <is>
          <t>511c427d-f15d-4f3e-888c-561cfa0f7e2f</t>
        </is>
      </c>
      <c r="T498">
        <v>0</v>
      </c>
      <c r="U498">
        <v>0</v>
      </c>
      <c r="V498"/>
      <c r="W498" t="inlineStr">
        <is>
          <t>工作中</t>
        </is>
      </c>
      <c r="X498" t="inlineStr">
        <is>
          <t>🎨艺术</t>
        </is>
      </c>
      <c r="Y498" t="inlineStr">
        <is>
          <t>平面美术</t>
        </is>
      </c>
      <c r="Z498"/>
      <c r="AA498"/>
      <c r="AB498"/>
      <c r="AC498"/>
      <c r="AD498" t="inlineStr">
        <is>
          <t>NzUzMjAzNDQ5ODk2NDY2ODQ0NDo1MTFjNDI3ZC1mMTVkLTRmM2UtODg4Yy01NjFjZmEwZjdlMmY6OWZkNmM0YzFmZDljNGFjMmI3Zjk4OGYzMzVhY2Y1MzU6MQ==</t>
        </is>
      </c>
      <c r="AE498"/>
    </row>
  </sheetData>
  <dataValidations count="7">
    <dataValidation allowBlank="false" sqref="C2:C497" type="list">
      <formula1>"默认分组"</formula1>
    </dataValidation>
    <dataValidation allowBlank="false" sqref="E2:E497" type="list">
      <formula1>"或签任务"</formula1>
    </dataValidation>
    <dataValidation allowBlank="false" sqref="V2:V497" type="list">
      <formula1>"0.0.2,0.0.5,0.0.3,0.1.0,0.0.4"</formula1>
    </dataValidation>
    <dataValidation allowBlank="false" sqref="W2:W497" type="list">
      <formula1>"已验证,废弃,未开始,工作中,推迟,待验证,已完成,已废弃,已拆分"</formula1>
    </dataValidation>
    <dataValidation allowBlank="false" sqref="X2:X497" type="list">
      <formula1>"🎮玩法,🛠️技术,🎨艺术,✍️故事"</formula1>
    </dataValidation>
    <dataValidation allowBlank="false" sqref="Y2:Y497" type="list">
      <formula1>"操作,平面美术,剧本,项目管理,UIUX,装备,音乐,AI,程序底层,关卡,动画,镜头,角色,技能,模型,场景搭建,VFX,音效,设定,台词,说明文字"</formula1>
    </dataValidation>
    <dataValidation allowBlank="false" sqref="Z2:Z497" type="list">
      <formula1>"P1 - Bigger the Better,P0 - Must (not) Have,P2 - Nice to Have,P3 - Not Related"</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